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0CEC8FA2-FF91-42A5-AC9F-3B57C7243CAA}" xr6:coauthVersionLast="47" xr6:coauthVersionMax="47" xr10:uidLastSave="{00000000-0000-0000-0000-000000000000}"/>
  <bookViews>
    <workbookView xWindow="-120" yWindow="-120" windowWidth="29040" windowHeight="15720" activeTab="3" xr2:uid="{00000000-000D-0000-FFFF-FFFF00000000}"/>
  </bookViews>
  <sheets>
    <sheet name="RESUMO" sheetId="3" r:id="rId1"/>
    <sheet name="Controle Central" sheetId="2" r:id="rId2"/>
    <sheet name="Eliomar" sheetId="24" r:id="rId3"/>
    <sheet name="Jerfferson " sheetId="26" r:id="rId4"/>
    <sheet name="Eliomar-Desmob" sheetId="4" r:id="rId5"/>
    <sheet name="Ademir-Desmob" sheetId="27" r:id="rId6"/>
    <sheet name="Filipe-Desmob" sheetId="13" r:id="rId7"/>
    <sheet name="Felipe Silva-Mob.CGN Lapa" sheetId="28" r:id="rId8"/>
    <sheet name="André-Desmob" sheetId="29" r:id="rId9"/>
    <sheet name="Rogerio - Devol" sheetId="31" r:id="rId10"/>
    <sheet name="Jonatas-Devol " sheetId="1" r:id="rId11"/>
    <sheet name="Jonatas-Desmob" sheetId="25" r:id="rId12"/>
    <sheet name="Filipe - Desmob" sheetId="30" r:id="rId13"/>
    <sheet name=" Eric - Desmob" sheetId="11" r:id="rId14"/>
    <sheet name="Carlos Eduardo - Desmob" sheetId="32" r:id="rId15"/>
    <sheet name="Jairo - Desmob" sheetId="9"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0" i="26" l="1"/>
  <c r="F120" i="26"/>
  <c r="Y118" i="26"/>
  <c r="AH118" i="26" s="1"/>
  <c r="AN153" i="26"/>
  <c r="AE153" i="26"/>
  <c r="Y150" i="26"/>
  <c r="AH150" i="26" s="1"/>
  <c r="AN149" i="26"/>
  <c r="AE149" i="26"/>
  <c r="Y146" i="26"/>
  <c r="AH146" i="26" s="1"/>
  <c r="AN145" i="26"/>
  <c r="AE145" i="26"/>
  <c r="Y142" i="26"/>
  <c r="AH142" i="26" s="1"/>
  <c r="AN141" i="26"/>
  <c r="AE141" i="26"/>
  <c r="Y138" i="26"/>
  <c r="AH138" i="26" s="1"/>
  <c r="AN137" i="26"/>
  <c r="AE137" i="26"/>
  <c r="Y134" i="26"/>
  <c r="AH134" i="26" s="1"/>
  <c r="AN133" i="26"/>
  <c r="AE133" i="26"/>
  <c r="Y130" i="26"/>
  <c r="AH130" i="26" s="1"/>
  <c r="AN129" i="26"/>
  <c r="AE129" i="26"/>
  <c r="Y126" i="26"/>
  <c r="AH126" i="26" s="1"/>
  <c r="AN125" i="26"/>
  <c r="AE125" i="26"/>
  <c r="Y122" i="26"/>
  <c r="AH122" i="26" s="1"/>
  <c r="Y114" i="26"/>
  <c r="AH114" i="26" s="1"/>
  <c r="AN113" i="26"/>
  <c r="AE113" i="26"/>
  <c r="Y110" i="26"/>
  <c r="AH110" i="26" s="1"/>
  <c r="AN109" i="26"/>
  <c r="AE109" i="26"/>
  <c r="AN105" i="26"/>
  <c r="AE105" i="26"/>
  <c r="Y102" i="26"/>
  <c r="AH102" i="26" s="1"/>
  <c r="AN101" i="26"/>
  <c r="AE101" i="26"/>
  <c r="Y98" i="26"/>
  <c r="AH98" i="26" s="1"/>
  <c r="H120" i="26" l="1"/>
  <c r="U153" i="26"/>
  <c r="G152" i="26"/>
  <c r="F152" i="26"/>
  <c r="H152" i="26" s="1"/>
  <c r="U149" i="26"/>
  <c r="G148" i="26"/>
  <c r="F148" i="26"/>
  <c r="U145" i="26"/>
  <c r="G144" i="26"/>
  <c r="F144" i="26"/>
  <c r="U141" i="26"/>
  <c r="G140" i="26"/>
  <c r="F140" i="26"/>
  <c r="H140" i="26" s="1"/>
  <c r="U137" i="26"/>
  <c r="G136" i="26"/>
  <c r="F136" i="26"/>
  <c r="H136" i="26" s="1"/>
  <c r="U133" i="26"/>
  <c r="G132" i="26"/>
  <c r="F132" i="26"/>
  <c r="U129" i="26"/>
  <c r="G128" i="26"/>
  <c r="F128" i="26"/>
  <c r="U125" i="26"/>
  <c r="G124" i="26"/>
  <c r="F124" i="26"/>
  <c r="H124" i="26" s="1"/>
  <c r="G116" i="26"/>
  <c r="F116" i="26"/>
  <c r="U113" i="26"/>
  <c r="G112" i="26"/>
  <c r="F112" i="26"/>
  <c r="U109" i="26"/>
  <c r="G108" i="26"/>
  <c r="F108" i="26"/>
  <c r="U105" i="26"/>
  <c r="G104" i="26"/>
  <c r="F104" i="26"/>
  <c r="U101" i="26"/>
  <c r="G100" i="26"/>
  <c r="F100" i="26"/>
  <c r="H100" i="26" s="1"/>
  <c r="AN148" i="4"/>
  <c r="AE148" i="4"/>
  <c r="U148" i="4"/>
  <c r="G147" i="4"/>
  <c r="H147" i="4" s="1"/>
  <c r="F147" i="4"/>
  <c r="Y145" i="4"/>
  <c r="AH145" i="4" s="1"/>
  <c r="AN144" i="4"/>
  <c r="AE144" i="4"/>
  <c r="U144" i="4"/>
  <c r="G143" i="4"/>
  <c r="F143" i="4"/>
  <c r="H143" i="4" s="1"/>
  <c r="Y141" i="4"/>
  <c r="AH141" i="4" s="1"/>
  <c r="AN140" i="4"/>
  <c r="AE140" i="4"/>
  <c r="U140" i="4"/>
  <c r="G139" i="4"/>
  <c r="F139" i="4"/>
  <c r="H139" i="4" s="1"/>
  <c r="Y137" i="4"/>
  <c r="AH137" i="4" s="1"/>
  <c r="AN136" i="4"/>
  <c r="AE136" i="4"/>
  <c r="U136" i="4"/>
  <c r="H135" i="4"/>
  <c r="G135" i="4"/>
  <c r="F135" i="4"/>
  <c r="Y133" i="4"/>
  <c r="AH133" i="4" s="1"/>
  <c r="AN132" i="4"/>
  <c r="AE132" i="4"/>
  <c r="U132" i="4"/>
  <c r="G131" i="4"/>
  <c r="H131" i="4" s="1"/>
  <c r="F131" i="4"/>
  <c r="Y129" i="4"/>
  <c r="AH129" i="4" s="1"/>
  <c r="AN128" i="4"/>
  <c r="AE128" i="4"/>
  <c r="U128" i="4"/>
  <c r="G127" i="4"/>
  <c r="F127" i="4"/>
  <c r="H127" i="4" s="1"/>
  <c r="Y125" i="4"/>
  <c r="AH125" i="4" s="1"/>
  <c r="AN124" i="4"/>
  <c r="AE124" i="4"/>
  <c r="U124" i="4"/>
  <c r="G123" i="4"/>
  <c r="F123" i="4"/>
  <c r="H123" i="4" s="1"/>
  <c r="Y121" i="4"/>
  <c r="AH121" i="4" s="1"/>
  <c r="AN120" i="4"/>
  <c r="AE120" i="4"/>
  <c r="U120" i="4"/>
  <c r="H119" i="4"/>
  <c r="G119" i="4"/>
  <c r="F119" i="4"/>
  <c r="Y117" i="4"/>
  <c r="AH117" i="4" s="1"/>
  <c r="AN116" i="4"/>
  <c r="AE116" i="4"/>
  <c r="U116" i="4"/>
  <c r="G115" i="4"/>
  <c r="H115" i="4" s="1"/>
  <c r="F115" i="4"/>
  <c r="Y113" i="4"/>
  <c r="AH113" i="4" s="1"/>
  <c r="AN112" i="4"/>
  <c r="AE112" i="4"/>
  <c r="U112" i="4"/>
  <c r="G111" i="4"/>
  <c r="F111" i="4"/>
  <c r="H111" i="4" s="1"/>
  <c r="Y109" i="4"/>
  <c r="AH109" i="4" s="1"/>
  <c r="AN108" i="4"/>
  <c r="AE108" i="4"/>
  <c r="U108" i="4"/>
  <c r="G107" i="4"/>
  <c r="F107" i="4"/>
  <c r="AN104" i="4"/>
  <c r="AE104" i="4"/>
  <c r="U104" i="4"/>
  <c r="G103" i="4"/>
  <c r="F103" i="4"/>
  <c r="Y101" i="4"/>
  <c r="AH101" i="4" s="1"/>
  <c r="AN100" i="4"/>
  <c r="AE100" i="4"/>
  <c r="U100" i="4"/>
  <c r="G99" i="4"/>
  <c r="F99" i="4"/>
  <c r="Y97" i="4"/>
  <c r="AH97" i="4" s="1"/>
  <c r="AN97" i="26"/>
  <c r="AE97" i="26"/>
  <c r="U97" i="26"/>
  <c r="G96" i="26"/>
  <c r="F96" i="26"/>
  <c r="Y94" i="26"/>
  <c r="AH94" i="26" s="1"/>
  <c r="AN93" i="26"/>
  <c r="AE93" i="26"/>
  <c r="U93" i="26"/>
  <c r="G92" i="26"/>
  <c r="F92" i="26"/>
  <c r="Y90" i="26"/>
  <c r="AH90" i="26" s="1"/>
  <c r="AN89" i="26"/>
  <c r="AE89" i="26"/>
  <c r="U89" i="26"/>
  <c r="G88" i="26"/>
  <c r="F88" i="26"/>
  <c r="Y86" i="26"/>
  <c r="AH86" i="26" s="1"/>
  <c r="AN85" i="26"/>
  <c r="AE85" i="26"/>
  <c r="U85" i="26"/>
  <c r="G84" i="26"/>
  <c r="F84" i="26"/>
  <c r="Y82" i="26"/>
  <c r="AH82" i="26" s="1"/>
  <c r="AN81" i="26"/>
  <c r="AE81" i="26"/>
  <c r="U81" i="26"/>
  <c r="G80" i="26"/>
  <c r="F80" i="26"/>
  <c r="Y78" i="26"/>
  <c r="AH78" i="26" s="1"/>
  <c r="AN96" i="4"/>
  <c r="AE96" i="4"/>
  <c r="U96" i="4"/>
  <c r="G95" i="4"/>
  <c r="F95" i="4"/>
  <c r="Y93" i="4"/>
  <c r="AH93" i="4" s="1"/>
  <c r="AN92" i="4"/>
  <c r="AE92" i="4"/>
  <c r="U92" i="4"/>
  <c r="G91" i="4"/>
  <c r="F91" i="4"/>
  <c r="Y89" i="4"/>
  <c r="AH89" i="4" s="1"/>
  <c r="AN88" i="4"/>
  <c r="AE88" i="4"/>
  <c r="U88" i="4"/>
  <c r="G87" i="4"/>
  <c r="F87" i="4"/>
  <c r="Y85" i="4"/>
  <c r="AH85" i="4" s="1"/>
  <c r="AN84" i="4"/>
  <c r="AE84" i="4"/>
  <c r="U84" i="4"/>
  <c r="G83" i="4"/>
  <c r="F83" i="4"/>
  <c r="Y81" i="4"/>
  <c r="AH81" i="4" s="1"/>
  <c r="AN80" i="4"/>
  <c r="AE80" i="4"/>
  <c r="U80" i="4"/>
  <c r="G79" i="4"/>
  <c r="F79" i="4"/>
  <c r="Y77" i="4"/>
  <c r="AH77" i="4" s="1"/>
  <c r="AN96" i="27"/>
  <c r="AE96" i="27"/>
  <c r="U96" i="27"/>
  <c r="H95" i="27"/>
  <c r="G95" i="27"/>
  <c r="F95" i="27"/>
  <c r="Y93" i="27"/>
  <c r="AH93" i="27" s="1"/>
  <c r="AN92" i="27"/>
  <c r="AE92" i="27"/>
  <c r="U92" i="27"/>
  <c r="G91" i="27"/>
  <c r="H91" i="27" s="1"/>
  <c r="F91" i="27"/>
  <c r="Y89" i="27"/>
  <c r="AH89" i="27" s="1"/>
  <c r="AN88" i="27"/>
  <c r="AE88" i="27"/>
  <c r="U88" i="27"/>
  <c r="G87" i="27"/>
  <c r="F87" i="27"/>
  <c r="H87" i="27" s="1"/>
  <c r="Y85" i="27"/>
  <c r="AH85" i="27" s="1"/>
  <c r="AN84" i="27"/>
  <c r="AE84" i="27"/>
  <c r="U84" i="27"/>
  <c r="G83" i="27"/>
  <c r="F83" i="27"/>
  <c r="H83" i="27" s="1"/>
  <c r="Y81" i="27"/>
  <c r="AH81" i="27" s="1"/>
  <c r="AN80" i="27"/>
  <c r="AE80" i="27"/>
  <c r="U80" i="27"/>
  <c r="G79" i="27"/>
  <c r="H79" i="27" s="1"/>
  <c r="F79" i="27"/>
  <c r="Y77" i="27"/>
  <c r="AH77" i="27" s="1"/>
  <c r="AN80" i="31"/>
  <c r="AE80" i="31"/>
  <c r="U80" i="31"/>
  <c r="G79" i="31"/>
  <c r="F79" i="31"/>
  <c r="H79" i="31" s="1"/>
  <c r="Y77" i="31"/>
  <c r="AH77" i="31" s="1"/>
  <c r="AN77" i="26"/>
  <c r="AE77" i="26"/>
  <c r="U77" i="26"/>
  <c r="G76" i="26"/>
  <c r="F76" i="26"/>
  <c r="Y74" i="26"/>
  <c r="AH74" i="26" s="1"/>
  <c r="AN73" i="26"/>
  <c r="AE73" i="26"/>
  <c r="U73" i="26"/>
  <c r="G72" i="26"/>
  <c r="F72" i="26"/>
  <c r="Y70" i="26"/>
  <c r="AH70" i="26" s="1"/>
  <c r="AN76" i="25"/>
  <c r="AE76" i="25"/>
  <c r="U76" i="25"/>
  <c r="G75" i="25"/>
  <c r="F75" i="25"/>
  <c r="Y73" i="25"/>
  <c r="AH73" i="25" s="1"/>
  <c r="AN72" i="25"/>
  <c r="AE72" i="25"/>
  <c r="U72" i="25"/>
  <c r="G71" i="25"/>
  <c r="F71" i="25"/>
  <c r="H71" i="25" s="1"/>
  <c r="Y69" i="25"/>
  <c r="AH69" i="25" s="1"/>
  <c r="AN68" i="25"/>
  <c r="AE68" i="25"/>
  <c r="U68" i="25"/>
  <c r="G67" i="25"/>
  <c r="F67" i="25"/>
  <c r="Y65" i="25"/>
  <c r="AH65" i="25" s="1"/>
  <c r="AN64" i="25"/>
  <c r="AE64" i="25"/>
  <c r="U64" i="25"/>
  <c r="G63" i="25"/>
  <c r="F63" i="25"/>
  <c r="Y61" i="25"/>
  <c r="AH61" i="25" s="1"/>
  <c r="H112" i="26" l="1"/>
  <c r="H116" i="26"/>
  <c r="H148" i="26"/>
  <c r="H84" i="26"/>
  <c r="H107" i="4"/>
  <c r="H103" i="4"/>
  <c r="H99" i="4"/>
  <c r="H104" i="26"/>
  <c r="H132" i="26"/>
  <c r="H75" i="25"/>
  <c r="H83" i="4"/>
  <c r="H108" i="26"/>
  <c r="H128" i="26"/>
  <c r="H144" i="26"/>
  <c r="H95" i="4"/>
  <c r="H96" i="26"/>
  <c r="H91" i="4"/>
  <c r="H92" i="26"/>
  <c r="H88" i="26"/>
  <c r="H87" i="4"/>
  <c r="H80" i="26"/>
  <c r="H79" i="4"/>
  <c r="H76" i="26"/>
  <c r="H72" i="26"/>
  <c r="H67" i="25"/>
  <c r="H63" i="25"/>
  <c r="AN69" i="26"/>
  <c r="AE69" i="26"/>
  <c r="U69" i="26"/>
  <c r="G68" i="26"/>
  <c r="F68" i="26"/>
  <c r="Y66" i="26"/>
  <c r="AH66" i="26" s="1"/>
  <c r="AN65" i="26"/>
  <c r="AE65" i="26"/>
  <c r="U65" i="26"/>
  <c r="G64" i="26"/>
  <c r="F64" i="26"/>
  <c r="Y62" i="26"/>
  <c r="AH62" i="26" s="1"/>
  <c r="AN61" i="26"/>
  <c r="AE61" i="26"/>
  <c r="U61" i="26"/>
  <c r="G60" i="26"/>
  <c r="F60" i="26"/>
  <c r="AN76" i="27"/>
  <c r="AE76" i="27"/>
  <c r="U76" i="27"/>
  <c r="G75" i="27"/>
  <c r="F75" i="27"/>
  <c r="H75" i="27" s="1"/>
  <c r="Y73" i="27"/>
  <c r="AH73" i="27" s="1"/>
  <c r="AN72" i="27"/>
  <c r="AE72" i="27"/>
  <c r="U72" i="27"/>
  <c r="G71" i="27"/>
  <c r="F71" i="27"/>
  <c r="Y69" i="27"/>
  <c r="AH69" i="27" s="1"/>
  <c r="AN68" i="27"/>
  <c r="AE68" i="27"/>
  <c r="U68" i="27"/>
  <c r="G67" i="27"/>
  <c r="F67" i="27"/>
  <c r="Y65" i="27"/>
  <c r="AH65" i="27" s="1"/>
  <c r="AN64" i="27"/>
  <c r="AE64" i="27"/>
  <c r="U64" i="27"/>
  <c r="G63" i="27"/>
  <c r="F63" i="27"/>
  <c r="Y61" i="27"/>
  <c r="AH61" i="27" s="1"/>
  <c r="AN76" i="28"/>
  <c r="AE76" i="28"/>
  <c r="U76" i="28"/>
  <c r="G75" i="28"/>
  <c r="F75" i="28"/>
  <c r="Y73" i="28"/>
  <c r="AH73" i="28" s="1"/>
  <c r="AN72" i="28"/>
  <c r="AE72" i="28"/>
  <c r="U72" i="28"/>
  <c r="G71" i="28"/>
  <c r="F71" i="28"/>
  <c r="Y69" i="28"/>
  <c r="AH69" i="28" s="1"/>
  <c r="AN68" i="28"/>
  <c r="AE68" i="28"/>
  <c r="U68" i="28"/>
  <c r="G67" i="28"/>
  <c r="F67" i="28"/>
  <c r="Y65" i="28"/>
  <c r="AH65" i="28" s="1"/>
  <c r="AN64" i="28"/>
  <c r="AE64" i="28"/>
  <c r="U64" i="28"/>
  <c r="G63" i="28"/>
  <c r="F63" i="28"/>
  <c r="Y61" i="28"/>
  <c r="AH61" i="28" s="1"/>
  <c r="AN76" i="31"/>
  <c r="AE76" i="31"/>
  <c r="U76" i="31"/>
  <c r="G75" i="31"/>
  <c r="F75" i="31"/>
  <c r="Y73" i="31"/>
  <c r="AH73" i="31" s="1"/>
  <c r="AN72" i="31"/>
  <c r="AE72" i="31"/>
  <c r="U72" i="31"/>
  <c r="G71" i="31"/>
  <c r="F71" i="31"/>
  <c r="Y69" i="31"/>
  <c r="AH69" i="31" s="1"/>
  <c r="AN68" i="31"/>
  <c r="AE68" i="31"/>
  <c r="U68" i="31"/>
  <c r="G67" i="31"/>
  <c r="F67" i="31"/>
  <c r="Y65" i="31"/>
  <c r="AH65" i="31" s="1"/>
  <c r="AN64" i="31"/>
  <c r="AE64" i="31"/>
  <c r="U64" i="31"/>
  <c r="G63" i="31"/>
  <c r="F63" i="31"/>
  <c r="Y61" i="31"/>
  <c r="AH61" i="31" s="1"/>
  <c r="AN76" i="4"/>
  <c r="AE76" i="4"/>
  <c r="U76" i="4"/>
  <c r="G75" i="4"/>
  <c r="F75" i="4"/>
  <c r="Y73" i="4"/>
  <c r="AH73" i="4" s="1"/>
  <c r="AN72" i="4"/>
  <c r="AE72" i="4"/>
  <c r="U72" i="4"/>
  <c r="G71" i="4"/>
  <c r="F71" i="4"/>
  <c r="Y69" i="4"/>
  <c r="AH69" i="4" s="1"/>
  <c r="AN68" i="4"/>
  <c r="AE68" i="4"/>
  <c r="U68" i="4"/>
  <c r="G67" i="4"/>
  <c r="F67" i="4"/>
  <c r="Y65" i="4"/>
  <c r="AH65" i="4" s="1"/>
  <c r="AN64" i="4"/>
  <c r="AE64" i="4"/>
  <c r="U64" i="4"/>
  <c r="G63" i="4"/>
  <c r="F63" i="4"/>
  <c r="Y61" i="4"/>
  <c r="AH61" i="4" s="1"/>
  <c r="AN76" i="1"/>
  <c r="AE76" i="1"/>
  <c r="U76" i="1"/>
  <c r="G75" i="1"/>
  <c r="F75" i="1"/>
  <c r="H75" i="1" s="1"/>
  <c r="Y73" i="1"/>
  <c r="AH73" i="1" s="1"/>
  <c r="AN72" i="1"/>
  <c r="AE72" i="1"/>
  <c r="U72" i="1"/>
  <c r="G71" i="1"/>
  <c r="F71" i="1"/>
  <c r="Y69" i="1"/>
  <c r="AH69" i="1" s="1"/>
  <c r="AN68" i="1"/>
  <c r="AE68" i="1"/>
  <c r="U68" i="1"/>
  <c r="G67" i="1"/>
  <c r="F67" i="1"/>
  <c r="Y65" i="1"/>
  <c r="AH65" i="1" s="1"/>
  <c r="AN64" i="1"/>
  <c r="AE64" i="1"/>
  <c r="U64" i="1"/>
  <c r="G63" i="1"/>
  <c r="F63" i="1"/>
  <c r="Y61" i="1"/>
  <c r="AH61" i="1" s="1"/>
  <c r="Y68" i="29"/>
  <c r="AH68" i="29" s="1"/>
  <c r="F70" i="29"/>
  <c r="G70" i="29"/>
  <c r="U71" i="29"/>
  <c r="AE71" i="29"/>
  <c r="AN71" i="29"/>
  <c r="Y72" i="29"/>
  <c r="AH72" i="29" s="1"/>
  <c r="F74" i="29"/>
  <c r="G74" i="29"/>
  <c r="U75" i="29"/>
  <c r="AE75" i="29"/>
  <c r="AN75" i="29"/>
  <c r="Y76" i="29"/>
  <c r="AH76" i="29" s="1"/>
  <c r="F78" i="29"/>
  <c r="G78" i="29"/>
  <c r="U79" i="29"/>
  <c r="AE79" i="29"/>
  <c r="AN79" i="29"/>
  <c r="Y80" i="29"/>
  <c r="AH80" i="29" s="1"/>
  <c r="F82" i="29"/>
  <c r="G82" i="29"/>
  <c r="U83" i="29"/>
  <c r="AE83" i="29"/>
  <c r="AN83" i="29"/>
  <c r="Y84" i="29"/>
  <c r="AH84" i="29" s="1"/>
  <c r="F86" i="29"/>
  <c r="G86" i="29"/>
  <c r="U87" i="29"/>
  <c r="AE87" i="29"/>
  <c r="AN87" i="29"/>
  <c r="Y88" i="29"/>
  <c r="AH88" i="29" s="1"/>
  <c r="F90" i="29"/>
  <c r="G90" i="29"/>
  <c r="U91" i="29"/>
  <c r="AE91" i="29"/>
  <c r="AN91" i="29"/>
  <c r="Y92" i="29"/>
  <c r="AH92" i="29" s="1"/>
  <c r="F94" i="29"/>
  <c r="G94" i="29"/>
  <c r="U95" i="29"/>
  <c r="AE95" i="29"/>
  <c r="AN95" i="29"/>
  <c r="Y96" i="29"/>
  <c r="AH96" i="29" s="1"/>
  <c r="F98" i="29"/>
  <c r="H98" i="29" s="1"/>
  <c r="G98" i="29"/>
  <c r="U99" i="29"/>
  <c r="AE99" i="29"/>
  <c r="AN99" i="29"/>
  <c r="Y64" i="29"/>
  <c r="AH64" i="29" s="1"/>
  <c r="F66" i="29"/>
  <c r="G66" i="29"/>
  <c r="U67" i="29"/>
  <c r="AE67" i="29"/>
  <c r="AN67" i="29"/>
  <c r="W57" i="1"/>
  <c r="AE57" i="1" s="1"/>
  <c r="F59" i="1"/>
  <c r="G59" i="1"/>
  <c r="U60" i="1"/>
  <c r="AC60" i="1"/>
  <c r="AK60" i="1"/>
  <c r="Y60" i="29"/>
  <c r="AH60" i="29" s="1"/>
  <c r="F62" i="29"/>
  <c r="G62" i="29"/>
  <c r="U63" i="29"/>
  <c r="AE63" i="29"/>
  <c r="AN63" i="29"/>
  <c r="W57" i="4"/>
  <c r="AE57" i="4" s="1"/>
  <c r="F59" i="4"/>
  <c r="G59" i="4"/>
  <c r="U60" i="4"/>
  <c r="AC60" i="4"/>
  <c r="AK60" i="4"/>
  <c r="Y57" i="28"/>
  <c r="AH57" i="28" s="1"/>
  <c r="F59" i="28"/>
  <c r="G59" i="28"/>
  <c r="U60" i="28"/>
  <c r="AE60" i="28"/>
  <c r="AN60" i="28"/>
  <c r="Y57" i="27"/>
  <c r="AH57" i="27" s="1"/>
  <c r="F59" i="27"/>
  <c r="G59" i="27"/>
  <c r="U60" i="27"/>
  <c r="AE60" i="27"/>
  <c r="AN60" i="27"/>
  <c r="H63" i="1" l="1"/>
  <c r="H71" i="1"/>
  <c r="H71" i="28"/>
  <c r="H67" i="1"/>
  <c r="H82" i="29"/>
  <c r="H75" i="31"/>
  <c r="H75" i="28"/>
  <c r="H71" i="31"/>
  <c r="H71" i="4"/>
  <c r="H67" i="31"/>
  <c r="H67" i="27"/>
  <c r="H67" i="28"/>
  <c r="H86" i="29"/>
  <c r="H70" i="29"/>
  <c r="H78" i="29"/>
  <c r="H90" i="29"/>
  <c r="H94" i="29"/>
  <c r="H74" i="29"/>
  <c r="H59" i="1"/>
  <c r="H67" i="4"/>
  <c r="H75" i="4"/>
  <c r="H63" i="27"/>
  <c r="H71" i="27"/>
  <c r="H68" i="26"/>
  <c r="H63" i="4"/>
  <c r="H66" i="29"/>
  <c r="H63" i="31"/>
  <c r="H64" i="26"/>
  <c r="H63" i="28"/>
  <c r="H59" i="4"/>
  <c r="H59" i="27"/>
  <c r="H59" i="28"/>
  <c r="H60" i="26"/>
  <c r="H62" i="29"/>
  <c r="W57" i="31"/>
  <c r="AE57" i="31"/>
  <c r="F59" i="31"/>
  <c r="G59" i="31"/>
  <c r="U60" i="31"/>
  <c r="AC60" i="31"/>
  <c r="AK60" i="31"/>
  <c r="Y57" i="25"/>
  <c r="AH57" i="25" s="1"/>
  <c r="F59" i="25"/>
  <c r="G59" i="25"/>
  <c r="U60" i="25"/>
  <c r="AE60" i="25"/>
  <c r="AN60" i="25"/>
  <c r="G55" i="25"/>
  <c r="H55" i="25" s="1"/>
  <c r="F55" i="25"/>
  <c r="G55" i="1"/>
  <c r="F55" i="1"/>
  <c r="H55" i="1" s="1"/>
  <c r="G55" i="27"/>
  <c r="F55" i="27"/>
  <c r="H55" i="27" l="1"/>
  <c r="H59" i="31"/>
  <c r="H59" i="25"/>
  <c r="G55" i="31"/>
  <c r="F55" i="31"/>
  <c r="H55" i="31" s="1"/>
  <c r="G56" i="26"/>
  <c r="F56" i="26"/>
  <c r="G55" i="28"/>
  <c r="F55" i="28"/>
  <c r="H55" i="28" l="1"/>
  <c r="H56" i="26"/>
  <c r="G55" i="4"/>
  <c r="F55" i="4"/>
  <c r="H55" i="4" l="1"/>
  <c r="G58" i="29"/>
  <c r="F58" i="29"/>
  <c r="Y53" i="25"/>
  <c r="AH53" i="25" s="1"/>
  <c r="U56" i="25"/>
  <c r="AE56" i="25"/>
  <c r="AN56" i="25"/>
  <c r="Y53" i="28"/>
  <c r="AH53" i="28" s="1"/>
  <c r="U56" i="28"/>
  <c r="AE56" i="28"/>
  <c r="AN56" i="28"/>
  <c r="Y56" i="29"/>
  <c r="AH56" i="29" s="1"/>
  <c r="U59" i="29"/>
  <c r="AE59" i="29"/>
  <c r="AN59" i="29"/>
  <c r="W53" i="31"/>
  <c r="AE53" i="31" s="1"/>
  <c r="U56" i="31"/>
  <c r="AC56" i="31"/>
  <c r="AK56" i="31"/>
  <c r="W53" i="13"/>
  <c r="AE53" i="13" s="1"/>
  <c r="F55" i="13"/>
  <c r="G55" i="13"/>
  <c r="U56" i="13"/>
  <c r="AC56" i="13"/>
  <c r="AK56" i="13"/>
  <c r="W53" i="4"/>
  <c r="AE53" i="4" s="1"/>
  <c r="U56" i="4"/>
  <c r="AC56" i="4"/>
  <c r="AK56" i="4"/>
  <c r="W53" i="1"/>
  <c r="AE53" i="1" s="1"/>
  <c r="U56" i="1"/>
  <c r="AC56" i="1"/>
  <c r="AK56" i="1"/>
  <c r="Y54" i="26"/>
  <c r="AH54" i="26" s="1"/>
  <c r="U57" i="26"/>
  <c r="AE57" i="26"/>
  <c r="AN57" i="26"/>
  <c r="Y53" i="27"/>
  <c r="AH53" i="27"/>
  <c r="U56" i="27"/>
  <c r="AE56" i="27"/>
  <c r="AN56" i="27"/>
  <c r="B6" i="3"/>
  <c r="H19" i="3"/>
  <c r="I19" i="3"/>
  <c r="J19" i="3"/>
  <c r="K19" i="3"/>
  <c r="L19" i="3"/>
  <c r="M19" i="3"/>
  <c r="G19" i="3"/>
  <c r="D19" i="3"/>
  <c r="E19" i="3"/>
  <c r="F19" i="3"/>
  <c r="C19" i="3"/>
  <c r="B19" i="3"/>
  <c r="B10" i="3"/>
  <c r="B8"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AA5" i="2"/>
  <c r="Z5" i="2"/>
  <c r="Y15" i="2"/>
  <c r="Y14" i="2"/>
  <c r="Y13" i="2"/>
  <c r="Y12" i="2"/>
  <c r="Y11" i="2"/>
  <c r="Y10" i="2"/>
  <c r="Y7" i="2"/>
  <c r="AK52" i="32"/>
  <c r="M34" i="2" s="1"/>
  <c r="AC52" i="32"/>
  <c r="L34" i="2" s="1"/>
  <c r="U52" i="32"/>
  <c r="K34" i="2" s="1"/>
  <c r="G51" i="32"/>
  <c r="F51" i="32"/>
  <c r="W49" i="32"/>
  <c r="AE49" i="32" s="1"/>
  <c r="AK48" i="32"/>
  <c r="M33" i="2" s="1"/>
  <c r="AC48" i="32"/>
  <c r="L33" i="2" s="1"/>
  <c r="U48" i="32"/>
  <c r="K33" i="2" s="1"/>
  <c r="G47" i="32"/>
  <c r="F47" i="32"/>
  <c r="W45" i="32"/>
  <c r="AE45" i="32" s="1"/>
  <c r="AK44" i="32"/>
  <c r="M32" i="2" s="1"/>
  <c r="AC44" i="32"/>
  <c r="L32" i="2" s="1"/>
  <c r="U44" i="32"/>
  <c r="K32" i="2" s="1"/>
  <c r="G43" i="32"/>
  <c r="F43" i="32"/>
  <c r="W41" i="32"/>
  <c r="AE41" i="32" s="1"/>
  <c r="AK40" i="32"/>
  <c r="M31" i="2" s="1"/>
  <c r="AC40" i="32"/>
  <c r="L31" i="2" s="1"/>
  <c r="U40" i="32"/>
  <c r="K31" i="2" s="1"/>
  <c r="G39" i="32"/>
  <c r="F39" i="32"/>
  <c r="W37" i="32"/>
  <c r="AE37" i="32" s="1"/>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S28" i="2" s="1"/>
  <c r="U28" i="31"/>
  <c r="R28" i="2" s="1"/>
  <c r="G27" i="31"/>
  <c r="F27" i="31"/>
  <c r="W25" i="31"/>
  <c r="AE25" i="31" s="1"/>
  <c r="AK24" i="31"/>
  <c r="T27" i="2" s="1"/>
  <c r="AC24" i="31"/>
  <c r="S27" i="2" s="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2" i="30"/>
  <c r="AA34" i="2" s="1"/>
  <c r="AE52" i="30"/>
  <c r="Z34" i="2" s="1"/>
  <c r="U52" i="30"/>
  <c r="Y34" i="2" s="1"/>
  <c r="G51" i="30"/>
  <c r="F51" i="30"/>
  <c r="Y49" i="30"/>
  <c r="AH49" i="30" s="1"/>
  <c r="AN48" i="30"/>
  <c r="AA33" i="2" s="1"/>
  <c r="AE48" i="30"/>
  <c r="Z33" i="2" s="1"/>
  <c r="U48" i="30"/>
  <c r="Y33" i="2" s="1"/>
  <c r="G47" i="30"/>
  <c r="F47" i="30"/>
  <c r="Y45" i="30"/>
  <c r="AH45" i="30" s="1"/>
  <c r="AN44" i="30"/>
  <c r="AA32" i="2" s="1"/>
  <c r="AE44" i="30"/>
  <c r="Z32" i="2" s="1"/>
  <c r="U44" i="30"/>
  <c r="Y32" i="2" s="1"/>
  <c r="G43" i="30"/>
  <c r="F43" i="30"/>
  <c r="Y41" i="30"/>
  <c r="AH41" i="30" s="1"/>
  <c r="AN40" i="30"/>
  <c r="AA31" i="2" s="1"/>
  <c r="AE40" i="30"/>
  <c r="Z31" i="2" s="1"/>
  <c r="U40" i="30"/>
  <c r="Y31" i="2" s="1"/>
  <c r="G39" i="30"/>
  <c r="F39" i="30"/>
  <c r="Y37" i="30"/>
  <c r="AH37" i="30" s="1"/>
  <c r="AN36" i="30"/>
  <c r="AA30" i="2" s="1"/>
  <c r="AE36" i="30"/>
  <c r="Z30" i="2" s="1"/>
  <c r="U36" i="30"/>
  <c r="Y30" i="2" s="1"/>
  <c r="G35" i="30"/>
  <c r="F35" i="30"/>
  <c r="Y33" i="30"/>
  <c r="AH33" i="30" s="1"/>
  <c r="AN32" i="30"/>
  <c r="AA29" i="2" s="1"/>
  <c r="AE32" i="30"/>
  <c r="Z29" i="2" s="1"/>
  <c r="U32" i="30"/>
  <c r="Y29" i="2" s="1"/>
  <c r="G31" i="30"/>
  <c r="F31" i="30"/>
  <c r="Y29" i="30"/>
  <c r="AH29" i="30" s="1"/>
  <c r="AN28" i="30"/>
  <c r="AA28" i="2" s="1"/>
  <c r="AE28" i="30"/>
  <c r="Z28" i="2" s="1"/>
  <c r="U28" i="30"/>
  <c r="Y28" i="2" s="1"/>
  <c r="G27" i="30"/>
  <c r="F27" i="30"/>
  <c r="Y25" i="30"/>
  <c r="AH25" i="30" s="1"/>
  <c r="AN24" i="30"/>
  <c r="AA27" i="2" s="1"/>
  <c r="AE24" i="30"/>
  <c r="Z27" i="2" s="1"/>
  <c r="U24" i="30"/>
  <c r="Y27" i="2" s="1"/>
  <c r="G23" i="30"/>
  <c r="F23" i="30"/>
  <c r="Y21" i="30"/>
  <c r="AH21" i="30" s="1"/>
  <c r="AN20" i="30"/>
  <c r="AE20" i="30"/>
  <c r="Z26" i="2" s="1"/>
  <c r="U20" i="30"/>
  <c r="G19" i="30"/>
  <c r="F19" i="30"/>
  <c r="Y17" i="30"/>
  <c r="AH17" i="30" s="1"/>
  <c r="AN16" i="30"/>
  <c r="AA25" i="2" s="1"/>
  <c r="AE16" i="30"/>
  <c r="Z25" i="2" s="1"/>
  <c r="U16" i="30"/>
  <c r="Y25" i="2" s="1"/>
  <c r="G15" i="30"/>
  <c r="F15" i="30"/>
  <c r="Y13" i="30"/>
  <c r="AH13" i="30" s="1"/>
  <c r="AN12" i="30"/>
  <c r="AA24" i="2" s="1"/>
  <c r="AE12" i="30"/>
  <c r="Z24" i="2" s="1"/>
  <c r="U12" i="30"/>
  <c r="Y24" i="2" s="1"/>
  <c r="G11" i="30"/>
  <c r="F11" i="30"/>
  <c r="AN55" i="29"/>
  <c r="F53" i="2" s="1"/>
  <c r="AE55" i="29"/>
  <c r="E53" i="2" s="1"/>
  <c r="U55" i="29"/>
  <c r="D53" i="2" s="1"/>
  <c r="G54" i="29"/>
  <c r="F54" i="29"/>
  <c r="Y52" i="29"/>
  <c r="AH52" i="29" s="1"/>
  <c r="AN51" i="29"/>
  <c r="F52" i="2" s="1"/>
  <c r="AE51" i="29"/>
  <c r="E52" i="2" s="1"/>
  <c r="U51" i="29"/>
  <c r="D52" i="2" s="1"/>
  <c r="G50" i="29"/>
  <c r="F50" i="29"/>
  <c r="Y48" i="29"/>
  <c r="AH48" i="29" s="1"/>
  <c r="AN47" i="29"/>
  <c r="F51" i="2" s="1"/>
  <c r="AE47" i="29"/>
  <c r="E51" i="2" s="1"/>
  <c r="U47" i="29"/>
  <c r="D51" i="2" s="1"/>
  <c r="G46" i="29"/>
  <c r="F46" i="29"/>
  <c r="Y44" i="29"/>
  <c r="AH44" i="29" s="1"/>
  <c r="AN43" i="29"/>
  <c r="F50" i="2" s="1"/>
  <c r="AE43" i="29"/>
  <c r="E50" i="2" s="1"/>
  <c r="U43" i="29"/>
  <c r="D50" i="2" s="1"/>
  <c r="G42" i="29"/>
  <c r="F42" i="29"/>
  <c r="Y40" i="29"/>
  <c r="AH40" i="29" s="1"/>
  <c r="AN39" i="29"/>
  <c r="F49" i="2" s="1"/>
  <c r="AE39" i="29"/>
  <c r="E49" i="2" s="1"/>
  <c r="U39" i="29"/>
  <c r="D49" i="2" s="1"/>
  <c r="G38" i="29"/>
  <c r="F38" i="29"/>
  <c r="Y36" i="29"/>
  <c r="AH36" i="29" s="1"/>
  <c r="AN35" i="29"/>
  <c r="F48" i="2" s="1"/>
  <c r="AE35" i="29"/>
  <c r="E48" i="2" s="1"/>
  <c r="U35" i="29"/>
  <c r="D48" i="2" s="1"/>
  <c r="G34" i="29"/>
  <c r="F34" i="29"/>
  <c r="Y32" i="29"/>
  <c r="AH32" i="29" s="1"/>
  <c r="AN31" i="29"/>
  <c r="F47" i="2" s="1"/>
  <c r="AE31" i="29"/>
  <c r="E47" i="2" s="1"/>
  <c r="U31" i="29"/>
  <c r="D47" i="2" s="1"/>
  <c r="G30" i="29"/>
  <c r="F30" i="29"/>
  <c r="Y28" i="29"/>
  <c r="AH28" i="29" s="1"/>
  <c r="AN27" i="29"/>
  <c r="F46" i="2" s="1"/>
  <c r="AE27" i="29"/>
  <c r="E46" i="2" s="1"/>
  <c r="U27" i="29"/>
  <c r="D46" i="2" s="1"/>
  <c r="G26" i="29"/>
  <c r="F26" i="29"/>
  <c r="Y24" i="29"/>
  <c r="AH24" i="29" s="1"/>
  <c r="AN23" i="29"/>
  <c r="F45" i="2" s="1"/>
  <c r="AE23" i="29"/>
  <c r="E45" i="2" s="1"/>
  <c r="U23" i="29"/>
  <c r="D45" i="2" s="1"/>
  <c r="G22" i="29"/>
  <c r="F22" i="29"/>
  <c r="Y20" i="29"/>
  <c r="AH20" i="29" s="1"/>
  <c r="AN19" i="29"/>
  <c r="F44" i="2" s="1"/>
  <c r="AE19" i="29"/>
  <c r="E44" i="2" s="1"/>
  <c r="U19" i="29"/>
  <c r="D44" i="2" s="1"/>
  <c r="G18" i="29"/>
  <c r="F18" i="29"/>
  <c r="Y16" i="29"/>
  <c r="AH16" i="29" s="1"/>
  <c r="AN15" i="29"/>
  <c r="F43" i="2" s="1"/>
  <c r="AE15" i="29"/>
  <c r="E43" i="2" s="1"/>
  <c r="U15" i="29"/>
  <c r="D43" i="2" s="1"/>
  <c r="G14" i="29"/>
  <c r="F14"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F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3" i="26"/>
  <c r="AA53" i="2" s="1"/>
  <c r="AE53" i="26"/>
  <c r="Z53" i="2" s="1"/>
  <c r="U53" i="26"/>
  <c r="Y53" i="2" s="1"/>
  <c r="G52" i="26"/>
  <c r="F52" i="26"/>
  <c r="Y50" i="26"/>
  <c r="AH50" i="26" s="1"/>
  <c r="AN49" i="26"/>
  <c r="AA52" i="2" s="1"/>
  <c r="AE49" i="26"/>
  <c r="Z52" i="2" s="1"/>
  <c r="U49" i="26"/>
  <c r="Y52" i="2" s="1"/>
  <c r="G48" i="26"/>
  <c r="F48" i="26"/>
  <c r="Y46" i="26"/>
  <c r="AH46" i="26" s="1"/>
  <c r="AN45" i="26"/>
  <c r="AA51" i="2" s="1"/>
  <c r="AE45" i="26"/>
  <c r="Z51" i="2" s="1"/>
  <c r="U45" i="26"/>
  <c r="Y51" i="2" s="1"/>
  <c r="G44" i="26"/>
  <c r="F44" i="26"/>
  <c r="Y42" i="26"/>
  <c r="AH42" i="26" s="1"/>
  <c r="AN41" i="26"/>
  <c r="AA50" i="2" s="1"/>
  <c r="AE41" i="26"/>
  <c r="Z50" i="2" s="1"/>
  <c r="U41" i="26"/>
  <c r="Y50" i="2" s="1"/>
  <c r="G40" i="26"/>
  <c r="F40" i="26"/>
  <c r="Y38" i="26"/>
  <c r="AH38" i="26" s="1"/>
  <c r="AN37" i="26"/>
  <c r="AA49" i="2" s="1"/>
  <c r="AE37" i="26"/>
  <c r="Z49" i="2" s="1"/>
  <c r="U37" i="26"/>
  <c r="Y49" i="2" s="1"/>
  <c r="G36" i="26"/>
  <c r="F36" i="26"/>
  <c r="Y34" i="26"/>
  <c r="AH34" i="26" s="1"/>
  <c r="AN33" i="26"/>
  <c r="AA48" i="2" s="1"/>
  <c r="AE33" i="26"/>
  <c r="Z48" i="2" s="1"/>
  <c r="U33" i="26"/>
  <c r="Y48" i="2" s="1"/>
  <c r="G32" i="26"/>
  <c r="F32" i="26"/>
  <c r="Y30" i="26"/>
  <c r="AH30" i="26" s="1"/>
  <c r="AN29" i="26"/>
  <c r="AA47" i="2" s="1"/>
  <c r="AE29" i="26"/>
  <c r="Z47" i="2" s="1"/>
  <c r="U29" i="26"/>
  <c r="Y47" i="2" s="1"/>
  <c r="G28" i="26"/>
  <c r="F28" i="26"/>
  <c r="Y26" i="26"/>
  <c r="AH26" i="26" s="1"/>
  <c r="AN25" i="26"/>
  <c r="AA46" i="2" s="1"/>
  <c r="AE25" i="26"/>
  <c r="Z46" i="2" s="1"/>
  <c r="U25" i="26"/>
  <c r="Y46" i="2" s="1"/>
  <c r="G24" i="26"/>
  <c r="F24" i="26"/>
  <c r="Y22" i="26"/>
  <c r="AH22" i="26" s="1"/>
  <c r="AN21" i="26"/>
  <c r="AA45" i="2" s="1"/>
  <c r="AE21" i="26"/>
  <c r="Z45" i="2" s="1"/>
  <c r="U21" i="26"/>
  <c r="Y45" i="2" s="1"/>
  <c r="G20" i="26"/>
  <c r="F20" i="26"/>
  <c r="Y18" i="26"/>
  <c r="AH18" i="26" s="1"/>
  <c r="AN17" i="26"/>
  <c r="AA44" i="2" s="1"/>
  <c r="AE17" i="26"/>
  <c r="Z44" i="2" s="1"/>
  <c r="U17" i="26"/>
  <c r="Y44" i="2" s="1"/>
  <c r="G16" i="26"/>
  <c r="F16" i="26"/>
  <c r="Y14" i="26"/>
  <c r="AH14" i="26" s="1"/>
  <c r="AN13" i="26"/>
  <c r="AA43" i="2" s="1"/>
  <c r="AE13" i="26"/>
  <c r="Z43" i="2" s="1"/>
  <c r="U13" i="26"/>
  <c r="Y43" i="2" s="1"/>
  <c r="G12" i="26"/>
  <c r="F12"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H47" i="18" s="1"/>
  <c r="W90" i="2" s="1"/>
  <c r="X90" i="2" s="1"/>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2" i="13"/>
  <c r="AC52" i="13"/>
  <c r="U52" i="13"/>
  <c r="R15" i="2" s="1"/>
  <c r="G51" i="13"/>
  <c r="F51" i="13"/>
  <c r="W49" i="13"/>
  <c r="AE49" i="13" s="1"/>
  <c r="AK48" i="13"/>
  <c r="AC48" i="13"/>
  <c r="U48" i="13"/>
  <c r="R14" i="2" s="1"/>
  <c r="G47" i="13"/>
  <c r="F47" i="13"/>
  <c r="W45" i="13"/>
  <c r="AE45" i="13" s="1"/>
  <c r="AK44" i="13"/>
  <c r="AC44" i="13"/>
  <c r="U44" i="13"/>
  <c r="R13" i="2" s="1"/>
  <c r="G43" i="13"/>
  <c r="F43" i="13"/>
  <c r="W41" i="13"/>
  <c r="AE41" i="13" s="1"/>
  <c r="AK40" i="13"/>
  <c r="AC40" i="13"/>
  <c r="U40" i="13"/>
  <c r="R12" i="2" s="1"/>
  <c r="G39" i="13"/>
  <c r="F39" i="13"/>
  <c r="W37" i="13"/>
  <c r="AE37" i="13" s="1"/>
  <c r="AK36" i="13"/>
  <c r="AC36" i="13"/>
  <c r="U36" i="13"/>
  <c r="R11" i="2" s="1"/>
  <c r="G35" i="13"/>
  <c r="F35" i="13"/>
  <c r="W33" i="13"/>
  <c r="AE33" i="13" s="1"/>
  <c r="AK32" i="13"/>
  <c r="AC32" i="13"/>
  <c r="U32" i="13"/>
  <c r="R10" i="2" s="1"/>
  <c r="G31" i="13"/>
  <c r="F31" i="13"/>
  <c r="W29" i="13"/>
  <c r="AE29" i="13" s="1"/>
  <c r="AK28" i="13"/>
  <c r="AC28" i="13"/>
  <c r="U28" i="13"/>
  <c r="R9" i="2" s="1"/>
  <c r="G27" i="13"/>
  <c r="F27" i="13"/>
  <c r="W25" i="13"/>
  <c r="AE25" i="13" s="1"/>
  <c r="AK24" i="13"/>
  <c r="AC24" i="13"/>
  <c r="U24" i="13"/>
  <c r="R8" i="2" s="1"/>
  <c r="G23" i="13"/>
  <c r="F23" i="13"/>
  <c r="W21" i="13"/>
  <c r="AE21" i="13" s="1"/>
  <c r="AK20" i="13"/>
  <c r="AC20" i="13"/>
  <c r="U20" i="13"/>
  <c r="R7" i="2" s="1"/>
  <c r="G19" i="13"/>
  <c r="F19" i="13"/>
  <c r="W17" i="13"/>
  <c r="AE17" i="13" s="1"/>
  <c r="AK16" i="13"/>
  <c r="AC16" i="13"/>
  <c r="U16" i="13"/>
  <c r="R6" i="2" s="1"/>
  <c r="G15" i="13"/>
  <c r="F15" i="13"/>
  <c r="W13" i="13"/>
  <c r="AE13" i="13" s="1"/>
  <c r="AK12" i="13"/>
  <c r="AC12" i="13"/>
  <c r="U12" i="13"/>
  <c r="R5" i="2" s="1"/>
  <c r="G11" i="13"/>
  <c r="F11"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2" i="9"/>
  <c r="AC52" i="9"/>
  <c r="U52" i="9"/>
  <c r="G51" i="9"/>
  <c r="F51" i="9"/>
  <c r="W49" i="9"/>
  <c r="AE49" i="9" s="1"/>
  <c r="AK48" i="9"/>
  <c r="AC48" i="9"/>
  <c r="U48" i="9"/>
  <c r="G47" i="9"/>
  <c r="F47" i="9"/>
  <c r="W45" i="9"/>
  <c r="AE45" i="9" s="1"/>
  <c r="AK44" i="9"/>
  <c r="AC44" i="9"/>
  <c r="U44" i="9"/>
  <c r="G43" i="9"/>
  <c r="F43" i="9"/>
  <c r="W41" i="9"/>
  <c r="AE41" i="9" s="1"/>
  <c r="AK40" i="9"/>
  <c r="AC40" i="9"/>
  <c r="U40" i="9"/>
  <c r="G39" i="9"/>
  <c r="F39" i="9"/>
  <c r="W37" i="9"/>
  <c r="AE37" i="9" s="1"/>
  <c r="AK36" i="9"/>
  <c r="AC36" i="9"/>
  <c r="U36" i="9"/>
  <c r="G35" i="9"/>
  <c r="F35" i="9"/>
  <c r="W33" i="9"/>
  <c r="AE33" i="9" s="1"/>
  <c r="AK32" i="9"/>
  <c r="AC32" i="9"/>
  <c r="U32" i="9"/>
  <c r="G31" i="9"/>
  <c r="F31" i="9"/>
  <c r="W29" i="9"/>
  <c r="AE29" i="9" s="1"/>
  <c r="AK28" i="9"/>
  <c r="AC28" i="9"/>
  <c r="U28" i="9"/>
  <c r="Y9" i="2" s="1"/>
  <c r="G27" i="9"/>
  <c r="F27" i="9"/>
  <c r="W25" i="9"/>
  <c r="AE25" i="9" s="1"/>
  <c r="AK24" i="9"/>
  <c r="AC24" i="9"/>
  <c r="U24" i="9"/>
  <c r="Y8" i="2" s="1"/>
  <c r="G23" i="9"/>
  <c r="F23" i="9"/>
  <c r="W21" i="9"/>
  <c r="AE21" i="9" s="1"/>
  <c r="AK20" i="9"/>
  <c r="AC20" i="9"/>
  <c r="U20" i="9"/>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K52" i="1"/>
  <c r="F15" i="2" s="1"/>
  <c r="AK48" i="1"/>
  <c r="F14" i="2" s="1"/>
  <c r="AK44" i="1"/>
  <c r="F13" i="2" s="1"/>
  <c r="AK40" i="1"/>
  <c r="F12" i="2" s="1"/>
  <c r="AK36" i="1"/>
  <c r="F11" i="2" s="1"/>
  <c r="AK32" i="1"/>
  <c r="F10" i="2" s="1"/>
  <c r="AK28" i="1"/>
  <c r="M9" i="2" s="1"/>
  <c r="AK24" i="1"/>
  <c r="F8" i="2" s="1"/>
  <c r="AK20" i="1"/>
  <c r="F7" i="2" s="1"/>
  <c r="AK16" i="1"/>
  <c r="F6" i="2" s="1"/>
  <c r="AK12" i="1"/>
  <c r="F5" i="2" s="1"/>
  <c r="W13" i="1"/>
  <c r="AE13" i="1" s="1"/>
  <c r="W17" i="1"/>
  <c r="AE17" i="1" s="1"/>
  <c r="W21" i="1"/>
  <c r="AE21" i="1" s="1"/>
  <c r="W25" i="1"/>
  <c r="AE25" i="1" s="1"/>
  <c r="W29" i="1"/>
  <c r="AE29" i="1" s="1"/>
  <c r="W33" i="1"/>
  <c r="AE33" i="1" s="1"/>
  <c r="W37" i="1"/>
  <c r="AE37" i="1" s="1"/>
  <c r="W41" i="1"/>
  <c r="AE41" i="1" s="1"/>
  <c r="W45" i="1"/>
  <c r="AE45" i="1" s="1"/>
  <c r="W49" i="1"/>
  <c r="AE49" i="1" s="1"/>
  <c r="AC52" i="1"/>
  <c r="E15" i="2" s="1"/>
  <c r="AC48" i="1"/>
  <c r="E14" i="2" s="1"/>
  <c r="AC44" i="1"/>
  <c r="E13" i="2" s="1"/>
  <c r="AC40" i="1"/>
  <c r="E12" i="2" s="1"/>
  <c r="AC36" i="1"/>
  <c r="E11" i="2" s="1"/>
  <c r="AC32" i="1"/>
  <c r="E10" i="2" s="1"/>
  <c r="AC28" i="1"/>
  <c r="E9" i="2" s="1"/>
  <c r="AC24" i="1"/>
  <c r="E8" i="2" s="1"/>
  <c r="AC20" i="1"/>
  <c r="E7" i="2" s="1"/>
  <c r="AC16" i="1"/>
  <c r="E6" i="2" s="1"/>
  <c r="AC12" i="1"/>
  <c r="E5" i="2" s="1"/>
  <c r="U48" i="1"/>
  <c r="D14" i="2" s="1"/>
  <c r="U44" i="1"/>
  <c r="D13" i="2" s="1"/>
  <c r="U40" i="1"/>
  <c r="D12" i="2" s="1"/>
  <c r="U36" i="1"/>
  <c r="D11" i="2" s="1"/>
  <c r="U32" i="1"/>
  <c r="D10" i="2" s="1"/>
  <c r="U28" i="1"/>
  <c r="D9" i="2" s="1"/>
  <c r="U24" i="1"/>
  <c r="D8" i="2" s="1"/>
  <c r="U20" i="1"/>
  <c r="D7" i="2" s="1"/>
  <c r="U16" i="1"/>
  <c r="D6" i="2" s="1"/>
  <c r="U12" i="1"/>
  <c r="D5" i="2" s="1"/>
  <c r="U52" i="1"/>
  <c r="D15" i="2" s="1"/>
  <c r="H58" i="29" l="1"/>
  <c r="H55" i="13"/>
  <c r="H23" i="4"/>
  <c r="I8" i="2" s="1"/>
  <c r="J8" i="2" s="1"/>
  <c r="H19" i="10"/>
  <c r="I119" i="2" s="1"/>
  <c r="J119" i="2" s="1"/>
  <c r="H35" i="10"/>
  <c r="I123" i="2" s="1"/>
  <c r="J123" i="2" s="1"/>
  <c r="H11" i="25"/>
  <c r="B62" i="2" s="1"/>
  <c r="C62" i="2" s="1"/>
  <c r="H27" i="25"/>
  <c r="B66" i="2" s="1"/>
  <c r="C66" i="2" s="1"/>
  <c r="H43" i="25"/>
  <c r="B70" i="2" s="1"/>
  <c r="C70" i="2" s="1"/>
  <c r="H23" i="10"/>
  <c r="I120" i="2" s="1"/>
  <c r="J120" i="2" s="1"/>
  <c r="H39" i="10"/>
  <c r="I124" i="2" s="1"/>
  <c r="J124" i="2" s="1"/>
  <c r="H11" i="28"/>
  <c r="I43" i="2" s="1"/>
  <c r="J43" i="2" s="1"/>
  <c r="H27" i="28"/>
  <c r="I47" i="2" s="1"/>
  <c r="J47" i="2" s="1"/>
  <c r="H31" i="30"/>
  <c r="W29" i="2" s="1"/>
  <c r="X29" i="2" s="1"/>
  <c r="H51" i="10"/>
  <c r="I127" i="2" s="1"/>
  <c r="J127" i="2" s="1"/>
  <c r="H51" i="23"/>
  <c r="P72" i="2" s="1"/>
  <c r="Q72" i="2" s="1"/>
  <c r="J6" i="3"/>
  <c r="H35" i="7"/>
  <c r="B141" i="2" s="1"/>
  <c r="C141" i="2" s="1"/>
  <c r="H19" i="15"/>
  <c r="P100" i="2" s="1"/>
  <c r="Q100" i="2" s="1"/>
  <c r="H27" i="19"/>
  <c r="P85" i="2" s="1"/>
  <c r="Q85" i="2" s="1"/>
  <c r="H23" i="25"/>
  <c r="B65" i="2" s="1"/>
  <c r="C65" i="2" s="1"/>
  <c r="H39" i="25"/>
  <c r="B69" i="2" s="1"/>
  <c r="C69" i="2" s="1"/>
  <c r="H11" i="21"/>
  <c r="B81" i="2" s="1"/>
  <c r="C81" i="2" s="1"/>
  <c r="F74" i="2"/>
  <c r="H11" i="14"/>
  <c r="W99" i="2" s="1"/>
  <c r="X99" i="2" s="1"/>
  <c r="H27" i="14"/>
  <c r="W103" i="2" s="1"/>
  <c r="X103" i="2" s="1"/>
  <c r="H43" i="14"/>
  <c r="W107" i="2" s="1"/>
  <c r="X107" i="2" s="1"/>
  <c r="H23" i="28"/>
  <c r="I46" i="2" s="1"/>
  <c r="J46" i="2" s="1"/>
  <c r="H39" i="28"/>
  <c r="I50" i="2" s="1"/>
  <c r="J50" i="2" s="1"/>
  <c r="H43" i="30"/>
  <c r="W32" i="2" s="1"/>
  <c r="X32" i="2" s="1"/>
  <c r="H11" i="7"/>
  <c r="B135" i="2" s="1"/>
  <c r="C135" i="2" s="1"/>
  <c r="H43" i="7"/>
  <c r="B143" i="2" s="1"/>
  <c r="C143" i="2" s="1"/>
  <c r="H47" i="32"/>
  <c r="I33" i="2" s="1"/>
  <c r="J33" i="2" s="1"/>
  <c r="H27" i="5"/>
  <c r="I139" i="2" s="1"/>
  <c r="J139" i="2" s="1"/>
  <c r="H35" i="5"/>
  <c r="I141" i="2" s="1"/>
  <c r="J141" i="2" s="1"/>
  <c r="H43" i="5"/>
  <c r="I143" i="2" s="1"/>
  <c r="J143" i="2" s="1"/>
  <c r="H27" i="7"/>
  <c r="B139" i="2" s="1"/>
  <c r="C139" i="2" s="1"/>
  <c r="H51" i="7"/>
  <c r="B145" i="2" s="1"/>
  <c r="C145" i="2" s="1"/>
  <c r="H19" i="9"/>
  <c r="W7" i="2" s="1"/>
  <c r="H23" i="9"/>
  <c r="W8" i="2" s="1"/>
  <c r="H27" i="9"/>
  <c r="W9" i="2" s="1"/>
  <c r="H51" i="9"/>
  <c r="W15" i="2" s="1"/>
  <c r="H15" i="10"/>
  <c r="I118" i="2" s="1"/>
  <c r="J118" i="2" s="1"/>
  <c r="H31" i="10"/>
  <c r="I122" i="2" s="1"/>
  <c r="J122" i="2" s="1"/>
  <c r="H47" i="10"/>
  <c r="I126" i="2" s="1"/>
  <c r="J126" i="2" s="1"/>
  <c r="H31" i="11"/>
  <c r="B29" i="2" s="1"/>
  <c r="H43" i="11"/>
  <c r="B32" i="2" s="1"/>
  <c r="H47" i="11"/>
  <c r="B33" i="2" s="1"/>
  <c r="H51" i="11"/>
  <c r="B34" i="2" s="1"/>
  <c r="H15" i="13"/>
  <c r="P6" i="2" s="1"/>
  <c r="H19" i="13"/>
  <c r="P7" i="2" s="1"/>
  <c r="H23" i="13"/>
  <c r="P8" i="2" s="1"/>
  <c r="Q8" i="2" s="1"/>
  <c r="H31" i="13"/>
  <c r="P10" i="2" s="1"/>
  <c r="H35" i="13"/>
  <c r="P12" i="2" s="1"/>
  <c r="H39" i="13"/>
  <c r="P13" i="2" s="1"/>
  <c r="H47" i="13"/>
  <c r="P15" i="2" s="1"/>
  <c r="H51"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5"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R17" i="2"/>
  <c r="AA82" i="2"/>
  <c r="Z82" i="2"/>
  <c r="T129" i="2"/>
  <c r="L6" i="3"/>
  <c r="E6" i="3"/>
  <c r="H27" i="13"/>
  <c r="P9" i="2" s="1"/>
  <c r="H43" i="13"/>
  <c r="P14" i="2" s="1"/>
  <c r="S89" i="2"/>
  <c r="T89" i="2"/>
  <c r="K111" i="2"/>
  <c r="AA86" i="2"/>
  <c r="Z86" i="2"/>
  <c r="M6" i="3"/>
  <c r="D6" i="3"/>
  <c r="F6" i="3"/>
  <c r="T83" i="2"/>
  <c r="S83" i="2"/>
  <c r="G6" i="3"/>
  <c r="H11" i="4"/>
  <c r="I5" i="2" s="1"/>
  <c r="J5" i="2" s="1"/>
  <c r="H43" i="4"/>
  <c r="I13" i="2" s="1"/>
  <c r="J13" i="2" s="1"/>
  <c r="H19" i="7"/>
  <c r="B137" i="2" s="1"/>
  <c r="C137" i="2" s="1"/>
  <c r="AA90" i="2"/>
  <c r="Z90" i="2"/>
  <c r="K147" i="2"/>
  <c r="H6" i="3"/>
  <c r="H39" i="4"/>
  <c r="I12" i="2" s="1"/>
  <c r="J12" i="2" s="1"/>
  <c r="H15" i="9"/>
  <c r="W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AA83" i="2"/>
  <c r="H39" i="18"/>
  <c r="W88" i="2" s="1"/>
  <c r="X88" i="2" s="1"/>
  <c r="Z91" i="2"/>
  <c r="AA91" i="2"/>
  <c r="H19" i="19"/>
  <c r="P83" i="2" s="1"/>
  <c r="Q83" i="2" s="1"/>
  <c r="T86" i="2"/>
  <c r="S86" i="2"/>
  <c r="H8" i="3" s="1"/>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27" i="31"/>
  <c r="P28" i="2" s="1"/>
  <c r="Q28" i="2" s="1"/>
  <c r="H39"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19" i="31"/>
  <c r="P26" i="2" s="1"/>
  <c r="Q26" i="2" s="1"/>
  <c r="H51"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H35" i="19"/>
  <c r="P87" i="2" s="1"/>
  <c r="Q87" i="2" s="1"/>
  <c r="T90" i="2"/>
  <c r="S90" i="2"/>
  <c r="L8" i="3" s="1"/>
  <c r="H15" i="20"/>
  <c r="I82" i="2" s="1"/>
  <c r="J82" i="2" s="1"/>
  <c r="H31" i="20"/>
  <c r="I86" i="2" s="1"/>
  <c r="J86" i="2" s="1"/>
  <c r="M87" i="2"/>
  <c r="I10" i="3" s="1"/>
  <c r="L87" i="2"/>
  <c r="H47" i="20"/>
  <c r="I90" i="2" s="1"/>
  <c r="J90" i="2" s="1"/>
  <c r="M91" i="2"/>
  <c r="L91" i="2"/>
  <c r="H19" i="21"/>
  <c r="B83" i="2" s="1"/>
  <c r="C83" i="2" s="1"/>
  <c r="H51" i="21"/>
  <c r="B91" i="2" s="1"/>
  <c r="C91" i="2" s="1"/>
  <c r="H39" i="23"/>
  <c r="P69" i="2" s="1"/>
  <c r="Q69" i="2" s="1"/>
  <c r="H11" i="31"/>
  <c r="P24" i="2" s="1"/>
  <c r="Q24" i="2" s="1"/>
  <c r="H43" i="31"/>
  <c r="P32" i="2" s="1"/>
  <c r="Q32" i="2" s="1"/>
  <c r="H23"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1" i="11"/>
  <c r="B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2" i="26"/>
  <c r="W53" i="2" s="1"/>
  <c r="X53" i="2" s="1"/>
  <c r="H48" i="26"/>
  <c r="W52" i="2" s="1"/>
  <c r="X52" i="2" s="1"/>
  <c r="H44" i="26"/>
  <c r="W51" i="2" s="1"/>
  <c r="X51" i="2" s="1"/>
  <c r="H40" i="26"/>
  <c r="W50" i="2" s="1"/>
  <c r="X50" i="2" s="1"/>
  <c r="H36" i="26"/>
  <c r="W49" i="2" s="1"/>
  <c r="X49" i="2" s="1"/>
  <c r="H32" i="26"/>
  <c r="W48" i="2" s="1"/>
  <c r="X48" i="2" s="1"/>
  <c r="H28" i="26"/>
  <c r="W47" i="2" s="1"/>
  <c r="X47" i="2" s="1"/>
  <c r="H24" i="26"/>
  <c r="W46" i="2" s="1"/>
  <c r="X46" i="2" s="1"/>
  <c r="H20" i="26"/>
  <c r="W45" i="2" s="1"/>
  <c r="X45" i="2" s="1"/>
  <c r="H16" i="26"/>
  <c r="W44" i="2" s="1"/>
  <c r="X44" i="2" s="1"/>
  <c r="H12"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4" i="29"/>
  <c r="B43" i="2" s="1"/>
  <c r="C43" i="2" s="1"/>
  <c r="H18" i="29"/>
  <c r="B44" i="2" s="1"/>
  <c r="C44" i="2" s="1"/>
  <c r="H22" i="29"/>
  <c r="B45" i="2" s="1"/>
  <c r="C45" i="2" s="1"/>
  <c r="H26" i="29"/>
  <c r="B46" i="2" s="1"/>
  <c r="C46" i="2" s="1"/>
  <c r="H30" i="29"/>
  <c r="B47" i="2" s="1"/>
  <c r="C47" i="2" s="1"/>
  <c r="H34" i="29"/>
  <c r="B48" i="2" s="1"/>
  <c r="C48" i="2" s="1"/>
  <c r="H38" i="29"/>
  <c r="B49" i="2" s="1"/>
  <c r="C49" i="2" s="1"/>
  <c r="H42" i="29"/>
  <c r="B50" i="2" s="1"/>
  <c r="C50" i="2" s="1"/>
  <c r="H46" i="29"/>
  <c r="B51" i="2" s="1"/>
  <c r="C51" i="2" s="1"/>
  <c r="H50" i="29"/>
  <c r="B52" i="2" s="1"/>
  <c r="C52" i="2" s="1"/>
  <c r="H54"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47" i="31"/>
  <c r="P33" i="2" s="1"/>
  <c r="Q33" i="2" s="1"/>
  <c r="H39" i="31"/>
  <c r="P31" i="2" s="1"/>
  <c r="Q31" i="2" s="1"/>
  <c r="H31" i="31"/>
  <c r="P29" i="2" s="1"/>
  <c r="Q29" i="2" s="1"/>
  <c r="H23" i="31"/>
  <c r="P27" i="2" s="1"/>
  <c r="Q27" i="2" s="1"/>
  <c r="H15" i="31"/>
  <c r="P25" i="2" s="1"/>
  <c r="Q25" i="2" s="1"/>
  <c r="H51" i="32"/>
  <c r="I34" i="2" s="1"/>
  <c r="J34" i="2" s="1"/>
  <c r="H43" i="32"/>
  <c r="I32" i="2" s="1"/>
  <c r="J32" i="2" s="1"/>
  <c r="H35" i="32"/>
  <c r="I30" i="2" s="1"/>
  <c r="J30" i="2" s="1"/>
  <c r="H27" i="32"/>
  <c r="I28" i="2" s="1"/>
  <c r="J28" i="2" s="1"/>
  <c r="H19" i="32"/>
  <c r="I26" i="2" s="1"/>
  <c r="J26" i="2" s="1"/>
  <c r="H11" i="32"/>
  <c r="I24" i="2" s="1"/>
  <c r="J24" i="2" s="1"/>
  <c r="H39" i="11"/>
  <c r="B31" i="2" s="1"/>
  <c r="H35" i="11"/>
  <c r="B30" i="2" s="1"/>
  <c r="H27" i="11"/>
  <c r="B28" i="2" s="1"/>
  <c r="H23" i="11"/>
  <c r="B27" i="2" s="1"/>
  <c r="H19" i="11"/>
  <c r="B26" i="2" s="1"/>
  <c r="H15" i="11"/>
  <c r="B25" i="2" s="1"/>
  <c r="H47" i="9"/>
  <c r="W14" i="2" s="1"/>
  <c r="H43" i="9"/>
  <c r="W13" i="2" s="1"/>
  <c r="H39" i="9"/>
  <c r="W12" i="2" s="1"/>
  <c r="H35" i="9"/>
  <c r="W11" i="2" s="1"/>
  <c r="H31" i="9"/>
  <c r="W10" i="2" s="1"/>
  <c r="L15" i="2"/>
  <c r="L17" i="2" s="1"/>
  <c r="I6" i="3"/>
  <c r="F9" i="2"/>
  <c r="H11" i="13"/>
  <c r="M15" i="2"/>
  <c r="Y93" i="2"/>
  <c r="R93" i="2"/>
  <c r="K93" i="2"/>
  <c r="D93" i="2"/>
  <c r="D74" i="2"/>
  <c r="F111" i="2"/>
  <c r="E111" i="2"/>
  <c r="D111" i="2"/>
  <c r="AA111" i="2"/>
  <c r="Z111" i="2"/>
  <c r="Y111" i="2"/>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T36" i="2"/>
  <c r="S36" i="2"/>
  <c r="R36" i="2"/>
  <c r="E55" i="2"/>
  <c r="D55" i="2"/>
  <c r="L36" i="2"/>
  <c r="K36" i="2"/>
  <c r="M36" i="2"/>
  <c r="E36" i="2"/>
  <c r="D36" i="2"/>
  <c r="F36" i="2"/>
  <c r="AA36" i="2"/>
  <c r="Z36" i="2"/>
  <c r="Y36" i="2"/>
  <c r="AA17" i="2"/>
  <c r="Z17" i="2"/>
  <c r="Y17" i="2"/>
  <c r="K17" i="2"/>
  <c r="E17" i="2"/>
  <c r="D17" i="2"/>
  <c r="G51" i="1"/>
  <c r="F51" i="1"/>
  <c r="G47" i="1"/>
  <c r="F47" i="1"/>
  <c r="G43" i="1"/>
  <c r="F43" i="1"/>
  <c r="G39" i="1"/>
  <c r="F39" i="1"/>
  <c r="G35" i="1"/>
  <c r="F35" i="1"/>
  <c r="G31" i="1"/>
  <c r="F31" i="1"/>
  <c r="G27" i="1"/>
  <c r="F27" i="1"/>
  <c r="G23" i="1"/>
  <c r="F23" i="1"/>
  <c r="G19" i="1"/>
  <c r="F19" i="1"/>
  <c r="G15" i="1"/>
  <c r="F15" i="1"/>
  <c r="G11" i="1"/>
  <c r="F11" i="1"/>
  <c r="E8" i="3" l="1"/>
  <c r="P103" i="2"/>
  <c r="Q103" i="2" s="1"/>
  <c r="D8" i="3"/>
  <c r="H15" i="1"/>
  <c r="B6" i="2" s="1"/>
  <c r="C6" i="2" s="1"/>
  <c r="K8" i="3"/>
  <c r="J8" i="3"/>
  <c r="P11" i="2"/>
  <c r="E10" i="3"/>
  <c r="H10" i="3"/>
  <c r="AA93" i="2"/>
  <c r="W74" i="2"/>
  <c r="W75" i="2" s="1"/>
  <c r="W111" i="2"/>
  <c r="W112" i="2" s="1"/>
  <c r="S93" i="2"/>
  <c r="H11" i="1"/>
  <c r="P74" i="2"/>
  <c r="P75" i="2" s="1"/>
  <c r="F8" i="3"/>
  <c r="K10" i="3"/>
  <c r="C8" i="3"/>
  <c r="F10" i="3"/>
  <c r="H27" i="1"/>
  <c r="B9" i="2" s="1"/>
  <c r="C9" i="2" s="1"/>
  <c r="I8" i="3"/>
  <c r="T93" i="2"/>
  <c r="D10" i="3"/>
  <c r="J10" i="3"/>
  <c r="P55" i="2"/>
  <c r="P56" i="2" s="1"/>
  <c r="I129" i="2"/>
  <c r="I130" i="2" s="1"/>
  <c r="B147" i="2"/>
  <c r="B148" i="2" s="1"/>
  <c r="I93" i="2"/>
  <c r="I94" i="2" s="1"/>
  <c r="Z93" i="2"/>
  <c r="M10" i="3"/>
  <c r="G10" i="3"/>
  <c r="G8" i="3"/>
  <c r="L10" i="3"/>
  <c r="M17" i="2"/>
  <c r="M8" i="3"/>
  <c r="I17" i="2"/>
  <c r="I18" i="2" s="1"/>
  <c r="P5" i="2"/>
  <c r="I111" i="2"/>
  <c r="I112" i="2" s="1"/>
  <c r="L93" i="2"/>
  <c r="M93" i="2"/>
  <c r="F17" i="2"/>
  <c r="B74" i="2"/>
  <c r="B75" i="2" s="1"/>
  <c r="W36" i="2"/>
  <c r="W37" i="2" s="1"/>
  <c r="I147" i="2"/>
  <c r="I148" i="2" s="1"/>
  <c r="H31" i="1"/>
  <c r="B10" i="2" s="1"/>
  <c r="C10" i="2" s="1"/>
  <c r="B93" i="2"/>
  <c r="B94" i="2" s="1"/>
  <c r="H19"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23" i="1"/>
  <c r="B8" i="2" s="1"/>
  <c r="C8" i="2" s="1"/>
  <c r="H39" i="1"/>
  <c r="B12" i="2" s="1"/>
  <c r="C12" i="2" s="1"/>
  <c r="H47" i="1"/>
  <c r="B14" i="2" s="1"/>
  <c r="C14" i="2" s="1"/>
  <c r="H43" i="1"/>
  <c r="B13" i="2" s="1"/>
  <c r="C13" i="2" s="1"/>
  <c r="H35" i="1"/>
  <c r="B11" i="2" s="1"/>
  <c r="C11" i="2" s="1"/>
  <c r="H51" i="1"/>
  <c r="B15" i="2" s="1"/>
  <c r="C15" i="2" s="1"/>
  <c r="B5" i="2"/>
  <c r="C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tc={1BD60D11-5CB1-4BD2-9332-CDAE8C5BA885}</author>
  </authors>
  <commentList>
    <comment ref="B19" authorId="0" shapeId="0" xr:uid="{1BD60D11-5CB1-4BD2-9332-CDAE8C5BA885}">
      <text>
        <t>[Comentário encadeado]
Sua versão do Excel permite que você leia este comentário encadeado, no entanto, as edições serão removidas se o arquivo for aberto em uma versão mais recente do Excel. Saiba mais: https://go.microsoft.com/fwlink/?linkid=870924
Comentário:
    Locado em 09/04/2026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tc={9F6FE843-B845-4C20-8635-7B4487AF80EF}</author>
    <author>tc={5F679F47-D7E6-444B-AA05-658B5E5A228C}</author>
    <author>tc={590735DA-DD06-49D5-8CC4-504884F16605}</author>
    <author>tc={5BFA6157-1F47-487E-94B8-9B44A541D608}</author>
    <author>tc={C7D0740F-E1C7-48D4-AAF8-34FA53F52E17}</author>
  </authors>
  <commentList>
    <comment ref="E100" authorId="0" shapeId="0" xr:uid="{9F6FE843-B845-4C20-8635-7B4487AF80EF}">
      <text>
        <t>[Comentário encadeado]
Sua versão do Excel permite que você leia este comentário encadeado, no entanto, as edições serão removidas se o arquivo for aberto em uma versão mais recente do Excel. Saiba mais: https://go.microsoft.com/fwlink/?linkid=870924
Comentário:
    Recesso final de ano de 02/12/25 a 05/01/2026</t>
      </text>
    </comment>
    <comment ref="E104" authorId="1" shapeId="0" xr:uid="{5F679F47-D7E6-444B-AA05-658B5E5A228C}">
      <text>
        <t>[Comentário encadeado]
Sua versão do Excel permite que você leia este comentário encadeado, no entanto, as edições serão removidas se o arquivo for aberto em uma versão mais recente do Excel. Saiba mais: https://go.microsoft.com/fwlink/?linkid=870924
Comentário:
    23/01/2026 Viajou de Tanque Novo BA para Queimada Nova - PI - previsão ficar 1 mês e retornar.</t>
      </text>
    </comment>
    <comment ref="E112" authorId="2" shapeId="0" xr:uid="{590735DA-DD06-49D5-8CC4-504884F16605}">
      <text>
        <t>[Comentário encadeado]
Sua versão do Excel permite que você leia este comentário encadeado, no entanto, as edições serão removidas se o arquivo for aberto em uma versão mais recente do Excel. Saiba mais: https://go.microsoft.com/fwlink/?linkid=870924
Comentário:
    Houve uso particular não solicitado para Estreito MA 1.112km de queimada nova PI e Estreito MA x tanque Novo PI 1.401km</t>
      </text>
    </comment>
    <comment ref="E116" authorId="3" shapeId="0" xr:uid="{5BFA6157-1F47-487E-94B8-9B44A541D608}">
      <text>
        <t>[Comentário encadeado]
Sua versão do Excel permite que você leia este comentário encadeado, no entanto, as edições serão removidas se o arquivo for aberto em uma versão mais recente do Excel. Saiba mais: https://go.microsoft.com/fwlink/?linkid=870924
Comentário:
    Devolução_substituição 24/04/26</t>
      </text>
    </comment>
    <comment ref="D120" authorId="4" shapeId="0" xr:uid="{C7D0740F-E1C7-48D4-AAF8-34FA53F52E17}">
      <text>
        <t>[Comentário encadeado]
Sua versão do Excel permite que você leia este comentário encadeado, no entanto, as edições serão removidas se o arquivo for aberto em uma versão mais recente do Excel. Saiba mais: https://go.microsoft.com/fwlink/?linkid=870924
Comentário:
    Substituição_retirada 24/04/26 vitoria da conquista BA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Administrativo2</author>
    <author>tc={21F4A4BC-FF8B-4825-AC1C-172EB264941D}</author>
  </authors>
  <commentList>
    <comment ref="P70" authorId="0" shapeId="0" xr:uid="{A305BCBD-B4A1-460C-9C14-7B9C3669B561}">
      <text>
        <r>
          <rPr>
            <b/>
            <sz val="9"/>
            <color indexed="81"/>
            <rFont val="Segoe UI"/>
            <family val="2"/>
          </rPr>
          <t>Administrativo2:</t>
        </r>
        <r>
          <rPr>
            <sz val="9"/>
            <color indexed="81"/>
            <rFont val="Segoe UI"/>
            <family val="2"/>
          </rPr>
          <t xml:space="preserve">
Russas - caetité</t>
        </r>
      </text>
    </comment>
    <comment ref="Q70" authorId="0" shapeId="0" xr:uid="{0A1F4953-81BC-4A34-B307-8948134AD5C5}">
      <text>
        <r>
          <rPr>
            <b/>
            <sz val="9"/>
            <color indexed="81"/>
            <rFont val="Segoe UI"/>
            <family val="2"/>
          </rPr>
          <t>Administrativo2:</t>
        </r>
        <r>
          <rPr>
            <sz val="9"/>
            <color indexed="81"/>
            <rFont val="Segoe UI"/>
            <family val="2"/>
          </rPr>
          <t xml:space="preserve">
Russas - caetité</t>
        </r>
      </text>
    </comment>
    <comment ref="C111" authorId="1" shapeId="0" xr:uid="{21F4A4BC-FF8B-4825-AC1C-172EB264941D}">
      <text>
        <t>[Comentário encadeado]
Sua versão do Excel permite que você leia este comentário encadeado, no entanto, as edições serão removidas se o arquivo for aberto em uma versão mais recente do Excel. Saiba mais: https://go.microsoft.com/fwlink/?linkid=870924
Comentário:
    Devolução 09/03/26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E71" authorId="0" shapeId="0" xr:uid="{D3C8E02B-1A66-4C6D-9276-B4A3E4CE5D0F}">
      <text>
        <r>
          <rPr>
            <b/>
            <sz val="9"/>
            <color indexed="81"/>
            <rFont val="Segoe UI"/>
            <family val="2"/>
          </rPr>
          <t>Administrativo2:</t>
        </r>
        <r>
          <rPr>
            <sz val="9"/>
            <color indexed="81"/>
            <rFont val="Segoe UI"/>
            <family val="2"/>
          </rPr>
          <t xml:space="preserve">
Até o dia 24/05/2025</t>
        </r>
      </text>
    </comment>
    <comment ref="O78" authorId="0" shapeId="0" xr:uid="{C8016A74-C440-4216-9D7D-DB59FD114030}">
      <text>
        <r>
          <rPr>
            <b/>
            <sz val="9"/>
            <color indexed="81"/>
            <rFont val="Segoe UI"/>
            <family val="2"/>
          </rPr>
          <t>Completou o tanque com recurso próprio para devolver o carro, valor reembolsado para Ademir.</t>
        </r>
        <r>
          <rPr>
            <sz val="9"/>
            <color indexed="81"/>
            <rFont val="Segoe UI"/>
            <family val="2"/>
          </rPr>
          <t xml:space="preserve">
</t>
        </r>
      </text>
    </comment>
    <comment ref="E79" authorId="0" shapeId="0" xr:uid="{5DF21693-DC7C-4D3A-95EA-32C7453ADA99}">
      <text>
        <r>
          <rPr>
            <b/>
            <sz val="9"/>
            <color indexed="81"/>
            <rFont val="Segoe UI"/>
            <family val="2"/>
          </rPr>
          <t>T-Cross ELI4J04 devolvido em 23/07/2025</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Recepção</author>
    <author>Administrativo2</author>
  </authors>
  <commentList>
    <comment ref="C70" authorId="0" shapeId="0" xr:uid="{6C921923-E5A9-49D6-AA1A-DF0093F313A7}">
      <text>
        <r>
          <rPr>
            <b/>
            <sz val="9"/>
            <color indexed="81"/>
            <rFont val="Segoe UI"/>
            <family val="2"/>
          </rPr>
          <t>Recepção:</t>
        </r>
        <r>
          <rPr>
            <sz val="9"/>
            <color indexed="81"/>
            <rFont val="Segoe UI"/>
            <family val="2"/>
          </rPr>
          <t xml:space="preserve">
SIN6C94 Devolvido (substituição) 16/04/2025</t>
        </r>
      </text>
    </comment>
    <comment ref="D70" authorId="0" shapeId="0" xr:uid="{1DE502AA-73C7-441A-9DD0-5FE5674D257C}">
      <text>
        <r>
          <rPr>
            <b/>
            <sz val="9"/>
            <color indexed="81"/>
            <rFont val="Segoe UI"/>
            <family val="2"/>
          </rPr>
          <t>Recepção:</t>
        </r>
        <r>
          <rPr>
            <sz val="9"/>
            <color indexed="81"/>
            <rFont val="Segoe UI"/>
            <family val="2"/>
          </rPr>
          <t xml:space="preserve">
Veículo retirado (substituição) 16/04/2025 - T-Cross TJT2E59</t>
        </r>
      </text>
    </comment>
    <comment ref="R85" authorId="1" shapeId="0" xr:uid="{6AEFE790-6BB7-45F6-BC97-00C389CF5847}">
      <text>
        <r>
          <rPr>
            <b/>
            <sz val="9"/>
            <color indexed="81"/>
            <rFont val="Segoe UI"/>
            <family val="2"/>
          </rPr>
          <t xml:space="preserve">Devolução veículo
</t>
        </r>
        <r>
          <rPr>
            <sz val="9"/>
            <color indexed="81"/>
            <rFont val="Segoe UI"/>
            <family val="2"/>
          </rPr>
          <t xml:space="preserve">
</t>
        </r>
      </text>
    </comment>
    <comment ref="E86" authorId="1" shapeId="0" xr:uid="{F7639AEE-B617-40DB-9F53-A3415501B492}">
      <text>
        <r>
          <rPr>
            <b/>
            <sz val="9"/>
            <color indexed="81"/>
            <rFont val="Segoe UI"/>
            <family val="2"/>
          </rPr>
          <t xml:space="preserve">T-Cross TJT2E59 devolvido em 29/08/2025
</t>
        </r>
        <r>
          <rPr>
            <sz val="9"/>
            <color indexed="81"/>
            <rFont val="Segoe UI"/>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E75" authorId="0" shapeId="0" xr:uid="{DE309A07-005D-4453-86D4-52C8721C70F1}">
      <text>
        <r>
          <rPr>
            <b/>
            <sz val="9"/>
            <color indexed="81"/>
            <rFont val="Segoe UI"/>
            <family val="2"/>
          </rPr>
          <t>Rogerio não enviou o controle de km no fechamento de Junho e o carro foi devolvido em 06 de Julho de 2025, rogerio não tirou foto do painel e do carro porque informou que esqueceu de levar o celular e o checklist e controle de km foi enviado só em 15/07, 9 dias após a devolução do veículo e no controle enviado só consta informações do período 01 a 06/07/25. No dia 06/07 (data da devolução) consta que o carro foi devolvido com 37.160km, mas na ficha de inspeção da locadora consta 44.649km, questionei por e-mail a Rogerio qual a informação correta (Laura)</t>
        </r>
        <r>
          <rPr>
            <sz val="9"/>
            <color indexed="81"/>
            <rFont val="Segoe UI"/>
            <family val="2"/>
          </rPr>
          <t xml:space="preserve">
</t>
        </r>
      </text>
    </comment>
    <comment ref="C79" authorId="0" shapeId="0" xr:uid="{DF8C3EEF-ADB4-4414-887B-A8BEF03CEE5F}">
      <text>
        <r>
          <rPr>
            <b/>
            <sz val="9"/>
            <color indexed="81"/>
            <rFont val="Segoe UI"/>
            <family val="2"/>
          </rPr>
          <t>Rogerio não enviou o controle de km no fechamento de Junho e o carro foi devolvido em 06 de Julho de 2025, rogerio não tirou foto do painel e do carro porque informou que esqueceu de levar o celular e o checklist e controle de km foi enviado só em 15/07, 9 dias após a devolução do veículo e no controle enviado só consta informações do período 01 a 06/07/25. No dia 06/07 (data da devolução) consta que o carro foi devolvido com 37.160km, mas na ficha de inspeção da locadora consta 44.649km, questionei por e-mail a Rogerio qual a informação correta (Laura)</t>
        </r>
        <r>
          <rPr>
            <sz val="9"/>
            <color indexed="81"/>
            <rFont val="Segoe UI"/>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Recepção</author>
    <author>Administrativo2</author>
  </authors>
  <commentList>
    <comment ref="D59" authorId="0" shapeId="0" xr:uid="{DC852B01-C3BB-428D-B0AF-6778173CB658}">
      <text>
        <r>
          <rPr>
            <b/>
            <sz val="9"/>
            <color indexed="81"/>
            <rFont val="Segoe UI"/>
            <family val="2"/>
          </rPr>
          <t>Recepção:</t>
        </r>
        <r>
          <rPr>
            <sz val="9"/>
            <color indexed="81"/>
            <rFont val="Segoe UI"/>
            <family val="2"/>
          </rPr>
          <t xml:space="preserve">
Mudança de condutor 15/02/2025 Daniel Freita - Jonatas
</t>
        </r>
      </text>
    </comment>
    <comment ref="C71" authorId="1" shapeId="0" xr:uid="{3EAFF2F4-4C9E-472B-8C69-D1D6E7C64560}">
      <text>
        <r>
          <rPr>
            <b/>
            <sz val="9"/>
            <color indexed="81"/>
            <rFont val="Segoe UI"/>
            <family val="2"/>
          </rPr>
          <t>Administrativo2:</t>
        </r>
        <r>
          <rPr>
            <sz val="9"/>
            <color indexed="81"/>
            <rFont val="Segoe UI"/>
            <family val="2"/>
          </rPr>
          <t xml:space="preserve">
Devolução em 19/05/2025</t>
        </r>
      </text>
    </comment>
  </commentList>
</comments>
</file>

<file path=xl/sharedStrings.xml><?xml version="1.0" encoding="utf-8"?>
<sst xmlns="http://schemas.openxmlformats.org/spreadsheetml/2006/main" count="9160" uniqueCount="135">
  <si>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</si>
  <si>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</si>
  <si>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</si>
  <si>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</si>
  <si>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</si>
  <si>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</si>
  <si>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</si>
  <si>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</si>
  <si>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</si>
  <si>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</si>
  <si>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</si>
  <si>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</si>
  <si>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</si>
  <si>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</si>
  <si>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</si>
  <si>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</si>
  <si>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</si>
  <si>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</si>
  <si>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</si>
  <si>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</si>
  <si>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</si>
  <si>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</si>
  <si>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</si>
  <si>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</si>
  <si>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</si>
  <si>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</si>
  <si>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</si>
  <si>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</si>
  <si>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</si>
  <si>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</si>
  <si>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</si>
  <si>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</si>
  <si>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</si>
  <si>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</si>
  <si>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</si>
  <si>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</si>
  <si>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</si>
  <si>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</si>
  <si>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</si>
  <si>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</si>
  <si>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</si>
  <si>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</si>
  <si>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</si>
  <si>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</si>
  <si>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</si>
  <si>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</si>
  <si>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</si>
  <si>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</si>
  <si>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</si>
  <si>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</si>
  <si>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</si>
  <si>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</si>
  <si>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CAR_13</t>
  </si>
  <si>
    <t>CAR_14</t>
  </si>
  <si>
    <t>CAR_15</t>
  </si>
  <si>
    <t>CAR_16</t>
  </si>
  <si>
    <t>CAR_17</t>
  </si>
  <si>
    <t>CAR_18</t>
  </si>
  <si>
    <t>CAR_19</t>
  </si>
  <si>
    <t>CAR_20</t>
  </si>
  <si>
    <t>CAR_21</t>
  </si>
  <si>
    <t>CAR_22</t>
  </si>
  <si>
    <t>CAR_23</t>
  </si>
  <si>
    <t>CAR_24</t>
  </si>
  <si>
    <t>Lucro Car's</t>
  </si>
  <si>
    <t>Data mob.</t>
  </si>
  <si>
    <t>KM RODADO</t>
  </si>
  <si>
    <t>Carlos Eduardo km contratado 6000</t>
  </si>
  <si>
    <t>Eliomar km contratado 5000</t>
  </si>
  <si>
    <t>SIJ3F45</t>
  </si>
  <si>
    <t>TCROSS</t>
  </si>
  <si>
    <t>RENEGADE</t>
  </si>
  <si>
    <t>CGN RUSSAS</t>
  </si>
  <si>
    <t>André km contrato 4500</t>
  </si>
  <si>
    <t>Jairo km contratado 4500</t>
  </si>
  <si>
    <t>Eric km contratado 4500</t>
  </si>
  <si>
    <t>SHG7D06</t>
  </si>
  <si>
    <t>EZP8A71</t>
  </si>
  <si>
    <t>Jonatas</t>
  </si>
  <si>
    <t>SYD7F03 - SYD7E73</t>
  </si>
  <si>
    <t>FIJ6H51</t>
  </si>
  <si>
    <t>Filipe</t>
  </si>
  <si>
    <t>SIN6B88 - SIN6C94</t>
  </si>
  <si>
    <t>TCE6I05 - GEQ0G23</t>
  </si>
  <si>
    <t>ONIX - TCROSS</t>
  </si>
  <si>
    <t>TCB9G87</t>
  </si>
  <si>
    <t>TRACKER</t>
  </si>
  <si>
    <t>Rogerio</t>
  </si>
  <si>
    <t>Felipe-Daniel</t>
  </si>
  <si>
    <t>Jerfferson</t>
  </si>
  <si>
    <t xml:space="preserve">Ademir </t>
  </si>
  <si>
    <t>André Gadelha</t>
  </si>
  <si>
    <t>tcross</t>
  </si>
  <si>
    <t xml:space="preserve"> POLO - RENEGADE</t>
  </si>
  <si>
    <t>FMO6F82 - SHW6C94</t>
  </si>
  <si>
    <t>SIN6C94 Setembro</t>
  </si>
  <si>
    <t>ELI4J04</t>
  </si>
  <si>
    <t xml:space="preserve">POLO TRACK - TCROSS </t>
  </si>
  <si>
    <t>T Cross</t>
  </si>
  <si>
    <t xml:space="preserve"> ENH4J51 ( desde 21/11/24)</t>
  </si>
  <si>
    <t>Antes Renegade SIN6B75</t>
  </si>
  <si>
    <r>
      <t xml:space="preserve">GIA5H51 - </t>
    </r>
    <r>
      <rPr>
        <sz val="11"/>
        <color rgb="FFFF0000"/>
        <rFont val="Aptos Narrow"/>
        <family val="2"/>
        <scheme val="minor"/>
      </rPr>
      <t>14/10/24 SVW2F07</t>
    </r>
  </si>
  <si>
    <t>Janeiro</t>
  </si>
  <si>
    <t>SUI0E07</t>
  </si>
  <si>
    <t>20/01/2025 SUI0E07</t>
  </si>
  <si>
    <t>Devolução 15/02/2025</t>
  </si>
  <si>
    <t>Substituição</t>
  </si>
  <si>
    <t>TCROSS SYD7C46</t>
  </si>
  <si>
    <t>Devolução</t>
  </si>
  <si>
    <t>25/02/25025</t>
  </si>
  <si>
    <t>SIN6C94</t>
  </si>
  <si>
    <t>Renegade</t>
  </si>
  <si>
    <t>Substituição 2</t>
  </si>
  <si>
    <t>Substituição 1</t>
  </si>
  <si>
    <t xml:space="preserve">POLO </t>
  </si>
  <si>
    <t xml:space="preserve"> SIN6B75 </t>
  </si>
  <si>
    <t xml:space="preserve">GFK9J42  </t>
  </si>
  <si>
    <t>Substituição 3</t>
  </si>
  <si>
    <t>TJT2E59</t>
  </si>
  <si>
    <t>T-Cross</t>
  </si>
  <si>
    <t>Devolução:</t>
  </si>
  <si>
    <t>Desmobilização</t>
  </si>
  <si>
    <t>A partir de 01/07/2025 entrou em medição na obra 25.011 CGN Lapa</t>
  </si>
  <si>
    <t>Data Devol.</t>
  </si>
  <si>
    <t>Modelo</t>
  </si>
  <si>
    <t>Data Mob</t>
  </si>
  <si>
    <t>km</t>
  </si>
  <si>
    <t>KM</t>
  </si>
  <si>
    <t>Data Desmob.</t>
  </si>
  <si>
    <t>Unidas - 3S</t>
  </si>
  <si>
    <t>TXZ1G54</t>
  </si>
  <si>
    <t>Substituição Veículo</t>
  </si>
  <si>
    <t>Substituição Veículo 2</t>
  </si>
  <si>
    <t>TEL5C58</t>
  </si>
  <si>
    <t>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</si>
</sst>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R$&quot;\ #,##0.00;[Red]\-&quot;R$&quot;\ #,##0.00"/>
    <numFmt numFmtId="44" formatCode="_-&quot;R$&quot;\ * #,##0.00_-;\-&quot;R$&quot;\ * #,##0.00_-;_-&quot;R$&quot;\ * &quot;-&quot;??_-;_-@_-"/>
    <numFmt numFmtId="164" formatCode="_-[$R$-416]\ * #,##0.00_-;\-[$R$-416]\ * #,##0.00_-;_-[$R$-416]\ * &quot;-&quot;??_-;_-@_-"/>
    <numFmt numFmtId="165" formatCode="&quot;R$&quot;\ #,##0.00"/>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11"/>
      <color rgb="FF000000"/>
      <name val="Calibri"/>
      <family val="2"/>
    </font>
    <font>
      <sz val="11"/>
      <color rgb="FFFF0000"/>
      <name val="Aptos Narrow"/>
      <family val="2"/>
      <scheme val="minor"/>
    </font>
    <font>
      <sz val="11"/>
      <color rgb="FFA66500"/>
      <name val="Aptos Narrow"/>
      <family val="2"/>
      <scheme val="minor"/>
    </font>
    <font>
      <b/>
      <sz val="11"/>
      <color rgb="FFFF0000"/>
      <name val="Aptos Narrow"/>
      <family val="2"/>
      <scheme val="minor"/>
    </font>
    <font>
      <sz val="9"/>
      <color indexed="81"/>
      <name val="Segoe UI"/>
      <family val="2"/>
    </font>
    <font>
      <b/>
      <sz val="9"/>
      <color indexed="81"/>
      <name val="Segoe UI"/>
      <family val="2"/>
    </font>
    <font>
      <b/>
      <sz val="16"/>
      <color rgb="FFFF0000"/>
      <name val="Aptos Narrow"/>
      <family val="2"/>
      <scheme val="minor"/>
    </font>
    <font>
      <b/>
      <sz val="14"/>
      <color rgb="FFFF0000"/>
      <name val="Aptos Narrow"/>
      <family val="2"/>
      <scheme val="minor"/>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s>
  <cellStyleXfs count="2">
    <xf numFmtId="0" fontId="0" fillId="0" borderId="0"/>
    <xf numFmtId="44" fontId="1" fillId="0" borderId="0" applyFont="0" applyFill="0" applyBorder="0" applyAlignment="0" applyProtection="0"/>
  </cellStyleXfs>
  <cellXfs count="115">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14" fontId="2" fillId="0" borderId="0" xfId="0" applyNumberFormat="1" applyFont="1" applyAlignment="1">
      <alignment horizontal="center"/>
    </xf>
    <xf numFmtId="3" fontId="0" fillId="0" borderId="17" xfId="0" applyNumberFormat="1" applyBorder="1" applyAlignment="1">
      <alignment horizontal="center"/>
    </xf>
    <xf numFmtId="3" fontId="0" fillId="0" borderId="0" xfId="0" applyNumberFormat="1"/>
    <xf numFmtId="14" fontId="0" fillId="0" borderId="6" xfId="0" applyNumberFormat="1" applyBorder="1"/>
    <xf numFmtId="0" fontId="2" fillId="0" borderId="19" xfId="0" applyFont="1" applyBorder="1" applyAlignment="1">
      <alignment horizontal="center"/>
    </xf>
    <xf numFmtId="0" fontId="2" fillId="0" borderId="28" xfId="0" applyFont="1" applyBorder="1" applyAlignment="1">
      <alignment horizontal="center"/>
    </xf>
    <xf numFmtId="0" fontId="0" fillId="0" borderId="22" xfId="0" applyBorder="1" applyAlignment="1">
      <alignment horizontal="center"/>
    </xf>
    <xf numFmtId="0" fontId="0" fillId="0" borderId="21" xfId="0" applyBorder="1" applyAlignment="1">
      <alignment horizontal="center"/>
    </xf>
    <xf numFmtId="0" fontId="7" fillId="0" borderId="16" xfId="0" applyFont="1" applyBorder="1"/>
    <xf numFmtId="0" fontId="7" fillId="0" borderId="18" xfId="0" applyFont="1" applyBorder="1"/>
    <xf numFmtId="0" fontId="0" fillId="0" borderId="1" xfId="0" applyBorder="1" applyAlignment="1">
      <alignment horizontal="left"/>
    </xf>
    <xf numFmtId="0" fontId="0" fillId="0" borderId="0" xfId="0" applyAlignment="1">
      <alignment horizontal="left"/>
    </xf>
    <xf numFmtId="14" fontId="9" fillId="0" borderId="5" xfId="0" applyNumberFormat="1" applyFont="1" applyBorder="1"/>
    <xf numFmtId="0" fontId="8" fillId="0" borderId="0" xfId="0" applyFont="1" applyAlignment="1">
      <alignment horizontal="center"/>
    </xf>
    <xf numFmtId="14" fontId="8" fillId="0" borderId="5" xfId="0" applyNumberFormat="1" applyFont="1" applyBorder="1"/>
    <xf numFmtId="0" fontId="8" fillId="0" borderId="17" xfId="0" applyFont="1" applyBorder="1" applyAlignment="1">
      <alignment horizontal="center"/>
    </xf>
    <xf numFmtId="0" fontId="10" fillId="0" borderId="0" xfId="0" applyFont="1" applyAlignment="1">
      <alignment horizontal="right"/>
    </xf>
    <xf numFmtId="14" fontId="8" fillId="0" borderId="1" xfId="1" applyNumberFormat="1" applyFont="1" applyBorder="1"/>
    <xf numFmtId="0" fontId="8" fillId="0" borderId="0" xfId="0" applyFont="1"/>
    <xf numFmtId="0" fontId="13" fillId="3" borderId="0" xfId="0" applyFont="1" applyFill="1" applyAlignment="1">
      <alignment horizontal="left"/>
    </xf>
    <xf numFmtId="0" fontId="14" fillId="3" borderId="0" xfId="0" applyFont="1" applyFill="1" applyAlignment="1">
      <alignment horizontal="left"/>
    </xf>
    <xf numFmtId="44" fontId="0" fillId="0" borderId="1" xfId="1" applyFont="1" applyBorder="1" applyAlignment="1">
      <alignment horizontal="center"/>
    </xf>
    <xf numFmtId="0" fontId="0" fillId="0" borderId="1" xfId="1" applyNumberFormat="1" applyFont="1" applyBorder="1" applyAlignment="1">
      <alignment horizontal="center"/>
    </xf>
    <xf numFmtId="14" fontId="0" fillId="0" borderId="1" xfId="1" applyNumberFormat="1" applyFont="1" applyBorder="1" applyAlignment="1">
      <alignment horizontal="center"/>
    </xf>
    <xf numFmtId="0" fontId="0" fillId="0" borderId="1" xfId="1" applyNumberFormat="1" applyFont="1" applyBorder="1"/>
    <xf numFmtId="0" fontId="2" fillId="0" borderId="0" xfId="0" applyFont="1" applyAlignment="1">
      <alignment horizontal="right" vertical="center"/>
    </xf>
    <xf numFmtId="44" fontId="0" fillId="0" borderId="0" xfId="1" applyFont="1" applyBorder="1"/>
    <xf numFmtId="0" fontId="2" fillId="6" borderId="14" xfId="0" applyFont="1" applyFill="1" applyBorder="1" applyAlignment="1">
      <alignment horizontal="center"/>
    </xf>
    <xf numFmtId="0" fontId="2" fillId="7" borderId="14" xfId="0" applyFont="1" applyFill="1" applyBorder="1" applyAlignment="1">
      <alignment horizontal="center"/>
    </xf>
    <xf numFmtId="0" fontId="2" fillId="4" borderId="14" xfId="0" applyFont="1" applyFill="1" applyBorder="1" applyAlignment="1">
      <alignment horizontal="center"/>
    </xf>
    <xf numFmtId="0" fontId="2" fillId="5" borderId="0" xfId="0" applyFont="1" applyFill="1" applyAlignment="1">
      <alignment horizontal="center"/>
    </xf>
    <xf numFmtId="0" fontId="2" fillId="0" borderId="0" xfId="0" applyFont="1" applyAlignment="1">
      <alignment horizontal="right" vertic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4" fillId="2" borderId="0" xfId="0" applyFont="1" applyFill="1" applyAlignment="1">
      <alignment horizontal="center"/>
    </xf>
    <xf numFmtId="14" fontId="2" fillId="2" borderId="0" xfId="0" applyNumberFormat="1" applyFont="1" applyFill="1" applyAlignment="1">
      <alignment horizontal="center"/>
    </xf>
    <xf numFmtId="0" fontId="2" fillId="2" borderId="0" xfId="0" applyFont="1" applyFill="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xf numFmtId="8" fontId="0" fillId="0" borderId="1" xfId="0" applyNumberFormat="1" applyBorder="1" applyAlignment="1">
      <alignment horizontal="center"/>
    </xf>
    <xf numFmtId="14" fontId="8" fillId="0" borderId="1" xfId="0" applyNumberFormat="1" applyFont="1" applyBorder="1" applyAlignment="1">
      <alignment horizontal="center"/>
    </xf>
    <xf numFmtId="0" fontId="8" fillId="0" borderId="1" xfId="0" applyFont="1" applyBorder="1" applyAlignment="1">
      <alignment horizontal="center"/>
    </xf>
    <xf numFmtId="0" fontId="0" fillId="0" borderId="28" xfId="0"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0</c:v>
                </c:pt>
                <c:pt idx="2">
                  <c:v>0</c:v>
                </c:pt>
                <c:pt idx="3">
                  <c:v>1511.42</c:v>
                </c:pt>
                <c:pt idx="4">
                  <c:v>6032.75</c:v>
                </c:pt>
                <c:pt idx="5">
                  <c:v>6591.72</c:v>
                </c:pt>
                <c:pt idx="6">
                  <c:v>6249.96</c:v>
                </c:pt>
                <c:pt idx="7">
                  <c:v>6340.37</c:v>
                </c:pt>
                <c:pt idx="8">
                  <c:v>6726.5899999999992</c:v>
                </c:pt>
                <c:pt idx="9">
                  <c:v>11899.47</c:v>
                </c:pt>
                <c:pt idx="10">
                  <c:v>3917.66</c:v>
                </c:pt>
                <c:pt idx="11">
                  <c:v>3076.4900000000002</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0</c:v>
                </c:pt>
                <c:pt idx="3">
                  <c:v>0</c:v>
                </c:pt>
                <c:pt idx="4">
                  <c:v>0</c:v>
                </c:pt>
                <c:pt idx="5">
                  <c:v>250</c:v>
                </c:pt>
                <c:pt idx="6">
                  <c:v>550</c:v>
                </c:pt>
                <c:pt idx="7">
                  <c:v>300</c:v>
                </c:pt>
                <c:pt idx="8">
                  <c:v>400</c:v>
                </c:pt>
                <c:pt idx="9">
                  <c:v>200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14CB15D2-ED23-4166-A6BA-3CFE5FE09F95}"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9" dT="2026-04-17T16:22:53.79" personId="{14CB15D2-ED23-4166-A6BA-3CFE5FE09F95}" id="{1BD60D11-5CB1-4BD2-9332-CDAE8C5BA885}">
    <text>Locado em 09/04/2026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E100" dT="2026-02-10T16:42:45.26" personId="{14CB15D2-ED23-4166-A6BA-3CFE5FE09F95}" id="{9F6FE843-B845-4C20-8635-7B4487AF80EF}">
    <text>Recesso final de ano de 02/12/25 a 05/01/2026</text>
  </threadedComment>
  <threadedComment ref="E104" dT="2026-02-10T16:55:15.66" personId="{14CB15D2-ED23-4166-A6BA-3CFE5FE09F95}" id="{5F679F47-D7E6-444B-AA05-658B5E5A228C}">
    <text>23/01/2026 Viajou de Tanque Novo BA para Queimada Nova - PI - previsão ficar 1 mês e retornar.</text>
  </threadedComment>
  <threadedComment ref="E112" dT="2026-04-08T15:06:42.17" personId="{14CB15D2-ED23-4166-A6BA-3CFE5FE09F95}" id="{590735DA-DD06-49D5-8CC4-504884F16605}">
    <text>Houve uso particular não solicitado para Estreito MA 1.112km de queimada nova PI e Estreito MA x tanque Novo PI 1.401km</text>
  </threadedComment>
  <threadedComment ref="E116" dT="2026-05-05T11:43:49.69" personId="{14CB15D2-ED23-4166-A6BA-3CFE5FE09F95}" id="{5BFA6157-1F47-487E-94B8-9B44A541D608}">
    <text>Devolução_substituição 24/04/26</text>
  </threadedComment>
  <threadedComment ref="D120" dT="2026-05-05T12:11:54.99" personId="{14CB15D2-ED23-4166-A6BA-3CFE5FE09F95}" id="{C7D0740F-E1C7-48D4-AAF8-34FA53F52E17}">
    <text>Substituição_retirada 24/04/26 vitoria da conquista BA</text>
  </threadedComment>
</ThreadedComments>
</file>

<file path=xl/threadedComments/threadedComment3.xml><?xml version="1.0" encoding="utf-8"?>
<ThreadedComments xmlns="http://schemas.microsoft.com/office/spreadsheetml/2018/threadedcomments" xmlns:x="http://schemas.openxmlformats.org/spreadsheetml/2006/main">
  <threadedComment ref="C111" dT="2026-03-13T10:47:00.78" personId="{14CB15D2-ED23-4166-A6BA-3CFE5FE09F95}" id="{21F4A4BC-FF8B-4825-AC1C-172EB264941D}">
    <text>Devolução 09/03/26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J6" sqref="J6"/>
    </sheetView>
  </sheetViews>
  <sheetFormatPr defaultRowHeight="15" x14ac:dyDescent="0.25"/>
  <cols>
    <col min="1" max="1" width="20.140625" bestFit="1" customWidth="1"/>
    <col min="2" max="2" width="13.28515625" bestFit="1" customWidth="1"/>
    <col min="3" max="3" width="13.140625" bestFit="1" customWidth="1"/>
    <col min="4" max="5" width="12.140625" bestFit="1" customWidth="1"/>
    <col min="6" max="6" width="13.28515625" customWidth="1"/>
    <col min="7" max="7" width="12.140625" bestFit="1" customWidth="1"/>
    <col min="8" max="8" width="13.28515625" bestFit="1" customWidth="1"/>
    <col min="9" max="9" width="12.140625" bestFit="1" customWidth="1"/>
    <col min="10" max="13" width="13.28515625" bestFit="1" customWidth="1"/>
  </cols>
  <sheetData>
    <row r="1" spans="1:25" x14ac:dyDescent="0.25">
      <c r="A1" s="108" t="s">
        <v>72</v>
      </c>
      <c r="B1" s="109"/>
      <c r="C1" s="109"/>
      <c r="D1" s="109"/>
      <c r="E1" s="109"/>
      <c r="F1" s="109"/>
      <c r="G1" s="109"/>
      <c r="H1" s="109"/>
      <c r="I1" s="109"/>
      <c r="J1" s="109"/>
      <c r="K1" s="109"/>
      <c r="L1" s="109"/>
      <c r="M1" s="109"/>
      <c r="N1" s="109"/>
      <c r="O1" s="109"/>
      <c r="P1" s="109"/>
      <c r="Q1" s="109"/>
      <c r="R1" s="109"/>
      <c r="S1" s="109"/>
      <c r="T1" s="109"/>
      <c r="U1" s="109"/>
      <c r="V1" s="109"/>
      <c r="W1" s="109"/>
      <c r="X1" s="109"/>
      <c r="Y1" s="109"/>
    </row>
    <row r="2" spans="1:25" x14ac:dyDescent="0.25">
      <c r="A2" s="109"/>
      <c r="B2" s="109"/>
      <c r="C2" s="109"/>
      <c r="D2" s="109"/>
      <c r="E2" s="109"/>
      <c r="F2" s="109"/>
      <c r="G2" s="109"/>
      <c r="H2" s="109"/>
      <c r="I2" s="109"/>
      <c r="J2" s="109"/>
      <c r="K2" s="109"/>
      <c r="L2" s="109"/>
      <c r="M2" s="109"/>
      <c r="N2" s="109"/>
      <c r="O2" s="109"/>
      <c r="P2" s="109"/>
      <c r="Q2" s="109"/>
      <c r="R2" s="109"/>
      <c r="S2" s="109"/>
      <c r="T2" s="109"/>
      <c r="U2" s="109"/>
      <c r="V2" s="109"/>
      <c r="W2" s="109"/>
      <c r="X2" s="109"/>
      <c r="Y2" s="109"/>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0</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0</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1511.42</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6032.75</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6591.72</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6249.96</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6340.37</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6726.5899999999992</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11899.47</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3917.66</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3076.4900000000002</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250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550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300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400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200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0</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107"/>
      <c r="C13" s="107"/>
      <c r="D13" s="107"/>
      <c r="E13" s="107"/>
      <c r="F13" s="107"/>
      <c r="G13" s="107"/>
      <c r="H13" s="107"/>
      <c r="I13" s="107"/>
      <c r="J13" s="107"/>
      <c r="K13" s="107"/>
      <c r="L13" s="107"/>
      <c r="M13" s="107"/>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64</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zoomScale="120" zoomScaleNormal="120" workbookViewId="0">
      <selection activeCell="D41" sqref="D41"/>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105" t="s">
        <v>67</v>
      </c>
      <c r="C2" s="105"/>
      <c r="D2" s="105"/>
      <c r="E2" s="105"/>
      <c r="F2" s="105"/>
      <c r="I2" s="110" t="s">
        <v>68</v>
      </c>
      <c r="J2" s="110"/>
      <c r="K2" s="110"/>
      <c r="L2" s="110"/>
      <c r="M2" s="110"/>
      <c r="P2" s="110" t="s">
        <v>73</v>
      </c>
      <c r="Q2" s="110"/>
      <c r="R2" s="110"/>
      <c r="S2" s="110"/>
      <c r="T2" s="110"/>
      <c r="W2" s="110" t="s">
        <v>74</v>
      </c>
      <c r="X2" s="110"/>
      <c r="Y2" s="110"/>
      <c r="Z2" s="110"/>
      <c r="AA2" s="110"/>
    </row>
    <row r="3" spans="1:27" ht="15.75" thickBot="1" x14ac:dyDescent="0.3">
      <c r="B3" s="22" t="s">
        <v>66</v>
      </c>
      <c r="C3" s="33" t="s">
        <v>30</v>
      </c>
      <c r="D3" s="23" t="s">
        <v>26</v>
      </c>
      <c r="E3" s="23" t="s">
        <v>25</v>
      </c>
      <c r="F3" s="25" t="s">
        <v>27</v>
      </c>
      <c r="I3" s="22" t="s">
        <v>66</v>
      </c>
      <c r="J3" s="33" t="s">
        <v>30</v>
      </c>
      <c r="K3" s="23" t="s">
        <v>26</v>
      </c>
      <c r="L3" s="23" t="s">
        <v>25</v>
      </c>
      <c r="M3" s="25" t="s">
        <v>27</v>
      </c>
      <c r="P3" s="22" t="s">
        <v>66</v>
      </c>
      <c r="Q3" s="33" t="s">
        <v>30</v>
      </c>
      <c r="R3" s="23" t="s">
        <v>26</v>
      </c>
      <c r="S3" s="23" t="s">
        <v>25</v>
      </c>
      <c r="T3" s="25" t="s">
        <v>27</v>
      </c>
      <c r="W3" s="22" t="s">
        <v>66</v>
      </c>
      <c r="X3" s="33" t="s">
        <v>30</v>
      </c>
      <c r="Y3" s="23" t="s">
        <v>26</v>
      </c>
      <c r="Z3" s="23" t="s">
        <v>25</v>
      </c>
      <c r="AA3" s="25" t="s">
        <v>27</v>
      </c>
    </row>
    <row r="4" spans="1:27" x14ac:dyDescent="0.25">
      <c r="A4" s="37" t="s">
        <v>31</v>
      </c>
      <c r="B4" s="58"/>
      <c r="C4" s="59">
        <v>0</v>
      </c>
      <c r="D4" s="60">
        <v>0</v>
      </c>
      <c r="E4" s="60">
        <v>0</v>
      </c>
      <c r="F4" s="61">
        <v>0</v>
      </c>
      <c r="H4" s="37" t="s">
        <v>31</v>
      </c>
      <c r="I4" s="45">
        <v>0</v>
      </c>
      <c r="J4" s="42">
        <v>5000</v>
      </c>
      <c r="K4" s="40">
        <v>0</v>
      </c>
      <c r="L4" s="40">
        <v>0</v>
      </c>
      <c r="M4" s="41">
        <v>0</v>
      </c>
      <c r="O4" s="37" t="s">
        <v>31</v>
      </c>
      <c r="P4" s="58">
        <v>0</v>
      </c>
      <c r="Q4" s="59">
        <v>4500</v>
      </c>
      <c r="R4" s="60">
        <v>0</v>
      </c>
      <c r="S4" s="60">
        <v>0</v>
      </c>
      <c r="T4" s="61">
        <v>0</v>
      </c>
      <c r="V4" s="37" t="s">
        <v>31</v>
      </c>
      <c r="W4" s="58">
        <v>0</v>
      </c>
      <c r="X4" s="59">
        <v>4500</v>
      </c>
      <c r="Y4" s="60">
        <v>0</v>
      </c>
      <c r="Z4" s="60">
        <v>0</v>
      </c>
      <c r="AA4" s="61">
        <v>0</v>
      </c>
    </row>
    <row r="5" spans="1:27" x14ac:dyDescent="0.25">
      <c r="A5" s="38" t="s">
        <v>32</v>
      </c>
      <c r="B5" s="46">
        <f>'Jonatas-Devol '!H11</f>
        <v>0</v>
      </c>
      <c r="C5" s="43">
        <f>SUM(6000-B5)</f>
        <v>6000</v>
      </c>
      <c r="D5" s="35">
        <f>'Jonatas-Devol '!U12</f>
        <v>0</v>
      </c>
      <c r="E5" s="35">
        <f>'Jonatas-Devol '!AC12</f>
        <v>0</v>
      </c>
      <c r="F5" s="36">
        <f>'Jonatas-Devol '!AK12</f>
        <v>0</v>
      </c>
      <c r="H5" s="38" t="s">
        <v>32</v>
      </c>
      <c r="I5" s="46">
        <f>'Eliomar-Desmob'!H11</f>
        <v>0</v>
      </c>
      <c r="J5" s="43">
        <f>SUM(5000-I5)</f>
        <v>5000</v>
      </c>
      <c r="K5" s="35">
        <f>'Eliomar-Desmob'!U12</f>
        <v>0</v>
      </c>
      <c r="L5" s="35">
        <f>'Eliomar-Desmob'!AC12</f>
        <v>0</v>
      </c>
      <c r="M5" s="36">
        <f>'Eliomar-Desmob'!AK12</f>
        <v>0</v>
      </c>
      <c r="O5" s="38" t="s">
        <v>32</v>
      </c>
      <c r="P5" s="46">
        <f>'Filipe-Desmob'!H11</f>
        <v>0</v>
      </c>
      <c r="Q5" s="43">
        <v>4500</v>
      </c>
      <c r="R5" s="35">
        <f>'Filipe-Desmob'!U12</f>
        <v>0</v>
      </c>
      <c r="S5" s="35">
        <f>'Filipe-Desmob'!AI12</f>
        <v>0</v>
      </c>
      <c r="T5" s="36">
        <f>'Filipe-Desmob'!AR12</f>
        <v>0</v>
      </c>
      <c r="V5" s="38" t="s">
        <v>32</v>
      </c>
      <c r="W5" s="46">
        <f>'Jairo - Desmob'!H11</f>
        <v>0</v>
      </c>
      <c r="X5" s="43">
        <v>4500</v>
      </c>
      <c r="Y5" s="35">
        <f>'Jairo - Desmob'!U12</f>
        <v>0</v>
      </c>
      <c r="Z5" s="35">
        <f>'Jairo - Desmob'!AI12</f>
        <v>0</v>
      </c>
      <c r="AA5" s="36">
        <f>'Jairo - Desmob'!AR12</f>
        <v>0</v>
      </c>
    </row>
    <row r="6" spans="1:27" x14ac:dyDescent="0.25">
      <c r="A6" s="38" t="s">
        <v>33</v>
      </c>
      <c r="B6" s="46">
        <f>'Jonatas-Devol '!H15</f>
        <v>0</v>
      </c>
      <c r="C6" s="43">
        <f t="shared" ref="C6:C15" si="0">SUM(6000-B6)</f>
        <v>6000</v>
      </c>
      <c r="D6" s="35">
        <f>'Jonatas-Devol '!U16</f>
        <v>0</v>
      </c>
      <c r="E6" s="35">
        <f>'Jonatas-Devol '!AC16</f>
        <v>0</v>
      </c>
      <c r="F6" s="36">
        <f>'Jonatas-Devol '!AK16</f>
        <v>0</v>
      </c>
      <c r="H6" s="38" t="s">
        <v>33</v>
      </c>
      <c r="I6" s="46">
        <f>'Eliomar-Desmob'!H15</f>
        <v>0</v>
      </c>
      <c r="J6" s="43">
        <f t="shared" ref="J6:J14" si="1">SUM(5000-I6)</f>
        <v>5000</v>
      </c>
      <c r="K6" s="35">
        <f>'Eliomar-Desmob'!U16</f>
        <v>0</v>
      </c>
      <c r="L6" s="35">
        <f>'Eliomar-Desmob'!AC16</f>
        <v>0</v>
      </c>
      <c r="M6" s="36">
        <f>'Eliomar-Desmob'!AK16</f>
        <v>0</v>
      </c>
      <c r="O6" s="38" t="s">
        <v>33</v>
      </c>
      <c r="P6" s="46">
        <f>'Filipe-Desmob'!H15</f>
        <v>0</v>
      </c>
      <c r="Q6" s="43">
        <v>4500</v>
      </c>
      <c r="R6" s="35">
        <f>'Filipe-Desmob'!U16</f>
        <v>0</v>
      </c>
      <c r="S6" s="35">
        <f>'Filipe-Desmob'!AI16</f>
        <v>0</v>
      </c>
      <c r="T6" s="36">
        <f>'Filipe-Desmob'!AR16</f>
        <v>0</v>
      </c>
      <c r="V6" s="38" t="s">
        <v>33</v>
      </c>
      <c r="W6" s="46">
        <f>'Jairo - Desmob'!H15</f>
        <v>0</v>
      </c>
      <c r="X6" s="43">
        <v>4500</v>
      </c>
      <c r="Y6" s="35">
        <f>'Jairo - Desmob'!U16</f>
        <v>0</v>
      </c>
      <c r="Z6" s="35">
        <f>'Jairo - Desmob'!AI16</f>
        <v>0</v>
      </c>
      <c r="AA6" s="36">
        <f>'Jairo - Desmob'!AR16</f>
        <v>0</v>
      </c>
    </row>
    <row r="7" spans="1:27" x14ac:dyDescent="0.25">
      <c r="A7" s="38" t="s">
        <v>34</v>
      </c>
      <c r="B7" s="46">
        <f>'Jonatas-Devol '!H19</f>
        <v>1113</v>
      </c>
      <c r="C7" s="43">
        <f t="shared" si="0"/>
        <v>4887</v>
      </c>
      <c r="D7" s="35">
        <f>'Jonatas-Devol '!U20</f>
        <v>617.70000000000005</v>
      </c>
      <c r="E7" s="35">
        <f>'Jonatas-Devol '!AC20</f>
        <v>0</v>
      </c>
      <c r="F7" s="36">
        <f>'Jonatas-Devol '!AK20</f>
        <v>0</v>
      </c>
      <c r="H7" s="38" t="s">
        <v>34</v>
      </c>
      <c r="I7" s="46">
        <f>'Eliomar-Desmob'!H19</f>
        <v>1449</v>
      </c>
      <c r="J7" s="43">
        <f t="shared" si="1"/>
        <v>3551</v>
      </c>
      <c r="K7" s="35">
        <f>'Eliomar-Desmob'!U20</f>
        <v>893.72</v>
      </c>
      <c r="L7" s="35">
        <f>'Eliomar-Desmob'!AC20</f>
        <v>0</v>
      </c>
      <c r="M7" s="36">
        <f>'Eliomar-Desmob'!AK20</f>
        <v>0</v>
      </c>
      <c r="O7" s="38" t="s">
        <v>34</v>
      </c>
      <c r="P7" s="46">
        <f>'Filipe-Desmob'!H19</f>
        <v>0</v>
      </c>
      <c r="Q7" s="43">
        <v>4500</v>
      </c>
      <c r="R7" s="35">
        <f>'Filipe-Desmob'!U20</f>
        <v>0</v>
      </c>
      <c r="S7" s="35">
        <f>'Filipe-Desmob'!AI20</f>
        <v>0</v>
      </c>
      <c r="T7" s="36">
        <f>'Filipe-Desmob'!AR20</f>
        <v>0</v>
      </c>
      <c r="V7" s="38" t="s">
        <v>34</v>
      </c>
      <c r="W7" s="46">
        <f>'Jairo - Desmob'!H19</f>
        <v>0</v>
      </c>
      <c r="X7" s="43">
        <v>4500</v>
      </c>
      <c r="Y7" s="35">
        <f>'Jairo - Desmob'!Z20</f>
        <v>0</v>
      </c>
      <c r="Z7" s="35">
        <f>'Jairo - Desmob'!AI20</f>
        <v>0</v>
      </c>
      <c r="AA7" s="36">
        <f>'Jairo - Desmob'!AR20</f>
        <v>0</v>
      </c>
    </row>
    <row r="8" spans="1:27" x14ac:dyDescent="0.25">
      <c r="A8" s="38" t="s">
        <v>35</v>
      </c>
      <c r="B8" s="46">
        <f>'Jonatas-Devol '!H23</f>
        <v>240</v>
      </c>
      <c r="C8" s="43">
        <f t="shared" si="0"/>
        <v>5760</v>
      </c>
      <c r="D8" s="35">
        <f>'Jonatas-Devol '!U24</f>
        <v>926.06</v>
      </c>
      <c r="E8" s="35">
        <f>'Jonatas-Devol '!AC24</f>
        <v>0</v>
      </c>
      <c r="F8" s="36">
        <f>'Jonatas-Devol '!AK24</f>
        <v>0</v>
      </c>
      <c r="H8" s="38" t="s">
        <v>35</v>
      </c>
      <c r="I8" s="46">
        <f>'Eliomar-Desmob'!H23</f>
        <v>1074</v>
      </c>
      <c r="J8" s="43">
        <f t="shared" si="1"/>
        <v>3926</v>
      </c>
      <c r="K8" s="35">
        <f>'Eliomar-Desmob'!U24</f>
        <v>599.76</v>
      </c>
      <c r="L8" s="35">
        <f>'Eliomar-Desmob'!AC24</f>
        <v>0</v>
      </c>
      <c r="M8" s="36">
        <f>'Eliomar-Desmob'!AK24</f>
        <v>0</v>
      </c>
      <c r="O8" s="38" t="s">
        <v>35</v>
      </c>
      <c r="P8" s="46">
        <f>'Filipe-Desmob'!H23</f>
        <v>3121</v>
      </c>
      <c r="Q8" s="43">
        <f>SUM(4500-P8)</f>
        <v>1379</v>
      </c>
      <c r="R8" s="35">
        <f>'Filipe-Desmob'!U24</f>
        <v>1344.6000000000001</v>
      </c>
      <c r="S8" s="35">
        <f>'Filipe-Desmob'!AI24</f>
        <v>0</v>
      </c>
      <c r="T8" s="36">
        <f>'Filipe-Desmob'!AR24</f>
        <v>0</v>
      </c>
      <c r="V8" s="38" t="s">
        <v>35</v>
      </c>
      <c r="W8" s="46">
        <f>'Jairo - Desmob'!H23</f>
        <v>1210</v>
      </c>
      <c r="X8" s="43">
        <v>4500</v>
      </c>
      <c r="Y8" s="35">
        <f>'Jairo - Desmob'!U24</f>
        <v>628.9</v>
      </c>
      <c r="Z8" s="35">
        <f>'Jairo - Desmob'!AI24</f>
        <v>0</v>
      </c>
      <c r="AA8" s="36">
        <f>'Jairo - Desmob'!AR24</f>
        <v>0</v>
      </c>
    </row>
    <row r="9" spans="1:27" x14ac:dyDescent="0.25">
      <c r="A9" s="38" t="s">
        <v>36</v>
      </c>
      <c r="B9" s="46">
        <f>'Jonatas-Devol '!H27</f>
        <v>1103</v>
      </c>
      <c r="C9" s="43">
        <f t="shared" si="0"/>
        <v>4897</v>
      </c>
      <c r="D9" s="35">
        <f>'Jonatas-Devol '!U28</f>
        <v>401.35</v>
      </c>
      <c r="E9" s="35">
        <f>'Jonatas-Devol '!AC28</f>
        <v>50</v>
      </c>
      <c r="F9" s="36">
        <f>'Jonatas-Devol '!AK28</f>
        <v>0</v>
      </c>
      <c r="H9" s="38" t="s">
        <v>36</v>
      </c>
      <c r="I9" s="46">
        <f>'Eliomar-Desmob'!H27</f>
        <v>1640</v>
      </c>
      <c r="J9" s="43">
        <f t="shared" si="1"/>
        <v>3360</v>
      </c>
      <c r="K9" s="35">
        <f>'Eliomar-Desmob'!U28</f>
        <v>803.25000000000011</v>
      </c>
      <c r="L9" s="35">
        <f>'Eliomar-Desmob'!AC28</f>
        <v>50</v>
      </c>
      <c r="M9" s="36">
        <f>'Jonatas-Devol '!AK28</f>
        <v>0</v>
      </c>
      <c r="O9" s="38" t="s">
        <v>36</v>
      </c>
      <c r="P9" s="46">
        <f>'Filipe-Desmob'!H27</f>
        <v>3391</v>
      </c>
      <c r="Q9" s="43">
        <v>4500</v>
      </c>
      <c r="R9" s="35">
        <f>'Filipe-Desmob'!U28</f>
        <v>1813.1200000000001</v>
      </c>
      <c r="S9" s="35">
        <f>'Filipe-Desmob'!AI28</f>
        <v>0</v>
      </c>
      <c r="T9" s="36">
        <f>'Filipe-Desmob'!AR28</f>
        <v>0</v>
      </c>
      <c r="V9" s="38" t="s">
        <v>36</v>
      </c>
      <c r="W9" s="46">
        <f>'Jairo - Desmob'!H27</f>
        <v>1213</v>
      </c>
      <c r="X9" s="43">
        <v>4500</v>
      </c>
      <c r="Y9" s="35">
        <f>'Jairo - Desmob'!U28</f>
        <v>690.93000000000006</v>
      </c>
      <c r="Z9" s="35">
        <f>'Jairo - Desmob'!AI28</f>
        <v>0</v>
      </c>
      <c r="AA9" s="36">
        <f>'Jairo - Desmob'!AR28</f>
        <v>0</v>
      </c>
    </row>
    <row r="10" spans="1:27" x14ac:dyDescent="0.25">
      <c r="A10" s="38" t="s">
        <v>37</v>
      </c>
      <c r="B10" s="46">
        <f>'Jonatas-Devol '!H31</f>
        <v>2070</v>
      </c>
      <c r="C10" s="43">
        <f t="shared" si="0"/>
        <v>3930</v>
      </c>
      <c r="D10" s="35">
        <f>'Jonatas-Devol '!U32</f>
        <v>697.91</v>
      </c>
      <c r="E10" s="35">
        <f>'Jonatas-Devol '!AC32</f>
        <v>100</v>
      </c>
      <c r="F10" s="36">
        <f>'Jonatas-Devol '!AK32</f>
        <v>0</v>
      </c>
      <c r="H10" s="38" t="s">
        <v>37</v>
      </c>
      <c r="I10" s="46">
        <f>'Eliomar-Desmob'!H31</f>
        <v>876</v>
      </c>
      <c r="J10" s="43">
        <f t="shared" si="1"/>
        <v>4124</v>
      </c>
      <c r="K10" s="35">
        <f>'Eliomar-Desmob'!U32</f>
        <v>584.74</v>
      </c>
      <c r="L10" s="35">
        <f>'Eliomar-Desmob'!AC32</f>
        <v>100</v>
      </c>
      <c r="M10" s="36">
        <f>'Eliomar-Desmob'!AK32</f>
        <v>0</v>
      </c>
      <c r="O10" s="38" t="s">
        <v>37</v>
      </c>
      <c r="P10" s="46">
        <f>'Filipe-Desmob'!H31</f>
        <v>3720</v>
      </c>
      <c r="Q10" s="43">
        <v>4500</v>
      </c>
      <c r="R10" s="35">
        <f>'Filipe-Desmob'!U32</f>
        <v>1813.41</v>
      </c>
      <c r="S10" s="35">
        <f>'Filipe-Desmob'!AI32</f>
        <v>0</v>
      </c>
      <c r="T10" s="36">
        <f>'Filipe-Desmob'!AR32</f>
        <v>0</v>
      </c>
      <c r="V10" s="38" t="s">
        <v>37</v>
      </c>
      <c r="W10" s="46">
        <f>'Jairo - Desmob'!H31</f>
        <v>1223</v>
      </c>
      <c r="X10" s="43">
        <v>4500</v>
      </c>
      <c r="Y10" s="35">
        <f>'Jairo - Desmob'!Z32</f>
        <v>0</v>
      </c>
      <c r="Z10" s="35">
        <f>'Jairo - Desmob'!AI32</f>
        <v>0</v>
      </c>
      <c r="AA10" s="36">
        <f>'Jairo - Desmob'!AR32</f>
        <v>0</v>
      </c>
    </row>
    <row r="11" spans="1:27" x14ac:dyDescent="0.25">
      <c r="A11" s="38" t="s">
        <v>38</v>
      </c>
      <c r="B11" s="46">
        <f>'Jonatas-Devol '!H35</f>
        <v>1825</v>
      </c>
      <c r="C11" s="43">
        <f t="shared" si="0"/>
        <v>4175</v>
      </c>
      <c r="D11" s="35">
        <f>'Jonatas-Devol '!U36</f>
        <v>1429.48</v>
      </c>
      <c r="E11" s="35">
        <f>'Jonatas-Devol '!AC36</f>
        <v>100</v>
      </c>
      <c r="F11" s="36">
        <f>'Jonatas-Devol '!AK36</f>
        <v>0</v>
      </c>
      <c r="H11" s="38" t="s">
        <v>38</v>
      </c>
      <c r="I11" s="46">
        <f>'Eliomar-Desmob'!H35</f>
        <v>1406</v>
      </c>
      <c r="J11" s="43">
        <f t="shared" si="1"/>
        <v>3594</v>
      </c>
      <c r="K11" s="35">
        <f>'Eliomar-Desmob'!U36</f>
        <v>865.1099999999999</v>
      </c>
      <c r="L11" s="35">
        <f>'Eliomar-Desmob'!AC36</f>
        <v>100</v>
      </c>
      <c r="M11" s="36">
        <f>'Eliomar-Desmob'!AK36</f>
        <v>0</v>
      </c>
      <c r="O11" s="38" t="s">
        <v>38</v>
      </c>
      <c r="P11" s="46">
        <f>'Filipe-Desmob'!H35</f>
        <v>3285</v>
      </c>
      <c r="Q11" s="43">
        <v>4500</v>
      </c>
      <c r="R11" s="35">
        <f>'Filipe-Desmob'!U36</f>
        <v>1784.3600000000001</v>
      </c>
      <c r="S11" s="35">
        <f>'Filipe-Desmob'!AI36</f>
        <v>0</v>
      </c>
      <c r="T11" s="36">
        <f>'Filipe-Desmob'!AR36</f>
        <v>0</v>
      </c>
      <c r="V11" s="38" t="s">
        <v>38</v>
      </c>
      <c r="W11" s="46">
        <f>'Jairo - Desmob'!H35</f>
        <v>0</v>
      </c>
      <c r="X11" s="43">
        <v>4500</v>
      </c>
      <c r="Y11" s="35">
        <f>'Jairo - Desmob'!Z36</f>
        <v>0</v>
      </c>
      <c r="Z11" s="35">
        <f>'Jairo - Desmob'!AI36</f>
        <v>0</v>
      </c>
      <c r="AA11" s="36">
        <f>'Jairo - Desmob'!AR36</f>
        <v>0</v>
      </c>
    </row>
    <row r="12" spans="1:27" x14ac:dyDescent="0.25">
      <c r="A12" s="38" t="s">
        <v>39</v>
      </c>
      <c r="B12" s="46">
        <f>'Jonatas-Devol '!H39</f>
        <v>2540</v>
      </c>
      <c r="C12" s="43">
        <f t="shared" si="0"/>
        <v>3460</v>
      </c>
      <c r="D12" s="35">
        <f>'Jonatas-Devol '!U40</f>
        <v>1743.24</v>
      </c>
      <c r="E12" s="35">
        <f>'Jonatas-Devol '!AC40</f>
        <v>100</v>
      </c>
      <c r="F12" s="36">
        <f>'Jonatas-Devol '!AK40</f>
        <v>0</v>
      </c>
      <c r="H12" s="38" t="s">
        <v>39</v>
      </c>
      <c r="I12" s="46">
        <f>'Eliomar-Desmob'!H39</f>
        <v>2427</v>
      </c>
      <c r="J12" s="43">
        <f t="shared" si="1"/>
        <v>2573</v>
      </c>
      <c r="K12" s="35">
        <f>'Eliomar-Desmob'!U40</f>
        <v>701.01</v>
      </c>
      <c r="L12" s="35">
        <f>'Eliomar-Desmob'!AC40</f>
        <v>100</v>
      </c>
      <c r="M12" s="36">
        <f>'Eliomar-Desmob'!AK40</f>
        <v>0</v>
      </c>
      <c r="O12" s="38" t="s">
        <v>39</v>
      </c>
      <c r="P12" s="46">
        <f>'Filipe-Desmob'!H35</f>
        <v>3285</v>
      </c>
      <c r="Q12" s="43">
        <v>4500</v>
      </c>
      <c r="R12" s="35">
        <f>'Filipe-Desmob'!U40</f>
        <v>1006.83</v>
      </c>
      <c r="S12" s="35">
        <f>'Filipe-Desmob'!AI40</f>
        <v>0</v>
      </c>
      <c r="T12" s="36">
        <f>'Filipe-Desmob'!AR40</f>
        <v>0</v>
      </c>
      <c r="V12" s="38" t="s">
        <v>39</v>
      </c>
      <c r="W12" s="46">
        <f>'Jairo - Desmob'!H39</f>
        <v>0</v>
      </c>
      <c r="X12" s="43">
        <v>4500</v>
      </c>
      <c r="Y12" s="35">
        <f>'Jairo - Desmob'!Z40</f>
        <v>0</v>
      </c>
      <c r="Z12" s="35">
        <f>'Jairo - Desmob'!AI40</f>
        <v>0</v>
      </c>
      <c r="AA12" s="36">
        <f>'Jairo - Desmob'!AR40</f>
        <v>0</v>
      </c>
    </row>
    <row r="13" spans="1:27" x14ac:dyDescent="0.25">
      <c r="A13" s="38" t="s">
        <v>40</v>
      </c>
      <c r="B13" s="46">
        <f>'Jonatas-Devol '!H43</f>
        <v>3769</v>
      </c>
      <c r="C13" s="43">
        <f t="shared" si="0"/>
        <v>2231</v>
      </c>
      <c r="D13" s="35">
        <f>'Jonatas-Devol '!U44</f>
        <v>2380.29</v>
      </c>
      <c r="E13" s="35">
        <f>'Jonatas-Devol '!AC44</f>
        <v>50</v>
      </c>
      <c r="F13" s="36">
        <f>'Jonatas-Devol '!AK44</f>
        <v>0</v>
      </c>
      <c r="H13" s="38" t="s">
        <v>40</v>
      </c>
      <c r="I13" s="46">
        <f>'Eliomar-Desmob'!H43</f>
        <v>1559</v>
      </c>
      <c r="J13" s="43">
        <f t="shared" si="1"/>
        <v>3441</v>
      </c>
      <c r="K13" s="35">
        <f>'Eliomar-Desmob'!U44</f>
        <v>1041.17</v>
      </c>
      <c r="L13" s="35">
        <f>'Eliomar-Desmob'!AC44</f>
        <v>50</v>
      </c>
      <c r="M13" s="36">
        <f>'Eliomar-Desmob'!AK44</f>
        <v>0</v>
      </c>
      <c r="O13" s="38" t="s">
        <v>40</v>
      </c>
      <c r="P13" s="46">
        <f>'Filipe-Desmob'!H39</f>
        <v>1176</v>
      </c>
      <c r="Q13" s="43">
        <v>4500</v>
      </c>
      <c r="R13" s="35">
        <f>'Filipe-Desmob'!U44</f>
        <v>1146.9100000000001</v>
      </c>
      <c r="S13" s="35">
        <f>'Filipe-Desmob'!AI44</f>
        <v>0</v>
      </c>
      <c r="T13" s="36">
        <f>'Filipe-Desmob'!AR44</f>
        <v>0</v>
      </c>
      <c r="V13" s="38" t="s">
        <v>40</v>
      </c>
      <c r="W13" s="46">
        <f>'Jairo - Desmob'!H43</f>
        <v>0</v>
      </c>
      <c r="X13" s="43">
        <v>4500</v>
      </c>
      <c r="Y13" s="35">
        <f>'Jairo - Desmob'!Z44</f>
        <v>0</v>
      </c>
      <c r="Z13" s="35">
        <f>'Jairo - Desmob'!AI44</f>
        <v>0</v>
      </c>
      <c r="AA13" s="36">
        <f>'Jairo - Desmob'!AR44</f>
        <v>0</v>
      </c>
    </row>
    <row r="14" spans="1:27" x14ac:dyDescent="0.25">
      <c r="A14" s="38" t="s">
        <v>41</v>
      </c>
      <c r="B14" s="46">
        <f>'Jonatas-Devol '!H47</f>
        <v>3220</v>
      </c>
      <c r="C14" s="43">
        <f t="shared" si="0"/>
        <v>2780</v>
      </c>
      <c r="D14" s="35">
        <f>'Jonatas-Devol '!U48</f>
        <v>743.84</v>
      </c>
      <c r="E14" s="35">
        <f>'Jonatas-Devol '!AC48</f>
        <v>0</v>
      </c>
      <c r="F14" s="36">
        <f>'Jonatas-Devol '!AK48</f>
        <v>0</v>
      </c>
      <c r="H14" s="38" t="s">
        <v>41</v>
      </c>
      <c r="I14" s="46">
        <f>'Eliomar-Desmob'!H47</f>
        <v>1335</v>
      </c>
      <c r="J14" s="43">
        <f t="shared" si="1"/>
        <v>3665</v>
      </c>
      <c r="K14" s="35">
        <f>'Eliomar-Desmob'!U48</f>
        <v>538.30999999999995</v>
      </c>
      <c r="L14" s="35">
        <f>'Eliomar-Desmob'!AC48</f>
        <v>0</v>
      </c>
      <c r="M14" s="36">
        <f>'Eliomar-Desmob'!AK48</f>
        <v>0</v>
      </c>
      <c r="O14" s="38" t="s">
        <v>41</v>
      </c>
      <c r="P14" s="46">
        <f>'Filipe-Desmob'!H43</f>
        <v>1641</v>
      </c>
      <c r="Q14" s="43">
        <v>4500</v>
      </c>
      <c r="R14" s="35">
        <f>'Filipe-Desmob'!U48</f>
        <v>571.58000000000004</v>
      </c>
      <c r="S14" s="35">
        <f>'Filipe-Desmob'!AI48</f>
        <v>0</v>
      </c>
      <c r="T14" s="36">
        <f>'Filipe-Desmob'!AR48</f>
        <v>0</v>
      </c>
      <c r="V14" s="38" t="s">
        <v>41</v>
      </c>
      <c r="W14" s="46">
        <f>'Jairo - Desmob'!H47</f>
        <v>0</v>
      </c>
      <c r="X14" s="43">
        <v>4500</v>
      </c>
      <c r="Y14" s="35">
        <f>'Jairo - Desmob'!Z48</f>
        <v>0</v>
      </c>
      <c r="Z14" s="35">
        <f>'Jairo - Desmob'!AI48</f>
        <v>0</v>
      </c>
      <c r="AA14" s="36">
        <f>'Jairo - Desmob'!AR48</f>
        <v>0</v>
      </c>
    </row>
    <row r="15" spans="1:27" ht="15.75" thickBot="1" x14ac:dyDescent="0.3">
      <c r="A15" s="39" t="s">
        <v>42</v>
      </c>
      <c r="B15" s="47">
        <f>'Jonatas-Devol '!H51</f>
        <v>2730</v>
      </c>
      <c r="C15" s="43">
        <f t="shared" si="0"/>
        <v>3270</v>
      </c>
      <c r="D15" s="11">
        <f>'Jonatas-Devol '!U52</f>
        <v>555.46</v>
      </c>
      <c r="E15" s="11">
        <f>'Jonatas-Devol '!AC52</f>
        <v>0</v>
      </c>
      <c r="F15" s="12">
        <f>'Jonatas-Devol '!AK52</f>
        <v>0</v>
      </c>
      <c r="H15" s="39" t="s">
        <v>42</v>
      </c>
      <c r="I15" s="47">
        <f>'Eliomar-Desmob'!H51</f>
        <v>1180</v>
      </c>
      <c r="J15" s="44">
        <f>SUM(5000-I15)</f>
        <v>3820</v>
      </c>
      <c r="K15" s="11">
        <f>'Eliomar-Desmob'!U52</f>
        <v>255.84</v>
      </c>
      <c r="L15" s="11">
        <f>'Eliomar-Desmob'!AC48</f>
        <v>0</v>
      </c>
      <c r="M15" s="12">
        <f>'Eliomar-Desmob'!AK48</f>
        <v>0</v>
      </c>
      <c r="O15" s="39" t="s">
        <v>42</v>
      </c>
      <c r="P15" s="47">
        <f>'Filipe-Desmob'!H47</f>
        <v>0</v>
      </c>
      <c r="Q15" s="44">
        <v>4500</v>
      </c>
      <c r="R15" s="11">
        <f>'Filipe-Desmob'!U52</f>
        <v>0</v>
      </c>
      <c r="S15" s="11">
        <f>'Filipe-Desmob'!AI48</f>
        <v>0</v>
      </c>
      <c r="T15" s="12">
        <f>'Filipe-Desmob'!AR52</f>
        <v>0</v>
      </c>
      <c r="V15" s="39" t="s">
        <v>42</v>
      </c>
      <c r="W15" s="47">
        <f>'Jairo - Desmob'!H51</f>
        <v>0</v>
      </c>
      <c r="X15" s="43">
        <v>4500</v>
      </c>
      <c r="Y15" s="11">
        <f>'Jairo - Desmob'!Z52</f>
        <v>0</v>
      </c>
      <c r="Z15" s="11">
        <f>'Jairo - Desmob'!AI52</f>
        <v>0</v>
      </c>
      <c r="AA15" s="12">
        <f>'Jairo - Desmob'!AR52</f>
        <v>0</v>
      </c>
    </row>
    <row r="16" spans="1:27" ht="15.75" thickBot="1" x14ac:dyDescent="0.3"/>
    <row r="17" spans="1:27" ht="15.75" thickBot="1" x14ac:dyDescent="0.3">
      <c r="A17" s="3" t="s">
        <v>23</v>
      </c>
      <c r="B17" s="52">
        <f>SUM(B4:B15)</f>
        <v>18610</v>
      </c>
      <c r="C17" s="51"/>
      <c r="D17" s="50">
        <f>SUM(D4:D15)</f>
        <v>9495.3299999999981</v>
      </c>
      <c r="E17" s="49">
        <f>SUM(E4:E15)</f>
        <v>400</v>
      </c>
      <c r="F17" s="48">
        <f>SUM(F4:F15)</f>
        <v>0</v>
      </c>
      <c r="H17" s="3" t="s">
        <v>23</v>
      </c>
      <c r="I17" s="52">
        <f>SUM(I4:I15)</f>
        <v>12946</v>
      </c>
      <c r="J17" s="51"/>
      <c r="K17" s="50">
        <f>SUM(K4:K15)</f>
        <v>6282.91</v>
      </c>
      <c r="L17" s="49">
        <f>SUM(L4:L15)</f>
        <v>400</v>
      </c>
      <c r="M17" s="48">
        <f>SUM(M4:M15)</f>
        <v>0</v>
      </c>
      <c r="O17" s="3" t="s">
        <v>23</v>
      </c>
      <c r="P17" s="52">
        <f>SUM(P4:P15)</f>
        <v>19619</v>
      </c>
      <c r="Q17" s="51"/>
      <c r="R17" s="50">
        <f>SUM(R4:R15)</f>
        <v>9480.81</v>
      </c>
      <c r="S17" s="49">
        <f>SUM(S4:S15)</f>
        <v>0</v>
      </c>
      <c r="T17" s="48">
        <f>SUM(T4:T15)</f>
        <v>0</v>
      </c>
      <c r="V17" s="3" t="s">
        <v>23</v>
      </c>
      <c r="W17" s="52">
        <f>SUM(W4:W15)</f>
        <v>3646</v>
      </c>
      <c r="X17" s="51"/>
      <c r="Y17" s="50">
        <f>SUM(Y4:Y15)</f>
        <v>1319.83</v>
      </c>
      <c r="Z17" s="49">
        <f>SUM(Z4:Z15)</f>
        <v>0</v>
      </c>
      <c r="AA17" s="48">
        <f>SUM(AA4:AA15)</f>
        <v>0</v>
      </c>
    </row>
    <row r="18" spans="1:27" ht="15.75" thickBot="1" x14ac:dyDescent="0.3">
      <c r="A18" s="3" t="s">
        <v>44</v>
      </c>
      <c r="B18" s="23">
        <f>SUM(72000-B17)</f>
        <v>53390</v>
      </c>
      <c r="H18" s="3" t="s">
        <v>44</v>
      </c>
      <c r="I18" s="23">
        <f>SUM(54000-I17)</f>
        <v>41054</v>
      </c>
      <c r="O18" s="3" t="s">
        <v>44</v>
      </c>
      <c r="P18" s="23">
        <f>SUM(54000-P17)</f>
        <v>34381</v>
      </c>
      <c r="V18" s="3" t="s">
        <v>44</v>
      </c>
      <c r="W18" s="23">
        <f>SUM(54000-W17)</f>
        <v>50354</v>
      </c>
    </row>
    <row r="21" spans="1:27" ht="15.75" thickBot="1" x14ac:dyDescent="0.3">
      <c r="B21" s="110" t="s">
        <v>75</v>
      </c>
      <c r="C21" s="110"/>
      <c r="D21" s="110"/>
      <c r="E21" s="110"/>
      <c r="F21" s="110"/>
      <c r="I21" s="105" t="s">
        <v>78</v>
      </c>
      <c r="J21" s="105"/>
      <c r="K21" s="105"/>
      <c r="L21" s="105"/>
      <c r="M21" s="105"/>
      <c r="P21" s="105" t="s">
        <v>87</v>
      </c>
      <c r="Q21" s="105"/>
      <c r="R21" s="105"/>
      <c r="S21" s="105"/>
      <c r="T21" s="105"/>
      <c r="W21" s="105" t="s">
        <v>81</v>
      </c>
      <c r="X21" s="105"/>
      <c r="Y21" s="105"/>
      <c r="Z21" s="105"/>
      <c r="AA21" s="105"/>
    </row>
    <row r="22" spans="1:27" ht="15.75" thickBot="1" x14ac:dyDescent="0.3">
      <c r="B22" s="22" t="s">
        <v>66</v>
      </c>
      <c r="C22" s="33" t="s">
        <v>30</v>
      </c>
      <c r="D22" s="23" t="s">
        <v>26</v>
      </c>
      <c r="E22" s="23" t="s">
        <v>25</v>
      </c>
      <c r="F22" s="25" t="s">
        <v>27</v>
      </c>
      <c r="I22" s="22" t="s">
        <v>66</v>
      </c>
      <c r="J22" s="33" t="s">
        <v>30</v>
      </c>
      <c r="K22" s="23" t="s">
        <v>26</v>
      </c>
      <c r="L22" s="23" t="s">
        <v>25</v>
      </c>
      <c r="M22" s="25" t="s">
        <v>27</v>
      </c>
      <c r="P22" s="22" t="s">
        <v>66</v>
      </c>
      <c r="Q22" s="33" t="s">
        <v>30</v>
      </c>
      <c r="R22" s="23" t="s">
        <v>26</v>
      </c>
      <c r="S22" s="23" t="s">
        <v>25</v>
      </c>
      <c r="T22" s="25" t="s">
        <v>27</v>
      </c>
      <c r="W22" s="22" t="s">
        <v>66</v>
      </c>
      <c r="X22" s="33" t="s">
        <v>30</v>
      </c>
      <c r="Y22" s="23" t="s">
        <v>26</v>
      </c>
      <c r="Z22" s="23" t="s">
        <v>25</v>
      </c>
      <c r="AA22" s="25" t="s">
        <v>27</v>
      </c>
    </row>
    <row r="23" spans="1:27" x14ac:dyDescent="0.25">
      <c r="A23" s="37" t="s">
        <v>31</v>
      </c>
      <c r="B23" s="58">
        <v>0</v>
      </c>
      <c r="C23" s="59">
        <v>4500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 Eric - Desmob'!H11</f>
        <v>0</v>
      </c>
      <c r="C24" s="43">
        <v>4500</v>
      </c>
      <c r="D24" s="35">
        <f>' Eric - Desmob'!U12</f>
        <v>0</v>
      </c>
      <c r="E24" s="35">
        <f>' Eric - Desmob'!AC12</f>
        <v>0</v>
      </c>
      <c r="F24" s="36">
        <f>' Eric - Desmob'!AK12</f>
        <v>0</v>
      </c>
      <c r="H24" s="38" t="s">
        <v>32</v>
      </c>
      <c r="I24" s="46">
        <f>'Carlos Eduardo - Desmob'!H11</f>
        <v>0</v>
      </c>
      <c r="J24" s="43">
        <f>SUM(5000-I24)</f>
        <v>5000</v>
      </c>
      <c r="K24" s="35">
        <f>'Carlos Eduardo - Desmob'!U12</f>
        <v>0</v>
      </c>
      <c r="L24" s="35">
        <f>'Carlos Eduardo - Desmob'!AC12</f>
        <v>0</v>
      </c>
      <c r="M24" s="36">
        <f>'Carlos Eduardo - Desmob'!AK12</f>
        <v>0</v>
      </c>
      <c r="O24" s="38" t="s">
        <v>32</v>
      </c>
      <c r="P24" s="46">
        <f>'Rogerio - Devol'!H11</f>
        <v>0</v>
      </c>
      <c r="Q24" s="43">
        <f>SUM(5000-P24)</f>
        <v>5000</v>
      </c>
      <c r="R24" s="35">
        <f>'Rogerio - Devol'!U12</f>
        <v>0</v>
      </c>
      <c r="S24" s="35">
        <f>'Rogerio - Devol'!AC12</f>
        <v>0</v>
      </c>
      <c r="T24" s="36">
        <f>'Rogerio - Devol'!AK12</f>
        <v>0</v>
      </c>
      <c r="V24" s="38" t="s">
        <v>32</v>
      </c>
      <c r="W24" s="46">
        <f>'Filipe - Desmob'!H11</f>
        <v>0</v>
      </c>
      <c r="X24" s="43">
        <f>SUM(5000-W24)</f>
        <v>5000</v>
      </c>
      <c r="Y24" s="35">
        <f>'Filipe - Desmob'!U12</f>
        <v>0</v>
      </c>
      <c r="Z24" s="35">
        <f>'Filipe - Desmob'!AE12</f>
        <v>0</v>
      </c>
      <c r="AA24" s="36">
        <f>'Filipe - Desmob'!AN12</f>
        <v>0</v>
      </c>
    </row>
    <row r="25" spans="1:27" x14ac:dyDescent="0.25">
      <c r="A25" s="38" t="s">
        <v>33</v>
      </c>
      <c r="B25" s="46">
        <f>' Eric - Desmob'!H15</f>
        <v>0</v>
      </c>
      <c r="C25" s="43">
        <v>4500</v>
      </c>
      <c r="D25" s="35">
        <f>' Eric - Desmob'!U16</f>
        <v>0</v>
      </c>
      <c r="E25" s="35">
        <f>' Eric - Desmob'!AC16</f>
        <v>0</v>
      </c>
      <c r="F25" s="36">
        <f>' Eric - Desmob'!AK16</f>
        <v>0</v>
      </c>
      <c r="H25" s="38" t="s">
        <v>33</v>
      </c>
      <c r="I25" s="46">
        <f>'Carlos Eduardo - Desmob'!H15</f>
        <v>0</v>
      </c>
      <c r="J25" s="43">
        <f t="shared" ref="J25:J34" si="2">SUM(5000-I25)</f>
        <v>5000</v>
      </c>
      <c r="K25" s="35">
        <f>'Carlos Eduardo - Desmob'!U16</f>
        <v>0</v>
      </c>
      <c r="L25" s="35">
        <f>'Carlos Eduardo - Desmob'!AC16</f>
        <v>0</v>
      </c>
      <c r="M25" s="36">
        <f>'Carlos Eduardo - Desmob'!AK16</f>
        <v>0</v>
      </c>
      <c r="O25" s="38" t="s">
        <v>33</v>
      </c>
      <c r="P25" s="46">
        <f>'Rogerio - Devol'!H15</f>
        <v>0</v>
      </c>
      <c r="Q25" s="43">
        <f t="shared" ref="Q25:Q34" si="3">SUM(5000-P25)</f>
        <v>5000</v>
      </c>
      <c r="R25" s="35">
        <f>'Rogerio - Devol'!U16</f>
        <v>0</v>
      </c>
      <c r="S25" s="35">
        <f>'Rogerio - Devol'!AC16</f>
        <v>0</v>
      </c>
      <c r="T25" s="36">
        <f>'Rogerio - Devol'!AK16</f>
        <v>0</v>
      </c>
      <c r="V25" s="38" t="s">
        <v>33</v>
      </c>
      <c r="W25" s="46">
        <f>'Filipe - Desmob'!H15</f>
        <v>0</v>
      </c>
      <c r="X25" s="43">
        <f t="shared" ref="X25:X34" si="4">SUM(5000-W25)</f>
        <v>5000</v>
      </c>
      <c r="Y25" s="35">
        <f>'Filipe - Desmob'!U16</f>
        <v>0</v>
      </c>
      <c r="Z25" s="35">
        <f>'Filipe - Desmob'!AE16</f>
        <v>0</v>
      </c>
      <c r="AA25" s="36">
        <f>'Filipe - Desmob'!AN16</f>
        <v>0</v>
      </c>
    </row>
    <row r="26" spans="1:27" x14ac:dyDescent="0.25">
      <c r="A26" s="38" t="s">
        <v>34</v>
      </c>
      <c r="B26" s="46">
        <f>' Eric - Desmob'!H19</f>
        <v>0</v>
      </c>
      <c r="C26" s="43">
        <v>4500</v>
      </c>
      <c r="D26" s="35">
        <f>' Eric - Desmob'!U20</f>
        <v>0</v>
      </c>
      <c r="E26" s="35">
        <f>' Eric - Desmob'!AC20</f>
        <v>0</v>
      </c>
      <c r="F26" s="36">
        <f>' Eric - Desmob'!AK20</f>
        <v>0</v>
      </c>
      <c r="H26" s="38" t="s">
        <v>34</v>
      </c>
      <c r="I26" s="46">
        <f>'Carlos Eduardo - Desmob'!H19</f>
        <v>0</v>
      </c>
      <c r="J26" s="43">
        <f t="shared" si="2"/>
        <v>5000</v>
      </c>
      <c r="K26" s="35">
        <f>'Carlos Eduardo - Desmob'!U20</f>
        <v>0</v>
      </c>
      <c r="L26" s="35">
        <f>'Carlos Eduardo - Desmob'!AC20</f>
        <v>0</v>
      </c>
      <c r="M26" s="36">
        <f>'Carlos Eduardo - Desmob'!AK20</f>
        <v>0</v>
      </c>
      <c r="O26" s="38" t="s">
        <v>34</v>
      </c>
      <c r="P26" s="46">
        <f>'Rogerio - Devol'!H19</f>
        <v>0</v>
      </c>
      <c r="Q26" s="43">
        <f t="shared" si="3"/>
        <v>5000</v>
      </c>
      <c r="R26" s="35">
        <f>'Rogerio - Devol'!U20</f>
        <v>0</v>
      </c>
      <c r="S26" s="35">
        <f>'Rogerio - Devol'!AC20</f>
        <v>0</v>
      </c>
      <c r="T26" s="36">
        <f>'Rogerio - Devol'!AK20</f>
        <v>0</v>
      </c>
      <c r="V26" s="38" t="s">
        <v>34</v>
      </c>
      <c r="W26" s="46">
        <f>'Filipe - Desmob'!H19</f>
        <v>0</v>
      </c>
      <c r="X26" s="43">
        <f t="shared" si="4"/>
        <v>5000</v>
      </c>
      <c r="Y26" s="35">
        <f>'Filipe - Desmob'!U200</f>
        <v>0</v>
      </c>
      <c r="Z26" s="35">
        <f>'Filipe - Desmob'!AE20</f>
        <v>0</v>
      </c>
      <c r="AA26" s="36">
        <f>'Filipe - Desmob'!AN200</f>
        <v>0</v>
      </c>
    </row>
    <row r="27" spans="1:27" x14ac:dyDescent="0.25">
      <c r="A27" s="38" t="s">
        <v>35</v>
      </c>
      <c r="B27" s="46">
        <f>' Eric - Desmob'!H23</f>
        <v>1385</v>
      </c>
      <c r="C27" s="43">
        <v>4500</v>
      </c>
      <c r="D27" s="35">
        <f>' Eric - Desmob'!U24</f>
        <v>530.97</v>
      </c>
      <c r="E27" s="35">
        <f>' Eric - Desmob'!AC24</f>
        <v>0</v>
      </c>
      <c r="F27" s="36">
        <f>' Eric - Desmob'!AK24</f>
        <v>0</v>
      </c>
      <c r="H27" s="38" t="s">
        <v>35</v>
      </c>
      <c r="I27" s="46">
        <f>'Carlos Eduardo - Desmob'!H23</f>
        <v>1968</v>
      </c>
      <c r="J27" s="43">
        <f t="shared" si="2"/>
        <v>3032</v>
      </c>
      <c r="K27" s="35">
        <f>'Carlos Eduardo - Desmob'!U24</f>
        <v>1277.2399999999998</v>
      </c>
      <c r="L27" s="35">
        <f>'Carlos Eduardo - Desmob'!AC24</f>
        <v>0</v>
      </c>
      <c r="M27" s="36">
        <f>'Carlos Eduardo - Desmob'!AK24</f>
        <v>0</v>
      </c>
      <c r="O27" s="38" t="s">
        <v>35</v>
      </c>
      <c r="P27" s="46">
        <f>'Rogerio - Devol'!H23</f>
        <v>3469</v>
      </c>
      <c r="Q27" s="43">
        <f t="shared" si="3"/>
        <v>1531</v>
      </c>
      <c r="R27" s="35">
        <f>'Rogerio - Devol'!U24</f>
        <v>725.22</v>
      </c>
      <c r="S27" s="35">
        <f>'Rogerio - Devol'!AC24</f>
        <v>0</v>
      </c>
      <c r="T27" s="36">
        <f>'Rogerio - Devol'!AK24</f>
        <v>0</v>
      </c>
      <c r="V27" s="38" t="s">
        <v>35</v>
      </c>
      <c r="W27" s="46">
        <f>'Filipe - Desmob'!H23</f>
        <v>0</v>
      </c>
      <c r="X27" s="43">
        <f t="shared" si="4"/>
        <v>5000</v>
      </c>
      <c r="Y27" s="35">
        <f>'Filipe - Desmob'!U24</f>
        <v>0</v>
      </c>
      <c r="Z27" s="35">
        <f>'Filipe - Desmob'!AE24</f>
        <v>0</v>
      </c>
      <c r="AA27" s="36">
        <f>'Filipe - Desmob'!AN24</f>
        <v>0</v>
      </c>
    </row>
    <row r="28" spans="1:27" x14ac:dyDescent="0.25">
      <c r="A28" s="38" t="s">
        <v>36</v>
      </c>
      <c r="B28" s="46">
        <f>' Eric - Desmob'!H27</f>
        <v>1310</v>
      </c>
      <c r="C28" s="43">
        <v>4500</v>
      </c>
      <c r="D28" s="35">
        <f>' Eric - Desmob'!U28</f>
        <v>521.85</v>
      </c>
      <c r="E28" s="35">
        <f>' Eric - Desmob'!AC28</f>
        <v>50</v>
      </c>
      <c r="F28" s="36">
        <f>' Eric - Desmob'!AK28</f>
        <v>0</v>
      </c>
      <c r="H28" s="38" t="s">
        <v>36</v>
      </c>
      <c r="I28" s="46">
        <f>'Carlos Eduardo - Desmob'!H27</f>
        <v>2130</v>
      </c>
      <c r="J28" s="43">
        <f t="shared" si="2"/>
        <v>2870</v>
      </c>
      <c r="K28" s="35">
        <f>'Carlos Eduardo - Desmob'!U28</f>
        <v>1558.1499999999999</v>
      </c>
      <c r="L28" s="35">
        <f>'Carlos Eduardo - Desmob'!AC28</f>
        <v>50</v>
      </c>
      <c r="M28" s="36">
        <f>'Carlos Eduardo - Desmob'!AK28</f>
        <v>0</v>
      </c>
      <c r="O28" s="38" t="s">
        <v>36</v>
      </c>
      <c r="P28" s="46">
        <f>'Rogerio - Devol'!H27</f>
        <v>1030</v>
      </c>
      <c r="Q28" s="43">
        <f t="shared" si="3"/>
        <v>3970</v>
      </c>
      <c r="R28" s="35">
        <f>'Rogerio - Devol'!U28</f>
        <v>803.06999999999994</v>
      </c>
      <c r="S28" s="35">
        <f>'Rogerio - Devol'!AC28</f>
        <v>50</v>
      </c>
      <c r="T28" s="36">
        <f>'Rogerio - Devol'!AK28</f>
        <v>0</v>
      </c>
      <c r="V28" s="38" t="s">
        <v>36</v>
      </c>
      <c r="W28" s="46">
        <f>'Filipe - Desmob'!H27</f>
        <v>0</v>
      </c>
      <c r="X28" s="43">
        <f t="shared" si="4"/>
        <v>5000</v>
      </c>
      <c r="Y28" s="35">
        <f>'Filipe - Desmob'!U28</f>
        <v>0</v>
      </c>
      <c r="Z28" s="35">
        <f>'Filipe - Desmob'!AE28</f>
        <v>0</v>
      </c>
      <c r="AA28" s="36">
        <f>'Filipe - Desmob'!AN28</f>
        <v>0</v>
      </c>
    </row>
    <row r="29" spans="1:27" x14ac:dyDescent="0.25">
      <c r="A29" s="38" t="s">
        <v>37</v>
      </c>
      <c r="B29" s="46">
        <f>' Eric - Desmob'!H31</f>
        <v>1472</v>
      </c>
      <c r="C29" s="43">
        <v>4500</v>
      </c>
      <c r="D29" s="35">
        <f>' Eric - Desmob'!U32</f>
        <v>850.07999999999993</v>
      </c>
      <c r="E29" s="35">
        <f>' Eric - Desmob'!AC32</f>
        <v>100</v>
      </c>
      <c r="F29" s="36">
        <f>' Eric - Desmob'!AK32</f>
        <v>0</v>
      </c>
      <c r="H29" s="38" t="s">
        <v>37</v>
      </c>
      <c r="I29" s="46">
        <f>'Carlos Eduardo - Desmob'!H31</f>
        <v>2171</v>
      </c>
      <c r="J29" s="43">
        <f t="shared" si="2"/>
        <v>2829</v>
      </c>
      <c r="K29" s="35">
        <f>'Carlos Eduardo - Desmob'!U32</f>
        <v>1376.46</v>
      </c>
      <c r="L29" s="35">
        <f>'Carlos Eduardo - Desmob'!AC32</f>
        <v>150</v>
      </c>
      <c r="M29" s="36">
        <f>'Carlos Eduardo - Desmob'!AK32</f>
        <v>0</v>
      </c>
      <c r="O29" s="38" t="s">
        <v>37</v>
      </c>
      <c r="P29" s="46">
        <f>'Rogerio - Devol'!H31</f>
        <v>1519</v>
      </c>
      <c r="Q29" s="43">
        <f t="shared" si="3"/>
        <v>3481</v>
      </c>
      <c r="R29" s="35">
        <f>'Rogerio - Devol'!U32</f>
        <v>927.36</v>
      </c>
      <c r="S29" s="35">
        <f>'Rogerio - Devol'!AC32</f>
        <v>100</v>
      </c>
      <c r="T29" s="36">
        <f>'Rogerio - Devol'!AK32</f>
        <v>0</v>
      </c>
      <c r="V29" s="38" t="s">
        <v>37</v>
      </c>
      <c r="W29" s="46">
        <f>'Filipe - Desmob'!H31</f>
        <v>0</v>
      </c>
      <c r="X29" s="43">
        <f t="shared" si="4"/>
        <v>5000</v>
      </c>
      <c r="Y29" s="35">
        <f>'Filipe - Desmob'!U32</f>
        <v>0</v>
      </c>
      <c r="Z29" s="35">
        <f>'Filipe - Desmob'!AE32</f>
        <v>0</v>
      </c>
      <c r="AA29" s="36">
        <f>'Filipe - Desmob'!AN32</f>
        <v>0</v>
      </c>
    </row>
    <row r="30" spans="1:27" x14ac:dyDescent="0.25">
      <c r="A30" s="38" t="s">
        <v>38</v>
      </c>
      <c r="B30" s="46">
        <f>' Eric - Desmob'!H35</f>
        <v>-41063</v>
      </c>
      <c r="C30" s="43">
        <v>4500</v>
      </c>
      <c r="D30" s="35">
        <f>' Eric - Desmob'!U36</f>
        <v>490</v>
      </c>
      <c r="E30" s="35">
        <f>' Eric - Desmob'!AC36</f>
        <v>50</v>
      </c>
      <c r="F30" s="36">
        <f>' Eric - Desmob'!AK36</f>
        <v>0</v>
      </c>
      <c r="H30" s="38" t="s">
        <v>38</v>
      </c>
      <c r="I30" s="46">
        <f>'Carlos Eduardo - Desmob'!H35</f>
        <v>0</v>
      </c>
      <c r="J30" s="43">
        <f t="shared" si="2"/>
        <v>5000</v>
      </c>
      <c r="K30" s="35">
        <f>'Carlos Eduardo - Desmob'!U36</f>
        <v>305</v>
      </c>
      <c r="L30" s="35">
        <f>'Carlos Eduardo - Desmob'!AC36</f>
        <v>0</v>
      </c>
      <c r="M30" s="36">
        <f>'Carlos Eduardo - Desmob'!AK36</f>
        <v>0</v>
      </c>
      <c r="O30" s="38" t="s">
        <v>38</v>
      </c>
      <c r="P30" s="46">
        <f>'Rogerio - Devol'!H35</f>
        <v>0</v>
      </c>
      <c r="Q30" s="43">
        <f t="shared" si="3"/>
        <v>5000</v>
      </c>
      <c r="R30" s="35">
        <f>'Rogerio - Devol'!U36</f>
        <v>754.56</v>
      </c>
      <c r="S30" s="35">
        <f>'Rogerio - Devol'!AC36</f>
        <v>0</v>
      </c>
      <c r="T30" s="36">
        <f>'Rogerio - Devol'!AK36</f>
        <v>0</v>
      </c>
      <c r="V30" s="38" t="s">
        <v>38</v>
      </c>
      <c r="W30" s="46">
        <f>'Filipe - Desmob'!H35</f>
        <v>28233</v>
      </c>
      <c r="X30" s="43">
        <f t="shared" si="4"/>
        <v>-23233</v>
      </c>
      <c r="Y30" s="35">
        <f>'Filipe - Desmob'!U36</f>
        <v>711.86</v>
      </c>
      <c r="Z30" s="35">
        <f>'Filipe - Desmob'!AE36</f>
        <v>50</v>
      </c>
      <c r="AA30" s="36">
        <f>'Filipe - Desmob'!AN36</f>
        <v>0</v>
      </c>
    </row>
    <row r="31" spans="1:27" x14ac:dyDescent="0.25">
      <c r="A31" s="38" t="s">
        <v>39</v>
      </c>
      <c r="B31" s="46">
        <f>' Eric - Desmob'!H39</f>
        <v>0</v>
      </c>
      <c r="C31" s="43">
        <v>4500</v>
      </c>
      <c r="D31" s="35">
        <f>' Eric - Desmob'!U40</f>
        <v>0</v>
      </c>
      <c r="E31" s="35">
        <f>' Eric - Desmob'!AC40</f>
        <v>0</v>
      </c>
      <c r="F31" s="36">
        <f>' Eric - Desmob'!AK4</f>
        <v>0</v>
      </c>
      <c r="H31" s="38" t="s">
        <v>39</v>
      </c>
      <c r="I31" s="46">
        <f>'Carlos Eduardo - Desmob'!H39</f>
        <v>0</v>
      </c>
      <c r="J31" s="43">
        <f t="shared" si="2"/>
        <v>5000</v>
      </c>
      <c r="K31" s="35">
        <f>'Carlos Eduardo - Desmob'!U40</f>
        <v>0</v>
      </c>
      <c r="L31" s="35">
        <f>'Carlos Eduardo - Desmob'!AC40</f>
        <v>0</v>
      </c>
      <c r="M31" s="36">
        <f>'Carlos Eduardo - Desmob'!AK40</f>
        <v>0</v>
      </c>
      <c r="O31" s="38" t="s">
        <v>39</v>
      </c>
      <c r="P31" s="46">
        <f>'Rogerio - Devol'!H39</f>
        <v>581</v>
      </c>
      <c r="Q31" s="43">
        <f t="shared" si="3"/>
        <v>4419</v>
      </c>
      <c r="R31" s="35">
        <f>'Rogerio - Devol'!U40</f>
        <v>747.7399999999999</v>
      </c>
      <c r="S31" s="35">
        <f>'Rogerio - Devol'!AC40</f>
        <v>100</v>
      </c>
      <c r="T31" s="36">
        <f>'Rogerio - Devol'!AK40</f>
        <v>0</v>
      </c>
      <c r="V31" s="38" t="s">
        <v>39</v>
      </c>
      <c r="W31" s="46">
        <f>'Filipe - Desmob'!H39</f>
        <v>0</v>
      </c>
      <c r="X31" s="43">
        <f t="shared" si="4"/>
        <v>5000</v>
      </c>
      <c r="Y31" s="35">
        <f>'Filipe - Desmob'!U40</f>
        <v>206.3</v>
      </c>
      <c r="Z31" s="35">
        <f>'Filipe - Desmob'!AE40</f>
        <v>50</v>
      </c>
      <c r="AA31" s="36">
        <f>'Filipe - Desmob'!AN40</f>
        <v>0</v>
      </c>
    </row>
    <row r="32" spans="1:27" x14ac:dyDescent="0.25">
      <c r="A32" s="38" t="s">
        <v>40</v>
      </c>
      <c r="B32" s="46">
        <f>' Eric - Desmob'!H43</f>
        <v>0</v>
      </c>
      <c r="C32" s="43">
        <v>4500</v>
      </c>
      <c r="D32" s="35">
        <f>' Eric - Desmob'!U44</f>
        <v>0</v>
      </c>
      <c r="E32" s="35">
        <f>' Eric - Desmob'!AC44</f>
        <v>0</v>
      </c>
      <c r="F32" s="36">
        <f>' Eric - Desmob'!AK44</f>
        <v>0</v>
      </c>
      <c r="H32" s="38" t="s">
        <v>40</v>
      </c>
      <c r="I32" s="46">
        <f>'Carlos Eduardo - Desmob'!H43</f>
        <v>0</v>
      </c>
      <c r="J32" s="43">
        <f t="shared" si="2"/>
        <v>5000</v>
      </c>
      <c r="K32" s="35">
        <f>'Carlos Eduardo - Desmob'!U44</f>
        <v>0</v>
      </c>
      <c r="L32" s="35">
        <f>'Carlos Eduardo - Desmob'!AC44</f>
        <v>0</v>
      </c>
      <c r="M32" s="36">
        <f>'Carlos Eduardo - Desmob'!AK44</f>
        <v>0</v>
      </c>
      <c r="O32" s="38" t="s">
        <v>40</v>
      </c>
      <c r="P32" s="46">
        <f>'Rogerio - Devol'!H43</f>
        <v>2841</v>
      </c>
      <c r="Q32" s="43">
        <f t="shared" si="3"/>
        <v>2159</v>
      </c>
      <c r="R32" s="35">
        <f>'Rogerio - Devol'!U44</f>
        <v>1565.85</v>
      </c>
      <c r="S32" s="35">
        <f>'Rogerio - Devol'!AC44</f>
        <v>0</v>
      </c>
      <c r="T32" s="36">
        <f>'Rogerio - Devol'!AK44</f>
        <v>0</v>
      </c>
      <c r="V32" s="38" t="s">
        <v>40</v>
      </c>
      <c r="W32" s="46">
        <f>'Filipe - Desmob'!H43</f>
        <v>0</v>
      </c>
      <c r="X32" s="43">
        <f t="shared" si="4"/>
        <v>5000</v>
      </c>
      <c r="Y32" s="35">
        <f>'Filipe - Desmob'!U44</f>
        <v>0</v>
      </c>
      <c r="Z32" s="35">
        <f>'Filipe - Desmob'!AE44</f>
        <v>0</v>
      </c>
      <c r="AA32" s="36">
        <f>'Filipe - Desmob'!AN44</f>
        <v>0</v>
      </c>
    </row>
    <row r="33" spans="1:27" x14ac:dyDescent="0.25">
      <c r="A33" s="38" t="s">
        <v>41</v>
      </c>
      <c r="B33" s="46">
        <f>' Eric - Desmob'!H47</f>
        <v>0</v>
      </c>
      <c r="C33" s="43">
        <v>4500</v>
      </c>
      <c r="D33" s="35">
        <f>' Eric - Desmob'!U48</f>
        <v>0</v>
      </c>
      <c r="E33" s="35">
        <f>' Eric - Desmob'!AC48</f>
        <v>0</v>
      </c>
      <c r="F33" s="36">
        <f>' Eric - Desmob'!AK48</f>
        <v>0</v>
      </c>
      <c r="H33" s="38" t="s">
        <v>41</v>
      </c>
      <c r="I33" s="46">
        <f>'Carlos Eduardo - Desmob'!H47</f>
        <v>0</v>
      </c>
      <c r="J33" s="43">
        <f t="shared" si="2"/>
        <v>5000</v>
      </c>
      <c r="K33" s="35">
        <f>'Carlos Eduardo - Desmob'!U48</f>
        <v>0</v>
      </c>
      <c r="L33" s="35">
        <f>'Carlos Eduardo - Desmob'!AC48</f>
        <v>0</v>
      </c>
      <c r="M33" s="36">
        <f>'Carlos Eduardo - Desmob'!AK48</f>
        <v>0</v>
      </c>
      <c r="O33" s="38" t="s">
        <v>41</v>
      </c>
      <c r="P33" s="46">
        <f>'Rogerio - Devol'!H47</f>
        <v>1040</v>
      </c>
      <c r="Q33" s="43">
        <f t="shared" si="3"/>
        <v>3960</v>
      </c>
      <c r="R33" s="35">
        <f>'Rogerio - Devol'!U48</f>
        <v>245.01</v>
      </c>
      <c r="S33" s="35">
        <f>'Rogerio - Devol'!AC48</f>
        <v>0</v>
      </c>
      <c r="T33" s="36">
        <f>'Rogerio - Devol'!AK48</f>
        <v>0</v>
      </c>
      <c r="V33" s="38" t="s">
        <v>41</v>
      </c>
      <c r="W33" s="46">
        <f>'Filipe - Desmob'!H47</f>
        <v>0</v>
      </c>
      <c r="X33" s="43">
        <f t="shared" si="4"/>
        <v>5000</v>
      </c>
      <c r="Y33" s="35">
        <f>'Filipe - Desmob'!U48</f>
        <v>0</v>
      </c>
      <c r="Z33" s="35">
        <f>'Filipe - Desmob'!AE48</f>
        <v>0</v>
      </c>
      <c r="AA33" s="36">
        <f>'Filipe - Desmob'!AN48</f>
        <v>0</v>
      </c>
    </row>
    <row r="34" spans="1:27" ht="15.75" thickBot="1" x14ac:dyDescent="0.3">
      <c r="A34" s="39" t="s">
        <v>42</v>
      </c>
      <c r="B34" s="47">
        <f>' Eric - Desmob'!H51</f>
        <v>0</v>
      </c>
      <c r="C34" s="43">
        <v>4500</v>
      </c>
      <c r="D34" s="11">
        <f>' Eric - Desmob'!U52</f>
        <v>0</v>
      </c>
      <c r="E34" s="11">
        <f>' Eric - Desmob'!AC52</f>
        <v>0</v>
      </c>
      <c r="F34" s="12">
        <f>' Eric - Desmob'!AK52</f>
        <v>0</v>
      </c>
      <c r="H34" s="39" t="s">
        <v>42</v>
      </c>
      <c r="I34" s="47">
        <f>'Carlos Eduardo - Desmob'!H51</f>
        <v>0</v>
      </c>
      <c r="J34" s="44">
        <f t="shared" si="2"/>
        <v>5000</v>
      </c>
      <c r="K34" s="11">
        <f>'Carlos Eduardo - Desmob'!U52</f>
        <v>0</v>
      </c>
      <c r="L34" s="11">
        <f>'Carlos Eduardo - Desmob'!AC52</f>
        <v>0</v>
      </c>
      <c r="M34" s="12">
        <f>'Carlos Eduardo - Desmob'!AK52</f>
        <v>0</v>
      </c>
      <c r="O34" s="39" t="s">
        <v>42</v>
      </c>
      <c r="P34" s="47">
        <f>'Rogerio - Devol'!H51</f>
        <v>1373</v>
      </c>
      <c r="Q34" s="44">
        <f t="shared" si="3"/>
        <v>3627</v>
      </c>
      <c r="R34" s="11">
        <f>'Rogerio - Devol'!U52</f>
        <v>508.03999999999996</v>
      </c>
      <c r="S34" s="11">
        <f>'Rogerio - Devol'!AC52</f>
        <v>0</v>
      </c>
      <c r="T34" s="12">
        <f>'Rogerio - Devol'!AK52</f>
        <v>0</v>
      </c>
      <c r="V34" s="39" t="s">
        <v>42</v>
      </c>
      <c r="W34" s="47">
        <f>'Filipe - Desmob'!H51</f>
        <v>0</v>
      </c>
      <c r="X34" s="44">
        <f t="shared" si="4"/>
        <v>5000</v>
      </c>
      <c r="Y34" s="11">
        <f>'Filipe - Desmob'!U52</f>
        <v>0</v>
      </c>
      <c r="Z34" s="11">
        <f>'Filipe - Desmob'!AE52</f>
        <v>0</v>
      </c>
      <c r="AA34" s="12">
        <f>'Filipe - Desmob'!AN52</f>
        <v>0</v>
      </c>
    </row>
    <row r="35" spans="1:27" ht="15.75" thickBot="1" x14ac:dyDescent="0.3"/>
    <row r="36" spans="1:27" ht="15.75" thickBot="1" x14ac:dyDescent="0.3">
      <c r="A36" s="3" t="s">
        <v>23</v>
      </c>
      <c r="B36" s="52">
        <f>SUM(B23:B34)</f>
        <v>-36896</v>
      </c>
      <c r="C36" s="51"/>
      <c r="D36" s="50">
        <f>SUM(D23:D34)</f>
        <v>2392.9</v>
      </c>
      <c r="E36" s="49">
        <f>SUM(E23:E34)</f>
        <v>200</v>
      </c>
      <c r="F36" s="48">
        <f>SUM(F23:F34)</f>
        <v>0</v>
      </c>
      <c r="H36" s="3" t="s">
        <v>23</v>
      </c>
      <c r="I36" s="52">
        <f>SUM(I23:I34)</f>
        <v>6269</v>
      </c>
      <c r="J36" s="51"/>
      <c r="K36" s="50">
        <f>SUM(K23:K34)</f>
        <v>4516.8499999999995</v>
      </c>
      <c r="L36" s="49">
        <f>SUM(L23:L34)</f>
        <v>200</v>
      </c>
      <c r="M36" s="48">
        <f>SUM(M23:M34)</f>
        <v>0</v>
      </c>
      <c r="O36" s="3" t="s">
        <v>23</v>
      </c>
      <c r="P36" s="52">
        <f>SUM(P23:P34)</f>
        <v>11853</v>
      </c>
      <c r="Q36" s="51"/>
      <c r="R36" s="50">
        <f>SUM(R23:R34)</f>
        <v>6276.8499999999995</v>
      </c>
      <c r="S36" s="49">
        <f>SUM(S23:S34)</f>
        <v>250</v>
      </c>
      <c r="T36" s="48">
        <f>SUM(T23:T34)</f>
        <v>0</v>
      </c>
      <c r="V36" s="3" t="s">
        <v>23</v>
      </c>
      <c r="W36" s="52">
        <f>SUM(W23:W34)</f>
        <v>28233</v>
      </c>
      <c r="X36" s="51"/>
      <c r="Y36" s="50">
        <f>SUM(Y23:Y34)</f>
        <v>918.16000000000008</v>
      </c>
      <c r="Z36" s="49">
        <f>SUM(Z23:Z34)</f>
        <v>100</v>
      </c>
      <c r="AA36" s="48">
        <f>SUM(AA23:AA34)</f>
        <v>0</v>
      </c>
    </row>
    <row r="37" spans="1:27" ht="15.75" thickBot="1" x14ac:dyDescent="0.3">
      <c r="A37" s="3" t="s">
        <v>44</v>
      </c>
      <c r="B37" s="23">
        <f>SUM(54000-B36)</f>
        <v>90896</v>
      </c>
      <c r="H37" s="3" t="s">
        <v>44</v>
      </c>
      <c r="I37" s="23">
        <f>SUM(60000-I36)</f>
        <v>53731</v>
      </c>
      <c r="O37" s="3" t="s">
        <v>44</v>
      </c>
      <c r="P37" s="23">
        <f>SUM(60000-P36)</f>
        <v>48147</v>
      </c>
      <c r="V37" s="3" t="s">
        <v>44</v>
      </c>
      <c r="W37" s="23">
        <f>SUM(60000-W36)</f>
        <v>31767</v>
      </c>
    </row>
    <row r="40" spans="1:27" ht="15.75" thickBot="1" x14ac:dyDescent="0.3">
      <c r="B40" s="105" t="s">
        <v>91</v>
      </c>
      <c r="C40" s="105"/>
      <c r="D40" s="105"/>
      <c r="E40" s="105"/>
      <c r="F40" s="105"/>
      <c r="I40" s="105" t="s">
        <v>88</v>
      </c>
      <c r="J40" s="105"/>
      <c r="K40" s="105"/>
      <c r="L40" s="105"/>
      <c r="M40" s="105"/>
      <c r="P40" s="105" t="s">
        <v>90</v>
      </c>
      <c r="Q40" s="105"/>
      <c r="R40" s="105"/>
      <c r="S40" s="105"/>
      <c r="T40" s="105"/>
      <c r="W40" s="105" t="s">
        <v>89</v>
      </c>
      <c r="X40" s="105"/>
      <c r="Y40" s="105"/>
      <c r="Z40" s="105"/>
      <c r="AA40" s="105"/>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'André-Desmob'!H14</f>
        <v>0</v>
      </c>
      <c r="C43" s="43">
        <f>SUM(5000-B43)</f>
        <v>5000</v>
      </c>
      <c r="D43" s="35">
        <f>'André-Desmob'!U15</f>
        <v>0</v>
      </c>
      <c r="E43" s="35">
        <f>'André-Desmob'!AE15</f>
        <v>0</v>
      </c>
      <c r="F43" s="36">
        <f>'André-Desmob'!AN15</f>
        <v>0</v>
      </c>
      <c r="H43" s="38" t="s">
        <v>32</v>
      </c>
      <c r="I43" s="46">
        <f>'Felipe Silva-Mob.CGN Lapa'!H11</f>
        <v>0</v>
      </c>
      <c r="J43" s="43">
        <f>SUM(5000-I43)</f>
        <v>5000</v>
      </c>
      <c r="K43" s="35">
        <f>'Felipe Silva-Mob.CGN Lapa'!U12</f>
        <v>0</v>
      </c>
      <c r="L43" s="35">
        <f>'Felipe Silva-Mob.CGN Lapa'!AE12</f>
        <v>0</v>
      </c>
      <c r="M43" s="36">
        <f>'Felipe Silva-Mob.CGN Lapa'!AN12</f>
        <v>0</v>
      </c>
      <c r="O43" s="38" t="s">
        <v>32</v>
      </c>
      <c r="P43" s="46">
        <f>'Ademir-Desmob'!H11</f>
        <v>0</v>
      </c>
      <c r="Q43" s="43">
        <f>SUM(5000-P43)</f>
        <v>5000</v>
      </c>
      <c r="R43" s="35">
        <f>'Ademir-Desmob'!U12</f>
        <v>0</v>
      </c>
      <c r="S43" s="35">
        <f>'Ademir-Desmob'!AE12</f>
        <v>0</v>
      </c>
      <c r="T43" s="36">
        <f>'Ademir-Desmob'!AN12</f>
        <v>0</v>
      </c>
      <c r="V43" s="38" t="s">
        <v>32</v>
      </c>
      <c r="W43" s="46">
        <f>'Jerfferson '!H12</f>
        <v>0</v>
      </c>
      <c r="X43" s="43">
        <f>SUM(5000-W43)</f>
        <v>5000</v>
      </c>
      <c r="Y43" s="35">
        <f>'Jerfferson '!U13</f>
        <v>0</v>
      </c>
      <c r="Z43" s="35">
        <f>'Jerfferson '!AE13</f>
        <v>0</v>
      </c>
      <c r="AA43" s="36">
        <f>'Jerfferson '!AN13</f>
        <v>0</v>
      </c>
    </row>
    <row r="44" spans="1:27" x14ac:dyDescent="0.25">
      <c r="A44" s="38" t="s">
        <v>33</v>
      </c>
      <c r="B44" s="46">
        <f>'André-Desmob'!H18</f>
        <v>0</v>
      </c>
      <c r="C44" s="43">
        <f t="shared" ref="C44:C53" si="5">SUM(5000-B44)</f>
        <v>5000</v>
      </c>
      <c r="D44" s="35">
        <f>'André-Desmob'!U19</f>
        <v>0</v>
      </c>
      <c r="E44" s="35">
        <f>'André-Desmob'!AE19</f>
        <v>0</v>
      </c>
      <c r="F44" s="36">
        <f>'André-Desmob'!AN19</f>
        <v>0</v>
      </c>
      <c r="H44" s="38" t="s">
        <v>33</v>
      </c>
      <c r="I44" s="46">
        <f>'Felipe Silva-Mob.CGN Lapa'!H15</f>
        <v>0</v>
      </c>
      <c r="J44" s="43">
        <f t="shared" ref="J44:J53" si="6">SUM(5000-I44)</f>
        <v>5000</v>
      </c>
      <c r="K44" s="35">
        <f>'Felipe Silva-Mob.CGN Lapa'!U16</f>
        <v>0</v>
      </c>
      <c r="L44" s="35">
        <f>'Felipe Silva-Mob.CGN Lapa'!AE16</f>
        <v>0</v>
      </c>
      <c r="M44" s="36">
        <f>'Felipe Silva-Mob.CGN Lapa'!AN16</f>
        <v>0</v>
      </c>
      <c r="O44" s="38" t="s">
        <v>33</v>
      </c>
      <c r="P44" s="46">
        <f>'Ademir-Desmob'!H15</f>
        <v>0</v>
      </c>
      <c r="Q44" s="43">
        <f t="shared" ref="Q44:Q53" si="7">SUM(5000-P44)</f>
        <v>5000</v>
      </c>
      <c r="R44" s="35">
        <f>'Ademir-Desmob'!U16</f>
        <v>0</v>
      </c>
      <c r="S44" s="35">
        <f>'Ademir-Desmob'!AE16</f>
        <v>0</v>
      </c>
      <c r="T44" s="36">
        <f>'Ademir-Desmob'!AN16</f>
        <v>0</v>
      </c>
      <c r="V44" s="38" t="s">
        <v>33</v>
      </c>
      <c r="W44" s="46">
        <f>'Jerfferson '!H16</f>
        <v>0</v>
      </c>
      <c r="X44" s="43">
        <f t="shared" ref="X44:X53" si="8">SUM(5000-W44)</f>
        <v>5000</v>
      </c>
      <c r="Y44" s="35">
        <f>'Jerfferson '!U17</f>
        <v>0</v>
      </c>
      <c r="Z44" s="35">
        <f>'Jerfferson '!AE17</f>
        <v>0</v>
      </c>
      <c r="AA44" s="36">
        <f>'Jerfferson '!AN17</f>
        <v>0</v>
      </c>
    </row>
    <row r="45" spans="1:27" x14ac:dyDescent="0.25">
      <c r="A45" s="38" t="s">
        <v>34</v>
      </c>
      <c r="B45" s="46">
        <f>'André-Desmob'!H22</f>
        <v>0</v>
      </c>
      <c r="C45" s="43">
        <f t="shared" si="5"/>
        <v>5000</v>
      </c>
      <c r="D45" s="35">
        <f>'André-Desmob'!U23</f>
        <v>0</v>
      </c>
      <c r="E45" s="35">
        <f>'André-Desmob'!AE23</f>
        <v>0</v>
      </c>
      <c r="F45" s="36">
        <f>'André-Desmob'!AN23</f>
        <v>0</v>
      </c>
      <c r="H45" s="38" t="s">
        <v>34</v>
      </c>
      <c r="I45" s="46">
        <f>'Felipe Silva-Mob.CGN Lapa'!H19</f>
        <v>0</v>
      </c>
      <c r="J45" s="43">
        <f t="shared" si="6"/>
        <v>5000</v>
      </c>
      <c r="K45" s="35">
        <f>'Felipe Silva-Mob.CGN Lapa'!U20</f>
        <v>0</v>
      </c>
      <c r="L45" s="35">
        <f>'Felipe Silva-Mob.CGN Lapa'!AE20</f>
        <v>0</v>
      </c>
      <c r="M45" s="36">
        <f>'Felipe Silva-Mob.CGN Lapa'!AN20</f>
        <v>0</v>
      </c>
      <c r="O45" s="38" t="s">
        <v>34</v>
      </c>
      <c r="P45" s="46">
        <f>'Ademir-Desmob'!H19</f>
        <v>0</v>
      </c>
      <c r="Q45" s="43">
        <f t="shared" si="7"/>
        <v>5000</v>
      </c>
      <c r="R45" s="35">
        <f>'Ademir-Desmob'!U20</f>
        <v>0</v>
      </c>
      <c r="S45" s="35">
        <f>'Ademir-Desmob'!AE20</f>
        <v>0</v>
      </c>
      <c r="T45" s="36">
        <f>'Ademir-Desmob'!AN20</f>
        <v>0</v>
      </c>
      <c r="V45" s="38" t="s">
        <v>34</v>
      </c>
      <c r="W45" s="46">
        <f>'Jerfferson '!H20</f>
        <v>0</v>
      </c>
      <c r="X45" s="43">
        <f t="shared" si="8"/>
        <v>5000</v>
      </c>
      <c r="Y45" s="35">
        <f>'Jerfferson '!U21</f>
        <v>0</v>
      </c>
      <c r="Z45" s="35">
        <f>'Jerfferson '!AE21</f>
        <v>0</v>
      </c>
      <c r="AA45" s="36">
        <f>'Jerfferson '!AN21</f>
        <v>0</v>
      </c>
    </row>
    <row r="46" spans="1:27" x14ac:dyDescent="0.25">
      <c r="A46" s="38" t="s">
        <v>35</v>
      </c>
      <c r="B46" s="46">
        <f>'André-Desmob'!H26</f>
        <v>0</v>
      </c>
      <c r="C46" s="43">
        <f t="shared" si="5"/>
        <v>5000</v>
      </c>
      <c r="D46" s="35">
        <f>'André-Desmob'!U27</f>
        <v>0</v>
      </c>
      <c r="E46" s="35">
        <f>'André-Desmob'!AE27</f>
        <v>0</v>
      </c>
      <c r="F46" s="36">
        <f>'André-Desmob'!AN27</f>
        <v>0</v>
      </c>
      <c r="H46" s="38" t="s">
        <v>35</v>
      </c>
      <c r="I46" s="46">
        <f>'Felipe Silva-Mob.CGN Lapa'!H23</f>
        <v>0</v>
      </c>
      <c r="J46" s="43">
        <f t="shared" si="6"/>
        <v>5000</v>
      </c>
      <c r="K46" s="35">
        <f>'Felipe Silva-Mob.CGN Lapa'!U24</f>
        <v>0</v>
      </c>
      <c r="L46" s="35">
        <f>'Felipe Silva-Mob.CGN Lapa'!AE24</f>
        <v>0</v>
      </c>
      <c r="M46" s="36">
        <f>'Felipe Silva-Mob.CGN Lapa'!AN24</f>
        <v>0</v>
      </c>
      <c r="O46" s="38" t="s">
        <v>35</v>
      </c>
      <c r="P46" s="46">
        <f>'Ademir-Desmob'!H23</f>
        <v>0</v>
      </c>
      <c r="Q46" s="43">
        <f t="shared" si="7"/>
        <v>5000</v>
      </c>
      <c r="R46" s="35">
        <f>'Ademir-Desmob'!U24</f>
        <v>0</v>
      </c>
      <c r="S46" s="35">
        <f>'Ademir-Desmob'!AE24</f>
        <v>0</v>
      </c>
      <c r="T46" s="36">
        <f>'Ademir-Desmob'!AN24</f>
        <v>0</v>
      </c>
      <c r="V46" s="38" t="s">
        <v>35</v>
      </c>
      <c r="W46" s="46">
        <f>'Jerfferson '!H24</f>
        <v>0</v>
      </c>
      <c r="X46" s="43">
        <f t="shared" si="8"/>
        <v>5000</v>
      </c>
      <c r="Y46" s="35">
        <f>'Jerfferson '!U25</f>
        <v>0</v>
      </c>
      <c r="Z46" s="35">
        <f>'Jerfferson '!AE25</f>
        <v>0</v>
      </c>
      <c r="AA46" s="36">
        <f>'Jerfferson '!AN25</f>
        <v>0</v>
      </c>
    </row>
    <row r="47" spans="1:27" x14ac:dyDescent="0.25">
      <c r="A47" s="38" t="s">
        <v>36</v>
      </c>
      <c r="B47" s="46">
        <f>'André-Desmob'!H30</f>
        <v>0</v>
      </c>
      <c r="C47" s="43">
        <f t="shared" si="5"/>
        <v>5000</v>
      </c>
      <c r="D47" s="35">
        <f>'André-Desmob'!U31</f>
        <v>0</v>
      </c>
      <c r="E47" s="35">
        <f>'André-Desmob'!AE31</f>
        <v>0</v>
      </c>
      <c r="F47" s="36">
        <f>'André-Desmob'!AN31</f>
        <v>0</v>
      </c>
      <c r="H47" s="38" t="s">
        <v>36</v>
      </c>
      <c r="I47" s="46">
        <f>'Felipe Silva-Mob.CGN Lapa'!H27</f>
        <v>0</v>
      </c>
      <c r="J47" s="43">
        <f t="shared" si="6"/>
        <v>5000</v>
      </c>
      <c r="K47" s="35">
        <f>'Felipe Silva-Mob.CGN Lapa'!U28</f>
        <v>0</v>
      </c>
      <c r="L47" s="35">
        <f>'Felipe Silva-Mob.CGN Lapa'!AE28</f>
        <v>0</v>
      </c>
      <c r="M47" s="36">
        <f>'Felipe Silva-Mob.CGN Lapa'!AN28</f>
        <v>0</v>
      </c>
      <c r="O47" s="38" t="s">
        <v>36</v>
      </c>
      <c r="P47" s="46">
        <f>'Ademir-Desmob'!H27</f>
        <v>0</v>
      </c>
      <c r="Q47" s="43">
        <f t="shared" si="7"/>
        <v>5000</v>
      </c>
      <c r="R47" s="35">
        <f>'Ademir-Desmob'!U28</f>
        <v>0</v>
      </c>
      <c r="S47" s="35">
        <f>'Ademir-Desmob'!AE28</f>
        <v>0</v>
      </c>
      <c r="T47" s="36">
        <f>'Ademir-Desmob'!AN28</f>
        <v>0</v>
      </c>
      <c r="V47" s="38" t="s">
        <v>36</v>
      </c>
      <c r="W47" s="46">
        <f>'Jerfferson '!H28</f>
        <v>0</v>
      </c>
      <c r="X47" s="43">
        <f t="shared" si="8"/>
        <v>5000</v>
      </c>
      <c r="Y47" s="35">
        <f>'Jerfferson '!U29</f>
        <v>0</v>
      </c>
      <c r="Z47" s="35">
        <f>'Jerfferson '!AE29</f>
        <v>0</v>
      </c>
      <c r="AA47" s="36">
        <f>'Jerfferson '!AN29</f>
        <v>0</v>
      </c>
    </row>
    <row r="48" spans="1:27" x14ac:dyDescent="0.25">
      <c r="A48" s="38" t="s">
        <v>37</v>
      </c>
      <c r="B48" s="46">
        <f>'André-Desmob'!H34</f>
        <v>0</v>
      </c>
      <c r="C48" s="43">
        <f t="shared" si="5"/>
        <v>5000</v>
      </c>
      <c r="D48" s="35">
        <f>'André-Desmob'!U35</f>
        <v>0</v>
      </c>
      <c r="E48" s="35">
        <f>'André-Desmob'!AE35</f>
        <v>0</v>
      </c>
      <c r="F48" s="36">
        <f>'André-Desmob'!AN35</f>
        <v>0</v>
      </c>
      <c r="H48" s="38" t="s">
        <v>37</v>
      </c>
      <c r="I48" s="46">
        <f>'Felipe Silva-Mob.CGN Lapa'!H31</f>
        <v>0</v>
      </c>
      <c r="J48" s="43">
        <f t="shared" si="6"/>
        <v>5000</v>
      </c>
      <c r="K48" s="35">
        <f>'Felipe Silva-Mob.CGN Lapa'!U32</f>
        <v>0</v>
      </c>
      <c r="L48" s="35">
        <f>'Felipe Silva-Mob.CGN Lapa'!AE32</f>
        <v>0</v>
      </c>
      <c r="M48" s="36">
        <f>'Felipe Silva-Mob.CGN Lapa'!AN32</f>
        <v>0</v>
      </c>
      <c r="O48" s="38" t="s">
        <v>37</v>
      </c>
      <c r="P48" s="46">
        <f>'Ademir-Desmob'!H31</f>
        <v>0</v>
      </c>
      <c r="Q48" s="43">
        <f t="shared" si="7"/>
        <v>5000</v>
      </c>
      <c r="R48" s="35">
        <f>'Ademir-Desmob'!U32</f>
        <v>0</v>
      </c>
      <c r="S48" s="35">
        <f>'Ademir-Desmob'!AE32</f>
        <v>0</v>
      </c>
      <c r="T48" s="36">
        <f>'Ademir-Desmob'!AN32</f>
        <v>0</v>
      </c>
      <c r="V48" s="38" t="s">
        <v>37</v>
      </c>
      <c r="W48" s="46">
        <f>'Jerfferson '!H32</f>
        <v>0</v>
      </c>
      <c r="X48" s="43">
        <f t="shared" si="8"/>
        <v>5000</v>
      </c>
      <c r="Y48" s="35">
        <f>'Jerfferson '!U33</f>
        <v>0</v>
      </c>
      <c r="Z48" s="35">
        <f>'Jerfferson '!AE33</f>
        <v>0</v>
      </c>
      <c r="AA48" s="36">
        <f>'Jerfferson '!AN33</f>
        <v>0</v>
      </c>
    </row>
    <row r="49" spans="1:27" x14ac:dyDescent="0.25">
      <c r="A49" s="38" t="s">
        <v>38</v>
      </c>
      <c r="B49" s="46">
        <f>'André-Desmob'!H38</f>
        <v>0</v>
      </c>
      <c r="C49" s="43">
        <f t="shared" si="5"/>
        <v>5000</v>
      </c>
      <c r="D49" s="35">
        <f>'André-Desmob'!U39</f>
        <v>0</v>
      </c>
      <c r="E49" s="35">
        <f>'André-Desmob'!AE39</f>
        <v>0</v>
      </c>
      <c r="F49" s="36">
        <f>'André-Desmob'!AN39</f>
        <v>0</v>
      </c>
      <c r="H49" s="38" t="s">
        <v>38</v>
      </c>
      <c r="I49" s="46">
        <f>'Felipe Silva-Mob.CGN Lapa'!H35</f>
        <v>0</v>
      </c>
      <c r="J49" s="43">
        <f t="shared" si="6"/>
        <v>5000</v>
      </c>
      <c r="K49" s="35">
        <f>'Felipe Silva-Mob.CGN Lapa'!U36</f>
        <v>0</v>
      </c>
      <c r="L49" s="35">
        <f>'Felipe Silva-Mob.CGN Lapa'!AE36</f>
        <v>0</v>
      </c>
      <c r="M49" s="36">
        <f>'Felipe Silva-Mob.CGN Lapa'!AN36</f>
        <v>0</v>
      </c>
      <c r="O49" s="38" t="s">
        <v>38</v>
      </c>
      <c r="P49" s="46">
        <f>'Ademir-Desmob'!H35</f>
        <v>0</v>
      </c>
      <c r="Q49" s="43">
        <f t="shared" si="7"/>
        <v>5000</v>
      </c>
      <c r="R49" s="35">
        <f>'Ademir-Desmob'!U36</f>
        <v>0</v>
      </c>
      <c r="S49" s="35">
        <f>'Ademir-Desmob'!AE36</f>
        <v>0</v>
      </c>
      <c r="T49" s="36">
        <f>'Ademir-Desmob'!AN36</f>
        <v>0</v>
      </c>
      <c r="V49" s="38" t="s">
        <v>38</v>
      </c>
      <c r="W49" s="46">
        <f>'Jerfferson '!H36</f>
        <v>0</v>
      </c>
      <c r="X49" s="43">
        <f t="shared" si="8"/>
        <v>5000</v>
      </c>
      <c r="Y49" s="35">
        <f>'Jerfferson '!U37</f>
        <v>0</v>
      </c>
      <c r="Z49" s="35">
        <f>'Jerfferson '!AE37</f>
        <v>0</v>
      </c>
      <c r="AA49" s="36">
        <f>'Jerfferson '!AN37</f>
        <v>0</v>
      </c>
    </row>
    <row r="50" spans="1:27" x14ac:dyDescent="0.25">
      <c r="A50" s="38" t="s">
        <v>39</v>
      </c>
      <c r="B50" s="46">
        <f>'André-Desmob'!H42</f>
        <v>3798</v>
      </c>
      <c r="C50" s="43">
        <f t="shared" si="5"/>
        <v>1202</v>
      </c>
      <c r="D50" s="35">
        <f>'André-Desmob'!U43</f>
        <v>1258.6600000000001</v>
      </c>
      <c r="E50" s="35">
        <f>'André-Desmob'!AE43</f>
        <v>0</v>
      </c>
      <c r="F50" s="36">
        <f>'André-Desmob'!AN43</f>
        <v>0</v>
      </c>
      <c r="H50" s="38" t="s">
        <v>39</v>
      </c>
      <c r="I50" s="46">
        <f>'Felipe Silva-Mob.CGN Lapa'!H39</f>
        <v>1338</v>
      </c>
      <c r="J50" s="43">
        <f t="shared" si="6"/>
        <v>3662</v>
      </c>
      <c r="K50" s="35">
        <f>'Felipe Silva-Mob.CGN Lapa'!U40</f>
        <v>667.27</v>
      </c>
      <c r="L50" s="35">
        <f>'Felipe Silva-Mob.CGN Lapa'!AE40</f>
        <v>0</v>
      </c>
      <c r="M50" s="36">
        <f>'Felipe Silva-Mob.CGN Lapa'!AN40</f>
        <v>0</v>
      </c>
      <c r="O50" s="38" t="s">
        <v>39</v>
      </c>
      <c r="P50" s="46">
        <f>'Ademir-Desmob'!H39</f>
        <v>0</v>
      </c>
      <c r="Q50" s="43">
        <f t="shared" si="7"/>
        <v>5000</v>
      </c>
      <c r="R50" s="35">
        <f>'Ademir-Desmob'!U40</f>
        <v>0</v>
      </c>
      <c r="S50" s="35">
        <f>'Ademir-Desmob'!AE40</f>
        <v>0</v>
      </c>
      <c r="T50" s="36">
        <f>'Ademir-Desmob'!AN40</f>
        <v>0</v>
      </c>
      <c r="V50" s="38" t="s">
        <v>39</v>
      </c>
      <c r="W50" s="46">
        <f>'Jerfferson '!H40</f>
        <v>2840</v>
      </c>
      <c r="X50" s="43">
        <f t="shared" si="8"/>
        <v>2160</v>
      </c>
      <c r="Y50" s="35">
        <f>'Jerfferson '!U41</f>
        <v>395.54</v>
      </c>
      <c r="Z50" s="35">
        <f>'Jerfferson '!AE41</f>
        <v>50</v>
      </c>
      <c r="AA50" s="36">
        <f>'Jerfferson '!AN41</f>
        <v>0</v>
      </c>
    </row>
    <row r="51" spans="1:27" x14ac:dyDescent="0.25">
      <c r="A51" s="38" t="s">
        <v>40</v>
      </c>
      <c r="B51" s="46">
        <f>'André-Desmob'!H46</f>
        <v>3637</v>
      </c>
      <c r="C51" s="43">
        <f t="shared" si="5"/>
        <v>1363</v>
      </c>
      <c r="D51" s="35">
        <f>'André-Desmob'!U47</f>
        <v>2301.66</v>
      </c>
      <c r="E51" s="35">
        <f>'André-Desmob'!AE47</f>
        <v>50</v>
      </c>
      <c r="F51" s="36">
        <f>'André-Desmob'!AN47</f>
        <v>0</v>
      </c>
      <c r="H51" s="38" t="s">
        <v>40</v>
      </c>
      <c r="I51" s="46">
        <f>'Felipe Silva-Mob.CGN Lapa'!H43</f>
        <v>2369</v>
      </c>
      <c r="J51" s="43">
        <f t="shared" si="6"/>
        <v>2631</v>
      </c>
      <c r="K51" s="35">
        <f>'Felipe Silva-Mob.CGN Lapa'!U44</f>
        <v>969.65999999999985</v>
      </c>
      <c r="L51" s="35">
        <f>'Felipe Silva-Mob.CGN Lapa'!AE44</f>
        <v>0</v>
      </c>
      <c r="M51" s="36">
        <f>'Felipe Silva-Mob.CGN Lapa'!AN44</f>
        <v>0</v>
      </c>
      <c r="O51" s="38" t="s">
        <v>40</v>
      </c>
      <c r="P51" s="46">
        <f>'Ademir-Desmob'!H43</f>
        <v>954</v>
      </c>
      <c r="Q51" s="43">
        <f t="shared" si="7"/>
        <v>4046</v>
      </c>
      <c r="R51" s="35">
        <f>'Ademir-Desmob'!U44</f>
        <v>672.23</v>
      </c>
      <c r="S51" s="35">
        <f>'Ademir-Desmob'!AE44</f>
        <v>0</v>
      </c>
      <c r="T51" s="36">
        <f>'Ademir-Desmob'!AN44</f>
        <v>0</v>
      </c>
      <c r="V51" s="38" t="s">
        <v>40</v>
      </c>
      <c r="W51" s="46">
        <f>'Jerfferson '!H44</f>
        <v>1851</v>
      </c>
      <c r="X51" s="43">
        <f t="shared" si="8"/>
        <v>3149</v>
      </c>
      <c r="Y51" s="35">
        <f>'Jerfferson '!U45</f>
        <v>1821.7</v>
      </c>
      <c r="Z51" s="35">
        <f>'Jerfferson '!AE45</f>
        <v>50</v>
      </c>
      <c r="AA51" s="36">
        <f>'Jerfferson '!AN45</f>
        <v>0</v>
      </c>
    </row>
    <row r="52" spans="1:27" x14ac:dyDescent="0.25">
      <c r="A52" s="38" t="s">
        <v>41</v>
      </c>
      <c r="B52" s="46">
        <f>'André-Desmob'!H50</f>
        <v>1066</v>
      </c>
      <c r="C52" s="43">
        <f t="shared" si="5"/>
        <v>3934</v>
      </c>
      <c r="D52" s="35">
        <f>'André-Desmob'!U51</f>
        <v>1020.02</v>
      </c>
      <c r="E52" s="35">
        <f>'André-Desmob'!AE51</f>
        <v>0</v>
      </c>
      <c r="F52" s="36">
        <f>'André-Desmob'!AN51</f>
        <v>0</v>
      </c>
      <c r="H52" s="38" t="s">
        <v>41</v>
      </c>
      <c r="I52" s="46">
        <f>'Felipe Silva-Mob.CGN Lapa'!H47</f>
        <v>1499</v>
      </c>
      <c r="J52" s="43">
        <f t="shared" si="6"/>
        <v>3501</v>
      </c>
      <c r="K52" s="35">
        <f>'Felipe Silva-Mob.CGN Lapa'!U48</f>
        <v>340.13</v>
      </c>
      <c r="L52" s="35">
        <f>'Felipe Silva-Mob.CGN Lapa'!AE48</f>
        <v>0</v>
      </c>
      <c r="M52" s="36">
        <f>'Felipe Silva-Mob.CGN Lapa'!AN48</f>
        <v>0</v>
      </c>
      <c r="O52" s="38" t="s">
        <v>41</v>
      </c>
      <c r="P52" s="46">
        <f>'Ademir-Desmob'!H47</f>
        <v>0</v>
      </c>
      <c r="Q52" s="43">
        <f t="shared" si="7"/>
        <v>5000</v>
      </c>
      <c r="R52" s="35">
        <f>'Ademir-Desmob'!U48</f>
        <v>228</v>
      </c>
      <c r="S52" s="35">
        <f>'Ademir-Desmob'!AE48</f>
        <v>0</v>
      </c>
      <c r="T52" s="36">
        <f>'Ademir-Desmob'!AN48</f>
        <v>0</v>
      </c>
      <c r="V52" s="38" t="s">
        <v>41</v>
      </c>
      <c r="W52" s="46">
        <f>'Jerfferson '!H48</f>
        <v>2650</v>
      </c>
      <c r="X52" s="43">
        <f t="shared" si="8"/>
        <v>2350</v>
      </c>
      <c r="Y52" s="35">
        <f>'Jerfferson '!U49</f>
        <v>230.77</v>
      </c>
      <c r="Z52" s="35">
        <f>'Jerfferson '!AE49</f>
        <v>0</v>
      </c>
      <c r="AA52" s="36">
        <f>'Jerfferson '!AN49</f>
        <v>0</v>
      </c>
    </row>
    <row r="53" spans="1:27" ht="15.75" thickBot="1" x14ac:dyDescent="0.3">
      <c r="A53" s="39" t="s">
        <v>42</v>
      </c>
      <c r="B53" s="47">
        <f>'André-Desmob'!H54</f>
        <v>2173</v>
      </c>
      <c r="C53" s="44">
        <f t="shared" si="5"/>
        <v>2827</v>
      </c>
      <c r="D53" s="11">
        <f>'André-Desmob'!U55</f>
        <v>757.02</v>
      </c>
      <c r="E53" s="11">
        <f>'André-Desmob'!AE55</f>
        <v>0</v>
      </c>
      <c r="F53" s="12">
        <f>'André-Desmob'!AN55</f>
        <v>0</v>
      </c>
      <c r="H53" s="39" t="s">
        <v>42</v>
      </c>
      <c r="I53" s="47">
        <f>'Felipe Silva-Mob.CGN Lapa'!H51</f>
        <v>2786</v>
      </c>
      <c r="J53" s="44">
        <f t="shared" si="6"/>
        <v>2214</v>
      </c>
      <c r="K53" s="11">
        <f>'Felipe Silva-Mob.CGN Lapa'!U52</f>
        <v>298.39999999999998</v>
      </c>
      <c r="L53" s="11">
        <f>'Felipe Silva-Mob.CGN Lapa'!AE52</f>
        <v>0</v>
      </c>
      <c r="M53" s="12">
        <f>'Felipe Silva-Mob.CGN Lapa'!AN52</f>
        <v>0</v>
      </c>
      <c r="O53" s="39" t="s">
        <v>42</v>
      </c>
      <c r="P53" s="47">
        <f>'Ademir-Desmob'!H51</f>
        <v>1046</v>
      </c>
      <c r="Q53" s="44">
        <f t="shared" si="7"/>
        <v>3954</v>
      </c>
      <c r="R53" s="11">
        <f>'Ademir-Desmob'!U52</f>
        <v>234.98</v>
      </c>
      <c r="S53" s="11">
        <f>'Ademir-Desmob'!AE52</f>
        <v>0</v>
      </c>
      <c r="T53" s="12">
        <f>'Ademir-Desmob'!AN52</f>
        <v>0</v>
      </c>
      <c r="V53" s="39" t="s">
        <v>42</v>
      </c>
      <c r="W53" s="47">
        <f>'Jerfferson '!H52</f>
        <v>4663</v>
      </c>
      <c r="X53" s="44">
        <f t="shared" si="8"/>
        <v>337</v>
      </c>
      <c r="Y53" s="11">
        <f>'Jerfferson '!U53</f>
        <v>466.75</v>
      </c>
      <c r="Z53" s="11">
        <f>'Jerfferson '!AE53</f>
        <v>0</v>
      </c>
      <c r="AA53" s="12">
        <f>'Jerfferson '!AN53</f>
        <v>0</v>
      </c>
    </row>
    <row r="54" spans="1:27" ht="15.75" thickBot="1" x14ac:dyDescent="0.3"/>
    <row r="55" spans="1:27" ht="15.75" thickBot="1" x14ac:dyDescent="0.3">
      <c r="A55" s="3" t="s">
        <v>23</v>
      </c>
      <c r="B55" s="52">
        <f>SUM(B42:B53)</f>
        <v>10674</v>
      </c>
      <c r="C55" s="51"/>
      <c r="D55" s="50">
        <f>SUM(D42:D53)</f>
        <v>5337.3600000000006</v>
      </c>
      <c r="E55" s="49">
        <f>SUM(E42:E53)</f>
        <v>50</v>
      </c>
      <c r="F55" s="48">
        <f>SUM(F42:F53)</f>
        <v>0</v>
      </c>
      <c r="H55" s="3" t="s">
        <v>23</v>
      </c>
      <c r="I55" s="52">
        <f>SUM(I42:I53)</f>
        <v>7992</v>
      </c>
      <c r="J55" s="51"/>
      <c r="K55" s="50">
        <f>SUM(K42:K53)</f>
        <v>2275.46</v>
      </c>
      <c r="L55" s="49">
        <f>SUM(L42:L53)</f>
        <v>0</v>
      </c>
      <c r="M55" s="48">
        <f>SUM(M42:M53)</f>
        <v>0</v>
      </c>
      <c r="O55" s="3" t="s">
        <v>23</v>
      </c>
      <c r="P55" s="52">
        <f>SUM(P42:P53)</f>
        <v>2000</v>
      </c>
      <c r="Q55" s="51"/>
      <c r="R55" s="50">
        <f>SUM(R42:R53)</f>
        <v>1135.21</v>
      </c>
      <c r="S55" s="49">
        <f>SUM(S42:S53)</f>
        <v>0</v>
      </c>
      <c r="T55" s="48">
        <f>SUM(T42:T53)</f>
        <v>0</v>
      </c>
      <c r="V55" s="3" t="s">
        <v>23</v>
      </c>
      <c r="W55" s="52">
        <f>SUM(W42:W53)</f>
        <v>12004</v>
      </c>
      <c r="X55" s="51"/>
      <c r="Y55" s="50">
        <f>SUM(Y42:Y53)</f>
        <v>2914.76</v>
      </c>
      <c r="Z55" s="49">
        <f>SUM(Z42:Z53)</f>
        <v>100</v>
      </c>
      <c r="AA55" s="48">
        <f>SUM(AA42:AA53)</f>
        <v>0</v>
      </c>
    </row>
    <row r="56" spans="1:27" ht="15.75" thickBot="1" x14ac:dyDescent="0.3">
      <c r="A56" s="3" t="s">
        <v>44</v>
      </c>
      <c r="B56" s="23">
        <f>SUM(60000-B55)</f>
        <v>49326</v>
      </c>
      <c r="H56" s="3" t="s">
        <v>44</v>
      </c>
      <c r="I56" s="23">
        <f>SUM(60000-I55)</f>
        <v>52008</v>
      </c>
      <c r="O56" s="3" t="s">
        <v>44</v>
      </c>
      <c r="P56" s="23">
        <f>SUM(60000-P55)</f>
        <v>58000</v>
      </c>
      <c r="V56" s="3" t="s">
        <v>44</v>
      </c>
      <c r="W56" s="23">
        <f>SUM(60000-W55)</f>
        <v>47996</v>
      </c>
    </row>
    <row r="59" spans="1:27" ht="15.75" thickBot="1" x14ac:dyDescent="0.3">
      <c r="B59" s="105" t="s">
        <v>52</v>
      </c>
      <c r="C59" s="105"/>
      <c r="D59" s="105"/>
      <c r="E59" s="105"/>
      <c r="F59" s="105"/>
      <c r="I59" s="105" t="s">
        <v>53</v>
      </c>
      <c r="J59" s="105"/>
      <c r="K59" s="105"/>
      <c r="L59" s="105"/>
      <c r="M59" s="105"/>
      <c r="P59" s="105" t="s">
        <v>54</v>
      </c>
      <c r="Q59" s="105"/>
      <c r="R59" s="105"/>
      <c r="S59" s="105"/>
      <c r="T59" s="105"/>
      <c r="W59" s="105" t="s">
        <v>55</v>
      </c>
      <c r="X59" s="105"/>
      <c r="Y59" s="105"/>
      <c r="Z59" s="105"/>
      <c r="AA59" s="105"/>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'Jonatas-Desmob'!H11</f>
        <v>0</v>
      </c>
      <c r="C62" s="43">
        <f>SUM(5000-B62)</f>
        <v>5000</v>
      </c>
      <c r="D62" s="35">
        <f>'Jonatas-Desmob'!U12</f>
        <v>0</v>
      </c>
      <c r="E62" s="35">
        <f>'Jonatas-Desmob'!AE12</f>
        <v>0</v>
      </c>
      <c r="F62" s="36">
        <f>'Jonatas-Desmob'!AN12</f>
        <v>0</v>
      </c>
      <c r="H62" s="38" t="s">
        <v>32</v>
      </c>
      <c r="I62" s="46">
        <f>Eliomar!H11</f>
        <v>0</v>
      </c>
      <c r="J62" s="43">
        <f>SUM(5000-I62)</f>
        <v>5000</v>
      </c>
      <c r="K62" s="35">
        <f>Eliomar!U12</f>
        <v>0</v>
      </c>
      <c r="L62" s="35">
        <f>Eliomar!AE12</f>
        <v>0</v>
      </c>
      <c r="M62" s="36">
        <f>Eliomar!AN12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'Jonatas-Desmob'!H15</f>
        <v>0</v>
      </c>
      <c r="C63" s="43">
        <f t="shared" ref="C63:C72" si="9">SUM(5000-B63)</f>
        <v>5000</v>
      </c>
      <c r="D63" s="35">
        <f>'Jonatas-Desmob'!U16</f>
        <v>0</v>
      </c>
      <c r="E63" s="35">
        <f>'Jonatas-Desmob'!AE16</f>
        <v>0</v>
      </c>
      <c r="F63" s="36">
        <f>'Jonatas-Desmob'!AN16</f>
        <v>0</v>
      </c>
      <c r="H63" s="38" t="s">
        <v>33</v>
      </c>
      <c r="I63" s="46">
        <f>Eliomar!H15</f>
        <v>0</v>
      </c>
      <c r="J63" s="43">
        <f t="shared" ref="J63:J72" si="10">SUM(5000-I63)</f>
        <v>5000</v>
      </c>
      <c r="K63" s="35">
        <f>Eliomar!U16</f>
        <v>0</v>
      </c>
      <c r="L63" s="35">
        <f>Eliomar!AE16</f>
        <v>0</v>
      </c>
      <c r="M63" s="36">
        <f>Eliomar!AN16</f>
        <v>0</v>
      </c>
      <c r="O63" s="38" t="s">
        <v>33</v>
      </c>
      <c r="P63" s="46">
        <f>CAR_15!H15</f>
        <v>0</v>
      </c>
      <c r="Q63" s="43">
        <f t="shared" ref="Q63:Q72" si="11">SUM(5000-P63)</f>
        <v>5000</v>
      </c>
      <c r="R63" s="35">
        <f>CAR_15!U16</f>
        <v>0</v>
      </c>
      <c r="S63" s="35">
        <f>CAR_15!AE16</f>
        <v>0</v>
      </c>
      <c r="T63" s="36">
        <f>CAR_15!AN16</f>
        <v>0</v>
      </c>
      <c r="V63" s="38" t="s">
        <v>33</v>
      </c>
      <c r="W63" s="46">
        <f>CAR_16!H15</f>
        <v>0</v>
      </c>
      <c r="X63" s="43">
        <f t="shared" ref="X63:X72" si="12">SUM(5000-W63)</f>
        <v>5000</v>
      </c>
      <c r="Y63" s="35">
        <f>CAR_16!U16</f>
        <v>0</v>
      </c>
      <c r="Z63" s="35">
        <f>CAR_16!AE16</f>
        <v>0</v>
      </c>
      <c r="AA63" s="36">
        <f>CAR_16!AN16</f>
        <v>0</v>
      </c>
    </row>
    <row r="64" spans="1:27" x14ac:dyDescent="0.25">
      <c r="A64" s="38" t="s">
        <v>34</v>
      </c>
      <c r="B64" s="46">
        <f>'Jonatas-Desmob'!H19</f>
        <v>0</v>
      </c>
      <c r="C64" s="43">
        <f t="shared" si="9"/>
        <v>5000</v>
      </c>
      <c r="D64" s="35">
        <f>'Jonatas-Desmob'!U20</f>
        <v>0</v>
      </c>
      <c r="E64" s="35">
        <f>'Jonatas-Desmob'!AE20</f>
        <v>0</v>
      </c>
      <c r="F64" s="36">
        <f>'Jonatas-Desmob'!AN20</f>
        <v>0</v>
      </c>
      <c r="H64" s="38" t="s">
        <v>34</v>
      </c>
      <c r="I64" s="46">
        <f>Eliomar!H19</f>
        <v>2279</v>
      </c>
      <c r="J64" s="43">
        <f t="shared" si="10"/>
        <v>2721</v>
      </c>
      <c r="K64" s="35">
        <f>Eliomar!U20</f>
        <v>0</v>
      </c>
      <c r="L64" s="35">
        <f>Eliomar!AE20</f>
        <v>0</v>
      </c>
      <c r="M64" s="36">
        <f>Eliomar!AN20</f>
        <v>0</v>
      </c>
      <c r="O64" s="38" t="s">
        <v>34</v>
      </c>
      <c r="P64" s="46">
        <f>CAR_15!H19</f>
        <v>0</v>
      </c>
      <c r="Q64" s="43">
        <f t="shared" si="11"/>
        <v>5000</v>
      </c>
      <c r="R64" s="35">
        <f>CAR_15!U20</f>
        <v>0</v>
      </c>
      <c r="S64" s="35">
        <f>CAR_15!AE20</f>
        <v>0</v>
      </c>
      <c r="T64" s="36">
        <f>CAR_15!AN20</f>
        <v>0</v>
      </c>
      <c r="V64" s="38" t="s">
        <v>34</v>
      </c>
      <c r="W64" s="46">
        <f>CAR_16!H19</f>
        <v>0</v>
      </c>
      <c r="X64" s="43">
        <f t="shared" si="12"/>
        <v>5000</v>
      </c>
      <c r="Y64" s="35">
        <f>CAR_16!U20</f>
        <v>0</v>
      </c>
      <c r="Z64" s="35">
        <f>CAR_16!AE20</f>
        <v>0</v>
      </c>
      <c r="AA64" s="36">
        <f>CAR_16!AN20</f>
        <v>0</v>
      </c>
    </row>
    <row r="65" spans="1:27" x14ac:dyDescent="0.25">
      <c r="A65" s="38" t="s">
        <v>35</v>
      </c>
      <c r="B65" s="46">
        <f>'Jonatas-Desmob'!H23</f>
        <v>0</v>
      </c>
      <c r="C65" s="43">
        <f t="shared" si="9"/>
        <v>5000</v>
      </c>
      <c r="D65" s="35">
        <f>'Jonatas-Desmob'!U24</f>
        <v>0</v>
      </c>
      <c r="E65" s="35">
        <f>'Jonatas-Desmob'!AE224</f>
        <v>0</v>
      </c>
      <c r="F65" s="36">
        <f>'Jonatas-Desmob'!AN24</f>
        <v>0</v>
      </c>
      <c r="H65" s="38" t="s">
        <v>35</v>
      </c>
      <c r="I65" s="46">
        <f>Eliomar!H23</f>
        <v>2474</v>
      </c>
      <c r="J65" s="43">
        <f t="shared" si="10"/>
        <v>2526</v>
      </c>
      <c r="K65" s="35">
        <f>Eliomar!U24</f>
        <v>0</v>
      </c>
      <c r="L65" s="35">
        <f>Eliomar!AE24</f>
        <v>0</v>
      </c>
      <c r="M65" s="36">
        <f>Eliomar!AN24</f>
        <v>0</v>
      </c>
      <c r="O65" s="38" t="s">
        <v>35</v>
      </c>
      <c r="P65" s="46">
        <f>CAR_15!H23</f>
        <v>0</v>
      </c>
      <c r="Q65" s="43">
        <f t="shared" si="11"/>
        <v>5000</v>
      </c>
      <c r="R65" s="35">
        <f>CAR_15!U24</f>
        <v>0</v>
      </c>
      <c r="S65" s="35">
        <f>CAR_15!AE24</f>
        <v>0</v>
      </c>
      <c r="T65" s="36">
        <f>CAR_15!AN24</f>
        <v>0</v>
      </c>
      <c r="V65" s="38" t="s">
        <v>35</v>
      </c>
      <c r="W65" s="46">
        <f>CAR_16!H23</f>
        <v>0</v>
      </c>
      <c r="X65" s="43">
        <f t="shared" si="12"/>
        <v>5000</v>
      </c>
      <c r="Y65" s="35">
        <f>CAR_16!U24</f>
        <v>0</v>
      </c>
      <c r="Z65" s="35">
        <f>CAR_16!AE24</f>
        <v>0</v>
      </c>
      <c r="AA65" s="36">
        <f>CAR_16!AN24</f>
        <v>0</v>
      </c>
    </row>
    <row r="66" spans="1:27" x14ac:dyDescent="0.25">
      <c r="A66" s="38" t="s">
        <v>36</v>
      </c>
      <c r="B66" s="46">
        <f>'Jonatas-Desmob'!H27</f>
        <v>0</v>
      </c>
      <c r="C66" s="43">
        <f t="shared" si="9"/>
        <v>5000</v>
      </c>
      <c r="D66" s="35">
        <f>'Jonatas-Desmob'!U28</f>
        <v>0</v>
      </c>
      <c r="E66" s="35">
        <f>'Jonatas-Desmob'!AE28</f>
        <v>0</v>
      </c>
      <c r="F66" s="36">
        <f>'Jonatas-Desmob'!AN28</f>
        <v>0</v>
      </c>
      <c r="H66" s="38" t="s">
        <v>36</v>
      </c>
      <c r="I66" s="46">
        <f>Eliomar!H27</f>
        <v>0</v>
      </c>
      <c r="J66" s="43">
        <f t="shared" si="10"/>
        <v>5000</v>
      </c>
      <c r="K66" s="35">
        <f>Eliomar!U28</f>
        <v>0</v>
      </c>
      <c r="L66" s="35">
        <f>Eliomar!AE28</f>
        <v>0</v>
      </c>
      <c r="M66" s="36">
        <f>Eliomar!AN28</f>
        <v>0</v>
      </c>
      <c r="O66" s="38" t="s">
        <v>36</v>
      </c>
      <c r="P66" s="46">
        <f>CAR_15!H27</f>
        <v>0</v>
      </c>
      <c r="Q66" s="43">
        <f t="shared" si="11"/>
        <v>5000</v>
      </c>
      <c r="R66" s="35">
        <f>CAR_15!U28</f>
        <v>0</v>
      </c>
      <c r="S66" s="35">
        <f>CAR_15!AE28</f>
        <v>0</v>
      </c>
      <c r="T66" s="36">
        <f>CAR_15!AN28</f>
        <v>0</v>
      </c>
      <c r="V66" s="38" t="s">
        <v>36</v>
      </c>
      <c r="W66" s="46">
        <f>CAR_16!H27</f>
        <v>0</v>
      </c>
      <c r="X66" s="43">
        <f t="shared" si="12"/>
        <v>5000</v>
      </c>
      <c r="Y66" s="35">
        <f>CAR_16!U28</f>
        <v>0</v>
      </c>
      <c r="Z66" s="35">
        <f>CAR_16!AE28</f>
        <v>0</v>
      </c>
      <c r="AA66" s="36">
        <f>CAR_16!AN28</f>
        <v>0</v>
      </c>
    </row>
    <row r="67" spans="1:27" x14ac:dyDescent="0.25">
      <c r="A67" s="38" t="s">
        <v>37</v>
      </c>
      <c r="B67" s="46">
        <f>'Jonatas-Desmob'!H31</f>
        <v>0</v>
      </c>
      <c r="C67" s="43">
        <f t="shared" si="9"/>
        <v>5000</v>
      </c>
      <c r="D67" s="35">
        <f>'Jonatas-Desmob'!U32</f>
        <v>0</v>
      </c>
      <c r="E67" s="35">
        <f>'Jonatas-Desmob'!AE32</f>
        <v>0</v>
      </c>
      <c r="F67" s="36">
        <f>'Jonatas-Desmob'!AN32</f>
        <v>0</v>
      </c>
      <c r="H67" s="38" t="s">
        <v>37</v>
      </c>
      <c r="I67" s="46">
        <f>Eliomar!H31</f>
        <v>0</v>
      </c>
      <c r="J67" s="43">
        <f t="shared" si="10"/>
        <v>5000</v>
      </c>
      <c r="K67" s="35">
        <f>Eliomar!U32</f>
        <v>0</v>
      </c>
      <c r="L67" s="35">
        <f>Eliomar!AE32</f>
        <v>0</v>
      </c>
      <c r="M67" s="36">
        <f>Eliomar!AN32</f>
        <v>0</v>
      </c>
      <c r="O67" s="38" t="s">
        <v>37</v>
      </c>
      <c r="P67" s="46">
        <f>CAR_15!H31</f>
        <v>0</v>
      </c>
      <c r="Q67" s="43">
        <f t="shared" si="11"/>
        <v>5000</v>
      </c>
      <c r="R67" s="35">
        <f>CAR_15!U32</f>
        <v>0</v>
      </c>
      <c r="S67" s="35">
        <f>CAR_15!AE32</f>
        <v>0</v>
      </c>
      <c r="T67" s="36">
        <f>CAR_15!AN32</f>
        <v>0</v>
      </c>
      <c r="V67" s="38" t="s">
        <v>37</v>
      </c>
      <c r="W67" s="46">
        <f>CAR_16!H31</f>
        <v>0</v>
      </c>
      <c r="X67" s="43">
        <f t="shared" si="12"/>
        <v>5000</v>
      </c>
      <c r="Y67" s="35">
        <f>CAR_16!U32</f>
        <v>0</v>
      </c>
      <c r="Z67" s="35">
        <f>CAR_16!AE32</f>
        <v>0</v>
      </c>
      <c r="AA67" s="36">
        <f>CAR_16!AN32</f>
        <v>0</v>
      </c>
    </row>
    <row r="68" spans="1:27" x14ac:dyDescent="0.25">
      <c r="A68" s="38" t="s">
        <v>38</v>
      </c>
      <c r="B68" s="46">
        <f>'Jonatas-Desmob'!H35</f>
        <v>0</v>
      </c>
      <c r="C68" s="43">
        <f t="shared" si="9"/>
        <v>5000</v>
      </c>
      <c r="D68" s="35">
        <f>'Jonatas-Desmob'!U36</f>
        <v>0</v>
      </c>
      <c r="E68" s="35">
        <f>'Jonatas-Desmob'!AE36</f>
        <v>0</v>
      </c>
      <c r="F68" s="36">
        <f>'Jonatas-Desmob'!AN36</f>
        <v>0</v>
      </c>
      <c r="H68" s="38" t="s">
        <v>38</v>
      </c>
      <c r="I68" s="46">
        <f>Eliomar!H35</f>
        <v>0</v>
      </c>
      <c r="J68" s="43">
        <f t="shared" si="10"/>
        <v>5000</v>
      </c>
      <c r="K68" s="35">
        <f>Eliomar!U36</f>
        <v>0</v>
      </c>
      <c r="L68" s="35">
        <f>Eliomar!AE36</f>
        <v>0</v>
      </c>
      <c r="M68" s="36">
        <f>Eliomar!AN36</f>
        <v>0</v>
      </c>
      <c r="O68" s="38" t="s">
        <v>38</v>
      </c>
      <c r="P68" s="46">
        <f>CAR_15!H35</f>
        <v>0</v>
      </c>
      <c r="Q68" s="43">
        <f t="shared" si="11"/>
        <v>5000</v>
      </c>
      <c r="R68" s="35">
        <f>CAR_15!U36</f>
        <v>0</v>
      </c>
      <c r="S68" s="35">
        <f>CAR_15!AE36</f>
        <v>0</v>
      </c>
      <c r="T68" s="36">
        <f>CAR_15!AN36</f>
        <v>0</v>
      </c>
      <c r="V68" s="38" t="s">
        <v>38</v>
      </c>
      <c r="W68" s="46">
        <f>CAR_16!H35</f>
        <v>0</v>
      </c>
      <c r="X68" s="43">
        <f t="shared" si="12"/>
        <v>5000</v>
      </c>
      <c r="Y68" s="35">
        <f>CAR_16!U36</f>
        <v>0</v>
      </c>
      <c r="Z68" s="35">
        <f>CAR_16!AE36</f>
        <v>0</v>
      </c>
      <c r="AA68" s="36">
        <f>CAR_16!AN36</f>
        <v>0</v>
      </c>
    </row>
    <row r="69" spans="1:27" x14ac:dyDescent="0.25">
      <c r="A69" s="38" t="s">
        <v>39</v>
      </c>
      <c r="B69" s="46">
        <f>'Jonatas-Desmob'!H39</f>
        <v>0</v>
      </c>
      <c r="C69" s="43">
        <f t="shared" si="9"/>
        <v>5000</v>
      </c>
      <c r="D69" s="35">
        <f>'Jonatas-Desmob'!U40</f>
        <v>0</v>
      </c>
      <c r="E69" s="35">
        <f>'Jonatas-Desmob'!AE40</f>
        <v>0</v>
      </c>
      <c r="F69" s="36">
        <f>'Jonatas-Desmob'!AN400</f>
        <v>0</v>
      </c>
      <c r="H69" s="38" t="s">
        <v>39</v>
      </c>
      <c r="I69" s="46">
        <f>Eliomar!H39</f>
        <v>0</v>
      </c>
      <c r="J69" s="43">
        <f t="shared" si="10"/>
        <v>5000</v>
      </c>
      <c r="K69" s="35">
        <f>Eliomar!U40</f>
        <v>0</v>
      </c>
      <c r="L69" s="35">
        <f>Eliomar!AE40</f>
        <v>0</v>
      </c>
      <c r="M69" s="36">
        <f>Eliomar!AN40</f>
        <v>0</v>
      </c>
      <c r="O69" s="38" t="s">
        <v>39</v>
      </c>
      <c r="P69" s="46">
        <f>CAR_15!H39</f>
        <v>0</v>
      </c>
      <c r="Q69" s="43">
        <f t="shared" si="11"/>
        <v>5000</v>
      </c>
      <c r="R69" s="35">
        <f>CAR_15!U40</f>
        <v>0</v>
      </c>
      <c r="S69" s="35">
        <f>CAR_15!AE40</f>
        <v>0</v>
      </c>
      <c r="T69" s="36">
        <f>CAR_15!AN40</f>
        <v>0</v>
      </c>
      <c r="V69" s="38" t="s">
        <v>39</v>
      </c>
      <c r="W69" s="46">
        <f>CAR_16!H39</f>
        <v>0</v>
      </c>
      <c r="X69" s="43">
        <f t="shared" si="12"/>
        <v>5000</v>
      </c>
      <c r="Y69" s="35">
        <f>CAR_16!U40</f>
        <v>0</v>
      </c>
      <c r="Z69" s="35">
        <f>CAR_16!AE40</f>
        <v>0</v>
      </c>
      <c r="AA69" s="36">
        <f>CAR_16!AN40</f>
        <v>0</v>
      </c>
    </row>
    <row r="70" spans="1:27" x14ac:dyDescent="0.25">
      <c r="A70" s="38" t="s">
        <v>40</v>
      </c>
      <c r="B70" s="46">
        <f>'Jonatas-Desmob'!H43</f>
        <v>0</v>
      </c>
      <c r="C70" s="43">
        <f t="shared" si="9"/>
        <v>5000</v>
      </c>
      <c r="D70" s="35">
        <f>'Jonatas-Desmob'!U44</f>
        <v>0</v>
      </c>
      <c r="E70" s="35">
        <f>'Jonatas-Desmob'!AE44</f>
        <v>0</v>
      </c>
      <c r="F70" s="36">
        <f>'Jonatas-Desmob'!AN44</f>
        <v>0</v>
      </c>
      <c r="H70" s="38" t="s">
        <v>40</v>
      </c>
      <c r="I70" s="46">
        <f>Eliomar!H43</f>
        <v>0</v>
      </c>
      <c r="J70" s="43">
        <f t="shared" si="10"/>
        <v>5000</v>
      </c>
      <c r="K70" s="35">
        <f>Eliomar!U44</f>
        <v>0</v>
      </c>
      <c r="L70" s="35">
        <f>Eliomar!AE44</f>
        <v>0</v>
      </c>
      <c r="M70" s="36">
        <f>Eliomar!AN44</f>
        <v>0</v>
      </c>
      <c r="O70" s="38" t="s">
        <v>40</v>
      </c>
      <c r="P70" s="46">
        <f>CAR_15!H43</f>
        <v>0</v>
      </c>
      <c r="Q70" s="43">
        <f t="shared" si="11"/>
        <v>5000</v>
      </c>
      <c r="R70" s="35">
        <f>CAR_15!U44</f>
        <v>0</v>
      </c>
      <c r="S70" s="35">
        <f>CAR_15!AE44</f>
        <v>0</v>
      </c>
      <c r="T70" s="36">
        <f>CAR_15!AN44</f>
        <v>0</v>
      </c>
      <c r="V70" s="38" t="s">
        <v>40</v>
      </c>
      <c r="W70" s="46">
        <f>CAR_16!H43</f>
        <v>0</v>
      </c>
      <c r="X70" s="43">
        <f t="shared" si="12"/>
        <v>5000</v>
      </c>
      <c r="Y70" s="35">
        <f>CAR_16!U44</f>
        <v>0</v>
      </c>
      <c r="Z70" s="35">
        <f>CAR_16!AE44</f>
        <v>0</v>
      </c>
      <c r="AA70" s="36">
        <f>CAR_16!AN44</f>
        <v>0</v>
      </c>
    </row>
    <row r="71" spans="1:27" x14ac:dyDescent="0.25">
      <c r="A71" s="38" t="s">
        <v>41</v>
      </c>
      <c r="B71" s="46">
        <f>'Jonatas-Desmob'!H47</f>
        <v>0</v>
      </c>
      <c r="C71" s="43">
        <f t="shared" si="9"/>
        <v>5000</v>
      </c>
      <c r="D71" s="35">
        <f>'Jonatas-Desmob'!U48</f>
        <v>0</v>
      </c>
      <c r="E71" s="35">
        <f>'Jonatas-Desmob'!AE48</f>
        <v>0</v>
      </c>
      <c r="F71" s="36">
        <f>'Jonatas-Desmob'!AN48</f>
        <v>0</v>
      </c>
      <c r="H71" s="38" t="s">
        <v>41</v>
      </c>
      <c r="I71" s="46">
        <f>Eliomar!H47</f>
        <v>0</v>
      </c>
      <c r="J71" s="43">
        <f t="shared" si="10"/>
        <v>5000</v>
      </c>
      <c r="K71" s="35">
        <f>Eliomar!U48</f>
        <v>0</v>
      </c>
      <c r="L71" s="35">
        <f>Eliomar!AE48</f>
        <v>0</v>
      </c>
      <c r="M71" s="36">
        <f>Eliomar!AN48</f>
        <v>0</v>
      </c>
      <c r="O71" s="38" t="s">
        <v>41</v>
      </c>
      <c r="P71" s="46">
        <f>CAR_15!H47</f>
        <v>0</v>
      </c>
      <c r="Q71" s="43">
        <f t="shared" si="11"/>
        <v>5000</v>
      </c>
      <c r="R71" s="35">
        <f>CAR_15!U48</f>
        <v>0</v>
      </c>
      <c r="S71" s="35">
        <f>CAR_15!AE48</f>
        <v>0</v>
      </c>
      <c r="T71" s="36">
        <f>CAR_15!AN48</f>
        <v>0</v>
      </c>
      <c r="V71" s="38" t="s">
        <v>41</v>
      </c>
      <c r="W71" s="46">
        <f>CAR_16!H47</f>
        <v>0</v>
      </c>
      <c r="X71" s="43">
        <f t="shared" si="12"/>
        <v>5000</v>
      </c>
      <c r="Y71" s="35">
        <f>CAR_16!U48</f>
        <v>0</v>
      </c>
      <c r="Z71" s="35">
        <f>CAR_16!AE48</f>
        <v>0</v>
      </c>
      <c r="AA71" s="36">
        <f>CAR_16!AN48</f>
        <v>0</v>
      </c>
    </row>
    <row r="72" spans="1:27" ht="15.75" thickBot="1" x14ac:dyDescent="0.3">
      <c r="A72" s="39" t="s">
        <v>42</v>
      </c>
      <c r="B72" s="47">
        <f>'Jonatas-Desmob'!H51</f>
        <v>1448</v>
      </c>
      <c r="C72" s="44">
        <f t="shared" si="9"/>
        <v>3552</v>
      </c>
      <c r="D72" s="11">
        <f>'Jonatas-Desmob'!U52</f>
        <v>0</v>
      </c>
      <c r="E72" s="11">
        <f>'Jonatas-Desmob'!AE52</f>
        <v>0</v>
      </c>
      <c r="F72" s="12">
        <f>'Jonatas-Desmob'!AN52</f>
        <v>0</v>
      </c>
      <c r="H72" s="39" t="s">
        <v>42</v>
      </c>
      <c r="I72" s="47">
        <f>Eliomar!H51</f>
        <v>0</v>
      </c>
      <c r="J72" s="44">
        <f t="shared" si="10"/>
        <v>5000</v>
      </c>
      <c r="K72" s="11">
        <f>Eliomar!U52</f>
        <v>0</v>
      </c>
      <c r="L72" s="11">
        <f>Eliomar!AE52</f>
        <v>0</v>
      </c>
      <c r="M72" s="12">
        <f>Eliomar!AN52</f>
        <v>0</v>
      </c>
      <c r="O72" s="39" t="s">
        <v>42</v>
      </c>
      <c r="P72" s="47">
        <f>CAR_15!H51</f>
        <v>0</v>
      </c>
      <c r="Q72" s="44">
        <f t="shared" si="11"/>
        <v>5000</v>
      </c>
      <c r="R72" s="11">
        <f>CAR_15!U52</f>
        <v>0</v>
      </c>
      <c r="S72" s="11">
        <f>CAR_15!AE52</f>
        <v>0</v>
      </c>
      <c r="T72" s="12">
        <f>CAR_15!AN52</f>
        <v>0</v>
      </c>
      <c r="V72" s="39" t="s">
        <v>42</v>
      </c>
      <c r="W72" s="47">
        <f>CAR_16!H51</f>
        <v>0</v>
      </c>
      <c r="X72" s="44">
        <f t="shared" si="12"/>
        <v>5000</v>
      </c>
      <c r="Y72" s="11">
        <f>CAR_16!U52</f>
        <v>0</v>
      </c>
      <c r="Z72" s="11">
        <f>CAR_16!AE52</f>
        <v>0</v>
      </c>
      <c r="AA72" s="12">
        <f>CAR_16!AN52</f>
        <v>0</v>
      </c>
    </row>
    <row r="73" spans="1:27" ht="15.75" thickBot="1" x14ac:dyDescent="0.3"/>
    <row r="74" spans="1:27" ht="15.75" thickBot="1" x14ac:dyDescent="0.3">
      <c r="A74" s="3" t="s">
        <v>23</v>
      </c>
      <c r="B74" s="52">
        <f>SUM(B61:B72)</f>
        <v>1448</v>
      </c>
      <c r="C74" s="51"/>
      <c r="D74" s="50">
        <f>SUM(D61:D72)</f>
        <v>0</v>
      </c>
      <c r="E74" s="49">
        <f>SUM(E61:E72)</f>
        <v>0</v>
      </c>
      <c r="F74" s="48">
        <f>SUM(F61:F72)</f>
        <v>0</v>
      </c>
      <c r="H74" s="3" t="s">
        <v>23</v>
      </c>
      <c r="I74" s="52">
        <f>SUM(I61:I72)</f>
        <v>4753</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58552</v>
      </c>
      <c r="H75" s="3" t="s">
        <v>44</v>
      </c>
      <c r="I75" s="23">
        <f>SUM(60000-I74)</f>
        <v>55247</v>
      </c>
      <c r="O75" s="3" t="s">
        <v>44</v>
      </c>
      <c r="P75" s="23">
        <f>SUM(60000-P74)</f>
        <v>60000</v>
      </c>
      <c r="V75" s="3" t="s">
        <v>44</v>
      </c>
      <c r="W75" s="23">
        <f>SUM(60000-W74)</f>
        <v>60000</v>
      </c>
    </row>
    <row r="78" spans="1:27" ht="15.75" thickBot="1" x14ac:dyDescent="0.3">
      <c r="B78" s="105" t="s">
        <v>56</v>
      </c>
      <c r="C78" s="105"/>
      <c r="D78" s="105"/>
      <c r="E78" s="105"/>
      <c r="F78" s="105"/>
      <c r="I78" s="105" t="s">
        <v>57</v>
      </c>
      <c r="J78" s="105"/>
      <c r="K78" s="105"/>
      <c r="L78" s="105"/>
      <c r="M78" s="105"/>
      <c r="P78" s="105" t="s">
        <v>58</v>
      </c>
      <c r="Q78" s="105"/>
      <c r="R78" s="105"/>
      <c r="S78" s="105"/>
      <c r="T78" s="105"/>
      <c r="W78" s="105" t="s">
        <v>59</v>
      </c>
      <c r="X78" s="105"/>
      <c r="Y78" s="105"/>
      <c r="Z78" s="105"/>
      <c r="AA78" s="105"/>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3">SUM(5000-B82)</f>
        <v>5000</v>
      </c>
      <c r="D82" s="35">
        <f>CAR_17!U16</f>
        <v>0</v>
      </c>
      <c r="E82" s="35">
        <f>CAR_17!AE16</f>
        <v>0</v>
      </c>
      <c r="F82" s="36">
        <f>CAR_17!AN16</f>
        <v>0</v>
      </c>
      <c r="H82" s="38" t="s">
        <v>33</v>
      </c>
      <c r="I82" s="46">
        <f>CAR_18!H15</f>
        <v>0</v>
      </c>
      <c r="J82" s="43">
        <f t="shared" ref="J82:J91" si="14">SUM(5000-I82)</f>
        <v>5000</v>
      </c>
      <c r="K82" s="35">
        <f>CAR_18!U16</f>
        <v>0</v>
      </c>
      <c r="L82" s="35">
        <f>CAR_18!AE16</f>
        <v>0</v>
      </c>
      <c r="M82" s="36">
        <f>CAR_18!AE16</f>
        <v>0</v>
      </c>
      <c r="O82" s="38" t="s">
        <v>33</v>
      </c>
      <c r="P82" s="46">
        <f>CAR_19!H15</f>
        <v>0</v>
      </c>
      <c r="Q82" s="43">
        <f t="shared" ref="Q82:Q91" si="15">SUM(5000-P82)</f>
        <v>5000</v>
      </c>
      <c r="R82" s="35">
        <f>CAR_19!U16</f>
        <v>0</v>
      </c>
      <c r="S82" s="35">
        <f>CAR_19!AE16</f>
        <v>0</v>
      </c>
      <c r="T82" s="36">
        <f>CAR_19!AE16</f>
        <v>0</v>
      </c>
      <c r="V82" s="38" t="s">
        <v>33</v>
      </c>
      <c r="W82" s="46">
        <f>CAR_20!H15</f>
        <v>0</v>
      </c>
      <c r="X82" s="43">
        <f t="shared" ref="X82:X91" si="16">SUM(5000-W82)</f>
        <v>5000</v>
      </c>
      <c r="Y82" s="35">
        <f>CAR_20!U16</f>
        <v>0</v>
      </c>
      <c r="Z82" s="35">
        <f>CAR_20!AE16</f>
        <v>0</v>
      </c>
      <c r="AA82" s="36">
        <f>CAR_20!AE16</f>
        <v>0</v>
      </c>
    </row>
    <row r="83" spans="1:27" x14ac:dyDescent="0.25">
      <c r="A83" s="38" t="s">
        <v>34</v>
      </c>
      <c r="B83" s="46">
        <f>CAR_17!H19</f>
        <v>0</v>
      </c>
      <c r="C83" s="43">
        <f t="shared" si="13"/>
        <v>5000</v>
      </c>
      <c r="D83" s="35">
        <f>CAR_17!U20</f>
        <v>0</v>
      </c>
      <c r="E83" s="35">
        <f>CAR_17!AE20</f>
        <v>0</v>
      </c>
      <c r="F83" s="36">
        <f>CAR_17!AN20</f>
        <v>0</v>
      </c>
      <c r="H83" s="38" t="s">
        <v>34</v>
      </c>
      <c r="I83" s="46">
        <f>CAR_18!H19</f>
        <v>0</v>
      </c>
      <c r="J83" s="43">
        <f t="shared" si="14"/>
        <v>5000</v>
      </c>
      <c r="K83" s="35">
        <f>CAR_18!U20</f>
        <v>0</v>
      </c>
      <c r="L83" s="35">
        <f>CAR_18!AE120</f>
        <v>0</v>
      </c>
      <c r="M83" s="36">
        <f>CAR_18!AE20</f>
        <v>0</v>
      </c>
      <c r="O83" s="38" t="s">
        <v>34</v>
      </c>
      <c r="P83" s="46">
        <f>CAR_19!H19</f>
        <v>0</v>
      </c>
      <c r="Q83" s="43">
        <f t="shared" si="15"/>
        <v>5000</v>
      </c>
      <c r="R83" s="35">
        <f>CAR_19!U20</f>
        <v>0</v>
      </c>
      <c r="S83" s="35">
        <f>CAR_19!AE20</f>
        <v>0</v>
      </c>
      <c r="T83" s="36">
        <f>CAR_19!AE20</f>
        <v>0</v>
      </c>
      <c r="V83" s="38" t="s">
        <v>34</v>
      </c>
      <c r="W83" s="46">
        <f>CAR_20!H19</f>
        <v>0</v>
      </c>
      <c r="X83" s="43">
        <f t="shared" si="16"/>
        <v>5000</v>
      </c>
      <c r="Y83" s="35">
        <f>CAR_20!U20</f>
        <v>0</v>
      </c>
      <c r="Z83" s="35">
        <f>CAR_20!AE20</f>
        <v>0</v>
      </c>
      <c r="AA83" s="36">
        <f>CAR_20!AE20</f>
        <v>0</v>
      </c>
    </row>
    <row r="84" spans="1:27" x14ac:dyDescent="0.25">
      <c r="A84" s="38" t="s">
        <v>35</v>
      </c>
      <c r="B84" s="46">
        <f>CAR_17!H23</f>
        <v>0</v>
      </c>
      <c r="C84" s="43">
        <f t="shared" si="13"/>
        <v>5000</v>
      </c>
      <c r="D84" s="35">
        <f>CAR_17!U24</f>
        <v>0</v>
      </c>
      <c r="E84" s="35">
        <f>CAR_17!AE24</f>
        <v>0</v>
      </c>
      <c r="F84" s="36">
        <f>CAR_17!AN24</f>
        <v>0</v>
      </c>
      <c r="H84" s="38" t="s">
        <v>35</v>
      </c>
      <c r="I84" s="46">
        <f>CAR_18!H23</f>
        <v>0</v>
      </c>
      <c r="J84" s="43">
        <f t="shared" si="14"/>
        <v>5000</v>
      </c>
      <c r="K84" s="35">
        <f>CAR_18!U24</f>
        <v>0</v>
      </c>
      <c r="L84" s="35">
        <f>CAR_18!AE24</f>
        <v>0</v>
      </c>
      <c r="M84" s="36">
        <f>CAR_18!AE24</f>
        <v>0</v>
      </c>
      <c r="O84" s="38" t="s">
        <v>35</v>
      </c>
      <c r="P84" s="46">
        <f>CAR_19!H23</f>
        <v>0</v>
      </c>
      <c r="Q84" s="43">
        <f t="shared" si="15"/>
        <v>5000</v>
      </c>
      <c r="R84" s="35">
        <f>CAR_19!U24</f>
        <v>0</v>
      </c>
      <c r="S84" s="35">
        <f>CAR_19!AE24</f>
        <v>0</v>
      </c>
      <c r="T84" s="36">
        <f>CAR_19!AE24</f>
        <v>0</v>
      </c>
      <c r="V84" s="38" t="s">
        <v>35</v>
      </c>
      <c r="W84" s="46">
        <f>CAR_20!H23</f>
        <v>0</v>
      </c>
      <c r="X84" s="43">
        <f t="shared" si="16"/>
        <v>5000</v>
      </c>
      <c r="Y84" s="35">
        <f>CAR_20!U24</f>
        <v>0</v>
      </c>
      <c r="Z84" s="35">
        <f>CAR_20!AE24</f>
        <v>0</v>
      </c>
      <c r="AA84" s="36">
        <f>CAR_20!AE24</f>
        <v>0</v>
      </c>
    </row>
    <row r="85" spans="1:27" x14ac:dyDescent="0.25">
      <c r="A85" s="38" t="s">
        <v>36</v>
      </c>
      <c r="B85" s="46">
        <f>CAR_17!H27</f>
        <v>0</v>
      </c>
      <c r="C85" s="43">
        <f t="shared" si="13"/>
        <v>5000</v>
      </c>
      <c r="D85" s="35">
        <f>CAR_17!U28</f>
        <v>0</v>
      </c>
      <c r="E85" s="35">
        <f>CAR_17!AE28</f>
        <v>0</v>
      </c>
      <c r="F85" s="36">
        <f>CAR_17!AN28</f>
        <v>0</v>
      </c>
      <c r="H85" s="38" t="s">
        <v>36</v>
      </c>
      <c r="I85" s="46">
        <f>CAR_18!H27</f>
        <v>0</v>
      </c>
      <c r="J85" s="43">
        <f t="shared" si="14"/>
        <v>5000</v>
      </c>
      <c r="K85" s="35">
        <f>CAR_18!U28</f>
        <v>0</v>
      </c>
      <c r="L85" s="35">
        <f>CAR_18!AE28</f>
        <v>0</v>
      </c>
      <c r="M85" s="36">
        <f>CAR_18!AE28</f>
        <v>0</v>
      </c>
      <c r="O85" s="38" t="s">
        <v>36</v>
      </c>
      <c r="P85" s="46">
        <f>CAR_19!H27</f>
        <v>0</v>
      </c>
      <c r="Q85" s="43">
        <f t="shared" si="15"/>
        <v>5000</v>
      </c>
      <c r="R85" s="35">
        <f>CAR_19!U28</f>
        <v>0</v>
      </c>
      <c r="S85" s="35">
        <f>CAR_19!AE28</f>
        <v>0</v>
      </c>
      <c r="T85" s="36">
        <f>CAR_19!AE28</f>
        <v>0</v>
      </c>
      <c r="V85" s="38" t="s">
        <v>36</v>
      </c>
      <c r="W85" s="46">
        <f>CAR_20!H27</f>
        <v>0</v>
      </c>
      <c r="X85" s="43">
        <f t="shared" si="16"/>
        <v>5000</v>
      </c>
      <c r="Y85" s="35">
        <f>CAR_20!U28</f>
        <v>0</v>
      </c>
      <c r="Z85" s="35">
        <f>CAR_20!AE28</f>
        <v>0</v>
      </c>
      <c r="AA85" s="36">
        <f>CAR_20!AE28</f>
        <v>0</v>
      </c>
    </row>
    <row r="86" spans="1:27" x14ac:dyDescent="0.25">
      <c r="A86" s="38" t="s">
        <v>37</v>
      </c>
      <c r="B86" s="46">
        <f>CAR_17!H31</f>
        <v>0</v>
      </c>
      <c r="C86" s="43">
        <f t="shared" si="13"/>
        <v>5000</v>
      </c>
      <c r="D86" s="35">
        <f>CAR_17!U32</f>
        <v>0</v>
      </c>
      <c r="E86" s="35">
        <f>CAR_17!AE32</f>
        <v>0</v>
      </c>
      <c r="F86" s="36">
        <f>CAR_17!AN32</f>
        <v>0</v>
      </c>
      <c r="H86" s="38" t="s">
        <v>37</v>
      </c>
      <c r="I86" s="46">
        <f>CAR_18!H31</f>
        <v>0</v>
      </c>
      <c r="J86" s="43">
        <f t="shared" si="14"/>
        <v>5000</v>
      </c>
      <c r="K86" s="35">
        <f>CAR_18!U32</f>
        <v>0</v>
      </c>
      <c r="L86" s="35">
        <f>CAR_18!AE32</f>
        <v>0</v>
      </c>
      <c r="M86" s="36">
        <f>CAR_18!AE32</f>
        <v>0</v>
      </c>
      <c r="O86" s="38" t="s">
        <v>37</v>
      </c>
      <c r="P86" s="46">
        <f>CAR_19!H31</f>
        <v>0</v>
      </c>
      <c r="Q86" s="43">
        <f t="shared" si="15"/>
        <v>5000</v>
      </c>
      <c r="R86" s="35">
        <f>CAR_19!U32</f>
        <v>0</v>
      </c>
      <c r="S86" s="35">
        <f>CAR_19!AE32</f>
        <v>0</v>
      </c>
      <c r="T86" s="36">
        <f>CAR_19!AE32</f>
        <v>0</v>
      </c>
      <c r="V86" s="38" t="s">
        <v>37</v>
      </c>
      <c r="W86" s="46">
        <f>CAR_20!H31</f>
        <v>0</v>
      </c>
      <c r="X86" s="43">
        <f t="shared" si="16"/>
        <v>5000</v>
      </c>
      <c r="Y86" s="35">
        <f>CAR_20!U32</f>
        <v>0</v>
      </c>
      <c r="Z86" s="35">
        <f>CAR_20!AE32</f>
        <v>0</v>
      </c>
      <c r="AA86" s="36">
        <f>CAR_20!AE32</f>
        <v>0</v>
      </c>
    </row>
    <row r="87" spans="1:27" x14ac:dyDescent="0.25">
      <c r="A87" s="38" t="s">
        <v>38</v>
      </c>
      <c r="B87" s="46">
        <f>CAR_17!H35</f>
        <v>0</v>
      </c>
      <c r="C87" s="43">
        <f t="shared" si="13"/>
        <v>5000</v>
      </c>
      <c r="D87" s="35">
        <f>CAR_17!U36</f>
        <v>0</v>
      </c>
      <c r="E87" s="35">
        <f>CAR_17!AE36</f>
        <v>0</v>
      </c>
      <c r="F87" s="36">
        <f>CAR_17!AN36</f>
        <v>0</v>
      </c>
      <c r="H87" s="38" t="s">
        <v>38</v>
      </c>
      <c r="I87" s="46">
        <f>CAR_18!H35</f>
        <v>0</v>
      </c>
      <c r="J87" s="43">
        <f t="shared" si="14"/>
        <v>5000</v>
      </c>
      <c r="K87" s="35">
        <f>CAR_18!U36</f>
        <v>0</v>
      </c>
      <c r="L87" s="35">
        <f>CAR_18!AE36</f>
        <v>0</v>
      </c>
      <c r="M87" s="36">
        <f>CAR_18!AE36</f>
        <v>0</v>
      </c>
      <c r="O87" s="38" t="s">
        <v>38</v>
      </c>
      <c r="P87" s="46">
        <f>CAR_19!H35</f>
        <v>0</v>
      </c>
      <c r="Q87" s="43">
        <f t="shared" si="15"/>
        <v>5000</v>
      </c>
      <c r="R87" s="35">
        <f>CAR_19!U36</f>
        <v>0</v>
      </c>
      <c r="S87" s="35">
        <f>CAR_19!AE36</f>
        <v>0</v>
      </c>
      <c r="T87" s="36">
        <f>CAR_19!AE36</f>
        <v>0</v>
      </c>
      <c r="V87" s="38" t="s">
        <v>38</v>
      </c>
      <c r="W87" s="46">
        <f>CAR_20!H35</f>
        <v>0</v>
      </c>
      <c r="X87" s="43">
        <f t="shared" si="16"/>
        <v>5000</v>
      </c>
      <c r="Y87" s="35">
        <f>CAR_20!U36</f>
        <v>0</v>
      </c>
      <c r="Z87" s="35">
        <f>CAR_20!AE36</f>
        <v>0</v>
      </c>
      <c r="AA87" s="36">
        <f>CAR_20!AE36</f>
        <v>0</v>
      </c>
    </row>
    <row r="88" spans="1:27" x14ac:dyDescent="0.25">
      <c r="A88" s="38" t="s">
        <v>39</v>
      </c>
      <c r="B88" s="46">
        <f>CAR_17!H39</f>
        <v>0</v>
      </c>
      <c r="C88" s="43">
        <f t="shared" si="13"/>
        <v>5000</v>
      </c>
      <c r="D88" s="35">
        <f>CAR_17!U40</f>
        <v>0</v>
      </c>
      <c r="E88" s="35">
        <f>CAR_17!AE40</f>
        <v>0</v>
      </c>
      <c r="F88" s="36">
        <f>CAR_17!AN40</f>
        <v>0</v>
      </c>
      <c r="H88" s="38" t="s">
        <v>39</v>
      </c>
      <c r="I88" s="46">
        <f>CAR_18!H39</f>
        <v>0</v>
      </c>
      <c r="J88" s="43">
        <f t="shared" si="14"/>
        <v>5000</v>
      </c>
      <c r="K88" s="35">
        <f>CAR_18!U40</f>
        <v>0</v>
      </c>
      <c r="L88" s="35">
        <f>CAR_18!AE40</f>
        <v>0</v>
      </c>
      <c r="M88" s="36">
        <f>CAR_18!AE40</f>
        <v>0</v>
      </c>
      <c r="O88" s="38" t="s">
        <v>39</v>
      </c>
      <c r="P88" s="46">
        <f>CAR_19!H39</f>
        <v>0</v>
      </c>
      <c r="Q88" s="43">
        <f t="shared" si="15"/>
        <v>5000</v>
      </c>
      <c r="R88" s="35">
        <f>CAR_19!U40</f>
        <v>0</v>
      </c>
      <c r="S88" s="35">
        <f>CAR_19!AE40</f>
        <v>0</v>
      </c>
      <c r="T88" s="36">
        <f>CAR_19!AE40</f>
        <v>0</v>
      </c>
      <c r="V88" s="38" t="s">
        <v>39</v>
      </c>
      <c r="W88" s="46">
        <f>CAR_20!H39</f>
        <v>0</v>
      </c>
      <c r="X88" s="43">
        <f t="shared" si="16"/>
        <v>5000</v>
      </c>
      <c r="Y88" s="35">
        <f>CAR_20!U40</f>
        <v>0</v>
      </c>
      <c r="Z88" s="35">
        <f>CAR_20!AE40</f>
        <v>0</v>
      </c>
      <c r="AA88" s="36">
        <f>CAR_20!AE40</f>
        <v>0</v>
      </c>
    </row>
    <row r="89" spans="1:27" x14ac:dyDescent="0.25">
      <c r="A89" s="38" t="s">
        <v>40</v>
      </c>
      <c r="B89" s="46">
        <f>CAR_17!H43</f>
        <v>0</v>
      </c>
      <c r="C89" s="43">
        <f t="shared" si="13"/>
        <v>5000</v>
      </c>
      <c r="D89" s="35">
        <f>CAR_17!U44</f>
        <v>0</v>
      </c>
      <c r="E89" s="35">
        <f>CAR_17!AE44</f>
        <v>0</v>
      </c>
      <c r="F89" s="36">
        <f>CAR_17!AN44</f>
        <v>0</v>
      </c>
      <c r="H89" s="38" t="s">
        <v>40</v>
      </c>
      <c r="I89" s="46">
        <f>CAR_18!H43</f>
        <v>0</v>
      </c>
      <c r="J89" s="43">
        <f t="shared" si="14"/>
        <v>5000</v>
      </c>
      <c r="K89" s="35">
        <f>CAR_18!U44</f>
        <v>0</v>
      </c>
      <c r="L89" s="35">
        <f>CAR_18!AE44</f>
        <v>0</v>
      </c>
      <c r="M89" s="36">
        <f>CAR_18!AE44</f>
        <v>0</v>
      </c>
      <c r="O89" s="38" t="s">
        <v>40</v>
      </c>
      <c r="P89" s="46">
        <f>CAR_19!H43</f>
        <v>0</v>
      </c>
      <c r="Q89" s="43">
        <f t="shared" si="15"/>
        <v>5000</v>
      </c>
      <c r="R89" s="35">
        <f>CAR_19!U44</f>
        <v>0</v>
      </c>
      <c r="S89" s="35">
        <f>CAR_19!AE44</f>
        <v>0</v>
      </c>
      <c r="T89" s="36">
        <f>CAR_19!AE44</f>
        <v>0</v>
      </c>
      <c r="V89" s="38" t="s">
        <v>40</v>
      </c>
      <c r="W89" s="46">
        <f>CAR_20!H43</f>
        <v>0</v>
      </c>
      <c r="X89" s="43">
        <f t="shared" si="16"/>
        <v>5000</v>
      </c>
      <c r="Y89" s="35">
        <f>CAR_20!U44</f>
        <v>0</v>
      </c>
      <c r="Z89" s="35">
        <f>CAR_20!AE44</f>
        <v>0</v>
      </c>
      <c r="AA89" s="36">
        <f>CAR_20!AE44</f>
        <v>0</v>
      </c>
    </row>
    <row r="90" spans="1:27" x14ac:dyDescent="0.25">
      <c r="A90" s="38" t="s">
        <v>41</v>
      </c>
      <c r="B90" s="46">
        <f>CAR_17!H47</f>
        <v>0</v>
      </c>
      <c r="C90" s="43">
        <f t="shared" si="13"/>
        <v>5000</v>
      </c>
      <c r="D90" s="35">
        <f>CAR_17!U48</f>
        <v>0</v>
      </c>
      <c r="E90" s="35">
        <f>CAR_17!AE48</f>
        <v>0</v>
      </c>
      <c r="F90" s="36">
        <f>CAR_17!AN48</f>
        <v>0</v>
      </c>
      <c r="H90" s="38" t="s">
        <v>41</v>
      </c>
      <c r="I90" s="46">
        <f>CAR_18!H47</f>
        <v>0</v>
      </c>
      <c r="J90" s="43">
        <f t="shared" si="14"/>
        <v>5000</v>
      </c>
      <c r="K90" s="35">
        <f>CAR_18!U48</f>
        <v>0</v>
      </c>
      <c r="L90" s="35">
        <f>CAR_18!AE48</f>
        <v>0</v>
      </c>
      <c r="M90" s="36">
        <f>CAR_18!AE48</f>
        <v>0</v>
      </c>
      <c r="O90" s="38" t="s">
        <v>41</v>
      </c>
      <c r="P90" s="46">
        <f>CAR_19!H47</f>
        <v>0</v>
      </c>
      <c r="Q90" s="43">
        <f t="shared" si="15"/>
        <v>5000</v>
      </c>
      <c r="R90" s="35">
        <f>CAR_19!U48</f>
        <v>0</v>
      </c>
      <c r="S90" s="35">
        <f>CAR_19!AE48</f>
        <v>0</v>
      </c>
      <c r="T90" s="36">
        <f>CAR_19!AE48</f>
        <v>0</v>
      </c>
      <c r="V90" s="38" t="s">
        <v>41</v>
      </c>
      <c r="W90" s="46">
        <f>CAR_20!H47</f>
        <v>0</v>
      </c>
      <c r="X90" s="43">
        <f t="shared" si="16"/>
        <v>5000</v>
      </c>
      <c r="Y90" s="35">
        <f>CAR_20!U48</f>
        <v>0</v>
      </c>
      <c r="Z90" s="35">
        <f>CAR_20!AE48</f>
        <v>0</v>
      </c>
      <c r="AA90" s="36">
        <f>CAR_20!AE48</f>
        <v>0</v>
      </c>
    </row>
    <row r="91" spans="1:27" ht="15.75" thickBot="1" x14ac:dyDescent="0.3">
      <c r="A91" s="39" t="s">
        <v>42</v>
      </c>
      <c r="B91" s="47">
        <f>CAR_17!H51</f>
        <v>0</v>
      </c>
      <c r="C91" s="44">
        <f t="shared" si="13"/>
        <v>5000</v>
      </c>
      <c r="D91" s="11">
        <f>CAR_17!U52</f>
        <v>0</v>
      </c>
      <c r="E91" s="11">
        <f>CAR_17!AE52</f>
        <v>0</v>
      </c>
      <c r="F91" s="12">
        <f>CAR_17!AN52</f>
        <v>0</v>
      </c>
      <c r="H91" s="39" t="s">
        <v>42</v>
      </c>
      <c r="I91" s="47">
        <f>CAR_18!H51</f>
        <v>0</v>
      </c>
      <c r="J91" s="44">
        <f t="shared" si="14"/>
        <v>5000</v>
      </c>
      <c r="K91" s="11">
        <f>CAR_18!U52</f>
        <v>0</v>
      </c>
      <c r="L91" s="11">
        <f>CAR_18!AE52</f>
        <v>0</v>
      </c>
      <c r="M91" s="12">
        <f>CAR_18!AE52</f>
        <v>0</v>
      </c>
      <c r="O91" s="39" t="s">
        <v>42</v>
      </c>
      <c r="P91" s="47">
        <f>CAR_19!H51</f>
        <v>0</v>
      </c>
      <c r="Q91" s="44">
        <f t="shared" si="15"/>
        <v>5000</v>
      </c>
      <c r="R91" s="11">
        <f>CAR_19!U52</f>
        <v>0</v>
      </c>
      <c r="S91" s="11">
        <f>CAR_19!AE52</f>
        <v>0</v>
      </c>
      <c r="T91" s="12">
        <f>CAR_19!AE52</f>
        <v>0</v>
      </c>
      <c r="V91" s="39" t="s">
        <v>42</v>
      </c>
      <c r="W91" s="47">
        <f>CAR_20!H51</f>
        <v>0</v>
      </c>
      <c r="X91" s="44">
        <f t="shared" si="16"/>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105" t="s">
        <v>60</v>
      </c>
      <c r="C96" s="105"/>
      <c r="D96" s="105"/>
      <c r="E96" s="105"/>
      <c r="F96" s="105"/>
      <c r="I96" s="105" t="s">
        <v>61</v>
      </c>
      <c r="J96" s="105"/>
      <c r="K96" s="105"/>
      <c r="L96" s="105"/>
      <c r="M96" s="105"/>
      <c r="P96" s="105" t="s">
        <v>62</v>
      </c>
      <c r="Q96" s="105"/>
      <c r="R96" s="105"/>
      <c r="S96" s="105"/>
      <c r="T96" s="105"/>
      <c r="W96" s="105" t="s">
        <v>63</v>
      </c>
      <c r="X96" s="105"/>
      <c r="Y96" s="105"/>
      <c r="Z96" s="105"/>
      <c r="AA96" s="105"/>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17">SUM(5000-B100)</f>
        <v>5000</v>
      </c>
      <c r="D100" s="35">
        <f>CAR_21!U16</f>
        <v>0</v>
      </c>
      <c r="E100" s="35">
        <f>CAR_21!AE16</f>
        <v>0</v>
      </c>
      <c r="F100" s="36">
        <f>CAR_21!AN16</f>
        <v>0</v>
      </c>
      <c r="H100" s="38" t="s">
        <v>33</v>
      </c>
      <c r="I100" s="46">
        <f>CAR_22!H15</f>
        <v>0</v>
      </c>
      <c r="J100" s="43">
        <f t="shared" ref="J100:J109" si="18">SUM(5000-I100)</f>
        <v>5000</v>
      </c>
      <c r="K100" s="35">
        <f>CAR_22!U16</f>
        <v>0</v>
      </c>
      <c r="L100" s="35">
        <f>CAR_22!AE16</f>
        <v>0</v>
      </c>
      <c r="M100" s="36">
        <f>CAR_22!AN16</f>
        <v>0</v>
      </c>
      <c r="O100" s="38" t="s">
        <v>33</v>
      </c>
      <c r="P100" s="46">
        <f>CAR_23!H19</f>
        <v>0</v>
      </c>
      <c r="Q100" s="43">
        <f t="shared" ref="Q100:Q109" si="19">SUM(5000-P100)</f>
        <v>5000</v>
      </c>
      <c r="R100" s="35">
        <f>CAR_23!U16</f>
        <v>0</v>
      </c>
      <c r="S100" s="35">
        <f>CAR_23!AE16</f>
        <v>0</v>
      </c>
      <c r="T100" s="36">
        <f>CAR_23!AN16</f>
        <v>0</v>
      </c>
      <c r="V100" s="38" t="s">
        <v>33</v>
      </c>
      <c r="W100" s="46">
        <f>CAR_24!H15</f>
        <v>0</v>
      </c>
      <c r="X100" s="43">
        <f t="shared" ref="X100:X109" si="20">SUM(5000-W100)</f>
        <v>5000</v>
      </c>
      <c r="Y100" s="35">
        <f>CAR_24!U16</f>
        <v>0</v>
      </c>
      <c r="Z100" s="35">
        <f>CAR_24!AE16</f>
        <v>0</v>
      </c>
      <c r="AA100" s="36">
        <f>CAR_24!AN16</f>
        <v>0</v>
      </c>
    </row>
    <row r="101" spans="1:27" x14ac:dyDescent="0.25">
      <c r="A101" s="38" t="s">
        <v>34</v>
      </c>
      <c r="B101" s="46">
        <f>CAR_21!H19</f>
        <v>0</v>
      </c>
      <c r="C101" s="43">
        <f t="shared" si="17"/>
        <v>5000</v>
      </c>
      <c r="D101" s="35">
        <f>CAR_21!U20</f>
        <v>0</v>
      </c>
      <c r="E101" s="35">
        <f>CAR_21!AE20</f>
        <v>0</v>
      </c>
      <c r="F101" s="36">
        <f>CAR_21!AN220</f>
        <v>0</v>
      </c>
      <c r="H101" s="38" t="s">
        <v>34</v>
      </c>
      <c r="I101" s="46">
        <f>CAR_22!H19</f>
        <v>0</v>
      </c>
      <c r="J101" s="43">
        <f t="shared" si="18"/>
        <v>5000</v>
      </c>
      <c r="K101" s="35">
        <f>CAR_22!U20</f>
        <v>0</v>
      </c>
      <c r="L101" s="35">
        <f>CAR_22!AE20</f>
        <v>0</v>
      </c>
      <c r="M101" s="36">
        <f>CAR_22!AN20</f>
        <v>0</v>
      </c>
      <c r="O101" s="38" t="s">
        <v>34</v>
      </c>
      <c r="P101" s="46">
        <f>CAR_23!H19</f>
        <v>0</v>
      </c>
      <c r="Q101" s="43">
        <f t="shared" si="19"/>
        <v>5000</v>
      </c>
      <c r="R101" s="35">
        <f>CAR_23!U20</f>
        <v>0</v>
      </c>
      <c r="S101" s="35">
        <f>CAR_23!AE20</f>
        <v>0</v>
      </c>
      <c r="T101" s="36">
        <f>CAR_23!AN20</f>
        <v>0</v>
      </c>
      <c r="V101" s="38" t="s">
        <v>34</v>
      </c>
      <c r="W101" s="46">
        <f>CAR_24!H19</f>
        <v>0</v>
      </c>
      <c r="X101" s="43">
        <f t="shared" si="20"/>
        <v>5000</v>
      </c>
      <c r="Y101" s="35">
        <f>CAR_24!U20</f>
        <v>0</v>
      </c>
      <c r="Z101" s="35">
        <f>CAR_24!AE20</f>
        <v>0</v>
      </c>
      <c r="AA101" s="36">
        <f>CAR_24!AN20</f>
        <v>0</v>
      </c>
    </row>
    <row r="102" spans="1:27" x14ac:dyDescent="0.25">
      <c r="A102" s="38" t="s">
        <v>35</v>
      </c>
      <c r="B102" s="46">
        <f>CAR_21!H23</f>
        <v>0</v>
      </c>
      <c r="C102" s="43">
        <f t="shared" si="17"/>
        <v>5000</v>
      </c>
      <c r="D102" s="35">
        <f>CAR_21!U24</f>
        <v>0</v>
      </c>
      <c r="E102" s="35">
        <f>CAR_21!AE24</f>
        <v>0</v>
      </c>
      <c r="F102" s="36">
        <f>CAR_21!AN24</f>
        <v>0</v>
      </c>
      <c r="H102" s="38" t="s">
        <v>35</v>
      </c>
      <c r="I102" s="46">
        <f>CAR_22!H23</f>
        <v>0</v>
      </c>
      <c r="J102" s="43">
        <f t="shared" si="18"/>
        <v>5000</v>
      </c>
      <c r="K102" s="35">
        <f>CAR_22!U24</f>
        <v>0</v>
      </c>
      <c r="L102" s="35">
        <f>CAR_22!AE24</f>
        <v>0</v>
      </c>
      <c r="M102" s="36">
        <f>CAR_22!AN24</f>
        <v>0</v>
      </c>
      <c r="O102" s="38" t="s">
        <v>35</v>
      </c>
      <c r="P102" s="46">
        <f>CAR_23!H23</f>
        <v>0</v>
      </c>
      <c r="Q102" s="43">
        <f t="shared" si="19"/>
        <v>5000</v>
      </c>
      <c r="R102" s="35">
        <f>CAR_23!U24</f>
        <v>0</v>
      </c>
      <c r="S102" s="35">
        <f>CAR_23!AE24</f>
        <v>0</v>
      </c>
      <c r="T102" s="36">
        <f>CAR_23!AN24</f>
        <v>0</v>
      </c>
      <c r="V102" s="38" t="s">
        <v>35</v>
      </c>
      <c r="W102" s="46">
        <f>CAR_24!H23</f>
        <v>0</v>
      </c>
      <c r="X102" s="43">
        <f t="shared" si="20"/>
        <v>5000</v>
      </c>
      <c r="Y102" s="35">
        <f>CAR_24!U24</f>
        <v>0</v>
      </c>
      <c r="Z102" s="35">
        <f>CAR_24!AE24</f>
        <v>0</v>
      </c>
      <c r="AA102" s="36">
        <f>CAR_24!AN24</f>
        <v>0</v>
      </c>
    </row>
    <row r="103" spans="1:27" x14ac:dyDescent="0.25">
      <c r="A103" s="38" t="s">
        <v>36</v>
      </c>
      <c r="B103" s="46">
        <f>CAR_21!H27</f>
        <v>0</v>
      </c>
      <c r="C103" s="43">
        <f t="shared" si="17"/>
        <v>5000</v>
      </c>
      <c r="D103" s="35">
        <f>CAR_21!U28</f>
        <v>0</v>
      </c>
      <c r="E103" s="35">
        <f>CAR_21!AE28</f>
        <v>0</v>
      </c>
      <c r="F103" s="36">
        <f>CAR_21!AN28</f>
        <v>0</v>
      </c>
      <c r="H103" s="38" t="s">
        <v>36</v>
      </c>
      <c r="I103" s="46">
        <f>CAR_22!H27</f>
        <v>0</v>
      </c>
      <c r="J103" s="43">
        <f t="shared" si="18"/>
        <v>5000</v>
      </c>
      <c r="K103" s="35">
        <f>CAR_22!U28</f>
        <v>0</v>
      </c>
      <c r="L103" s="35">
        <f>CAR_22!AE28</f>
        <v>0</v>
      </c>
      <c r="M103" s="36">
        <f>CAR_22!AN28</f>
        <v>0</v>
      </c>
      <c r="O103" s="38" t="s">
        <v>36</v>
      </c>
      <c r="P103" s="46">
        <f>CAR_23!H27</f>
        <v>0</v>
      </c>
      <c r="Q103" s="43">
        <f t="shared" si="19"/>
        <v>5000</v>
      </c>
      <c r="R103" s="35">
        <f>CAR_23!U28</f>
        <v>0</v>
      </c>
      <c r="S103" s="35">
        <f>CAR_23!AE28</f>
        <v>0</v>
      </c>
      <c r="T103" s="36">
        <f>CAR_23!AN28</f>
        <v>0</v>
      </c>
      <c r="V103" s="38" t="s">
        <v>36</v>
      </c>
      <c r="W103" s="46">
        <f>CAR_24!H27</f>
        <v>0</v>
      </c>
      <c r="X103" s="43">
        <f t="shared" si="20"/>
        <v>5000</v>
      </c>
      <c r="Y103" s="35">
        <f>CAR_24!U28</f>
        <v>0</v>
      </c>
      <c r="Z103" s="35">
        <f>CAR_24!AE28</f>
        <v>0</v>
      </c>
      <c r="AA103" s="36">
        <f>CAR_24!AN28</f>
        <v>0</v>
      </c>
    </row>
    <row r="104" spans="1:27" x14ac:dyDescent="0.25">
      <c r="A104" s="38" t="s">
        <v>37</v>
      </c>
      <c r="B104" s="46">
        <f>CAR_21!H31</f>
        <v>0</v>
      </c>
      <c r="C104" s="43">
        <f t="shared" si="17"/>
        <v>5000</v>
      </c>
      <c r="D104" s="35">
        <f>CAR_21!U32</f>
        <v>0</v>
      </c>
      <c r="E104" s="35">
        <f>CAR_21!AE32</f>
        <v>0</v>
      </c>
      <c r="F104" s="36">
        <f>CAR_21!AN32</f>
        <v>0</v>
      </c>
      <c r="H104" s="38" t="s">
        <v>37</v>
      </c>
      <c r="I104" s="46">
        <f>CAR_22!H31</f>
        <v>0</v>
      </c>
      <c r="J104" s="43">
        <f t="shared" si="18"/>
        <v>5000</v>
      </c>
      <c r="K104" s="35">
        <f>CAR_22!U32</f>
        <v>0</v>
      </c>
      <c r="L104" s="35">
        <f>CAR_22!AE32</f>
        <v>0</v>
      </c>
      <c r="M104" s="36">
        <f>CAR_22!AN32</f>
        <v>0</v>
      </c>
      <c r="O104" s="38" t="s">
        <v>37</v>
      </c>
      <c r="P104" s="46">
        <f>CAR_23!H27</f>
        <v>0</v>
      </c>
      <c r="Q104" s="43">
        <f t="shared" si="19"/>
        <v>5000</v>
      </c>
      <c r="R104" s="35">
        <f>CAR_23!U32</f>
        <v>0</v>
      </c>
      <c r="S104" s="35">
        <f>CAR_23!AE32</f>
        <v>0</v>
      </c>
      <c r="T104" s="36">
        <f>CAR_23!AN32</f>
        <v>0</v>
      </c>
      <c r="V104" s="38" t="s">
        <v>37</v>
      </c>
      <c r="W104" s="46">
        <f>CAR_24!H31</f>
        <v>0</v>
      </c>
      <c r="X104" s="43">
        <f t="shared" si="20"/>
        <v>5000</v>
      </c>
      <c r="Y104" s="35">
        <f>CAR_24!U32</f>
        <v>0</v>
      </c>
      <c r="Z104" s="35">
        <f>CAR_24!AE32</f>
        <v>0</v>
      </c>
      <c r="AA104" s="36">
        <f>CAR_24!AN32</f>
        <v>0</v>
      </c>
    </row>
    <row r="105" spans="1:27" x14ac:dyDescent="0.25">
      <c r="A105" s="38" t="s">
        <v>38</v>
      </c>
      <c r="B105" s="46">
        <f>CAR_21!H35</f>
        <v>0</v>
      </c>
      <c r="C105" s="43">
        <f t="shared" si="17"/>
        <v>5000</v>
      </c>
      <c r="D105" s="35">
        <f>CAR_21!U36</f>
        <v>0</v>
      </c>
      <c r="E105" s="35">
        <f>CAR_21!AE36</f>
        <v>0</v>
      </c>
      <c r="F105" s="36">
        <f>CAR_21!AN36</f>
        <v>0</v>
      </c>
      <c r="H105" s="38" t="s">
        <v>38</v>
      </c>
      <c r="I105" s="46">
        <f>CAR_22!H35</f>
        <v>0</v>
      </c>
      <c r="J105" s="43">
        <f t="shared" si="18"/>
        <v>5000</v>
      </c>
      <c r="K105" s="35">
        <f>CAR_22!U36</f>
        <v>0</v>
      </c>
      <c r="L105" s="35">
        <f>CAR_22!AE36</f>
        <v>0</v>
      </c>
      <c r="M105" s="36">
        <f>CAR_22!AN36</f>
        <v>0</v>
      </c>
      <c r="O105" s="38" t="s">
        <v>38</v>
      </c>
      <c r="P105" s="46">
        <f>CAR_23!H35</f>
        <v>0</v>
      </c>
      <c r="Q105" s="43">
        <f t="shared" si="19"/>
        <v>5000</v>
      </c>
      <c r="R105" s="35">
        <f>CAR_23!U36</f>
        <v>0</v>
      </c>
      <c r="S105" s="35">
        <f>CAR_23!AE36</f>
        <v>0</v>
      </c>
      <c r="T105" s="36">
        <f>CAR_23!AN36</f>
        <v>0</v>
      </c>
      <c r="V105" s="38" t="s">
        <v>38</v>
      </c>
      <c r="W105" s="46">
        <f>CAR_24!H35</f>
        <v>0</v>
      </c>
      <c r="X105" s="43">
        <f t="shared" si="20"/>
        <v>5000</v>
      </c>
      <c r="Y105" s="35">
        <f>CAR_24!U36</f>
        <v>0</v>
      </c>
      <c r="Z105" s="35">
        <f>CAR_24!AE36</f>
        <v>0</v>
      </c>
      <c r="AA105" s="36">
        <f>CAR_24!AN36</f>
        <v>0</v>
      </c>
    </row>
    <row r="106" spans="1:27" x14ac:dyDescent="0.25">
      <c r="A106" s="38" t="s">
        <v>39</v>
      </c>
      <c r="B106" s="46">
        <f>CAR_21!H39</f>
        <v>0</v>
      </c>
      <c r="C106" s="43">
        <f t="shared" si="17"/>
        <v>5000</v>
      </c>
      <c r="D106" s="35">
        <f>CAR_21!U40</f>
        <v>0</v>
      </c>
      <c r="E106" s="35">
        <f>CAR_21!AE40</f>
        <v>0</v>
      </c>
      <c r="F106" s="36">
        <f>CAR_21!AN40</f>
        <v>0</v>
      </c>
      <c r="H106" s="38" t="s">
        <v>39</v>
      </c>
      <c r="I106" s="46">
        <f>CAR_22!H39</f>
        <v>0</v>
      </c>
      <c r="J106" s="43">
        <f t="shared" si="18"/>
        <v>5000</v>
      </c>
      <c r="K106" s="35">
        <f>CAR_22!U40</f>
        <v>0</v>
      </c>
      <c r="L106" s="35">
        <f>CAR_22!AE40</f>
        <v>0</v>
      </c>
      <c r="M106" s="36">
        <f>CAR_22!AN40</f>
        <v>0</v>
      </c>
      <c r="O106" s="38" t="s">
        <v>39</v>
      </c>
      <c r="P106" s="46">
        <f>CAR_23!H39</f>
        <v>0</v>
      </c>
      <c r="Q106" s="43">
        <f t="shared" si="19"/>
        <v>5000</v>
      </c>
      <c r="R106" s="35">
        <f>CAR_23!U40</f>
        <v>0</v>
      </c>
      <c r="S106" s="35">
        <f>CAR_23!AE40</f>
        <v>0</v>
      </c>
      <c r="T106" s="36">
        <f>CAR_23!AN40</f>
        <v>0</v>
      </c>
      <c r="V106" s="38" t="s">
        <v>39</v>
      </c>
      <c r="W106" s="46">
        <f>CAR_24!H39</f>
        <v>0</v>
      </c>
      <c r="X106" s="43">
        <f t="shared" si="20"/>
        <v>5000</v>
      </c>
      <c r="Y106" s="35">
        <f>CAR_24!U40</f>
        <v>0</v>
      </c>
      <c r="Z106" s="35">
        <f>CAR_24!AE40</f>
        <v>0</v>
      </c>
      <c r="AA106" s="36">
        <f>CAR_24!AN40</f>
        <v>0</v>
      </c>
    </row>
    <row r="107" spans="1:27" x14ac:dyDescent="0.25">
      <c r="A107" s="38" t="s">
        <v>40</v>
      </c>
      <c r="B107" s="46">
        <f>CAR_21!H43</f>
        <v>0</v>
      </c>
      <c r="C107" s="43">
        <f t="shared" si="17"/>
        <v>5000</v>
      </c>
      <c r="D107" s="35">
        <f>CAR_21!U44</f>
        <v>0</v>
      </c>
      <c r="E107" s="35">
        <f>CAR_21!AE44</f>
        <v>0</v>
      </c>
      <c r="F107" s="36">
        <f>CAR_21!AN44</f>
        <v>0</v>
      </c>
      <c r="H107" s="38" t="s">
        <v>40</v>
      </c>
      <c r="I107" s="46">
        <f>CAR_22!H43</f>
        <v>0</v>
      </c>
      <c r="J107" s="43">
        <f t="shared" si="18"/>
        <v>5000</v>
      </c>
      <c r="K107" s="35">
        <f>CAR_22!U44</f>
        <v>0</v>
      </c>
      <c r="L107" s="35">
        <f>CAR_22!AE44</f>
        <v>0</v>
      </c>
      <c r="M107" s="36">
        <f>CAR_22!AN44</f>
        <v>0</v>
      </c>
      <c r="O107" s="38" t="s">
        <v>40</v>
      </c>
      <c r="P107" s="46">
        <f>CAR_23!H43</f>
        <v>0</v>
      </c>
      <c r="Q107" s="43">
        <f t="shared" si="19"/>
        <v>5000</v>
      </c>
      <c r="R107" s="35">
        <f>CAR_23!U44</f>
        <v>0</v>
      </c>
      <c r="S107" s="35">
        <f>CAR_23!AE44</f>
        <v>0</v>
      </c>
      <c r="T107" s="36">
        <f>CAR_23!AN44</f>
        <v>0</v>
      </c>
      <c r="V107" s="38" t="s">
        <v>40</v>
      </c>
      <c r="W107" s="46">
        <f>CAR_24!H43</f>
        <v>0</v>
      </c>
      <c r="X107" s="43">
        <f t="shared" si="20"/>
        <v>5000</v>
      </c>
      <c r="Y107" s="35">
        <f>CAR_24!U44</f>
        <v>0</v>
      </c>
      <c r="Z107" s="35">
        <f>CAR_24!AE44</f>
        <v>0</v>
      </c>
      <c r="AA107" s="36">
        <f>CAR_24!AN44</f>
        <v>0</v>
      </c>
    </row>
    <row r="108" spans="1:27" x14ac:dyDescent="0.25">
      <c r="A108" s="38" t="s">
        <v>41</v>
      </c>
      <c r="B108" s="46">
        <f>CAR_21!H47</f>
        <v>0</v>
      </c>
      <c r="C108" s="43">
        <f t="shared" si="17"/>
        <v>5000</v>
      </c>
      <c r="D108" s="35">
        <f>CAR_21!U48</f>
        <v>0</v>
      </c>
      <c r="E108" s="35">
        <f>CAR_21!AE48</f>
        <v>0</v>
      </c>
      <c r="F108" s="36">
        <f>CAR_21!AN48</f>
        <v>0</v>
      </c>
      <c r="H108" s="38" t="s">
        <v>41</v>
      </c>
      <c r="I108" s="46">
        <f>CAR_22!H47</f>
        <v>0</v>
      </c>
      <c r="J108" s="43">
        <f t="shared" si="18"/>
        <v>5000</v>
      </c>
      <c r="K108" s="35">
        <f>CAR_22!U48</f>
        <v>0</v>
      </c>
      <c r="L108" s="35">
        <f>CAR_22!AE48</f>
        <v>0</v>
      </c>
      <c r="M108" s="36">
        <f>CAR_22!AN48</f>
        <v>0</v>
      </c>
      <c r="O108" s="38" t="s">
        <v>41</v>
      </c>
      <c r="P108" s="46">
        <f>CAR_23!H47</f>
        <v>0</v>
      </c>
      <c r="Q108" s="43">
        <f t="shared" si="19"/>
        <v>5000</v>
      </c>
      <c r="R108" s="35">
        <f>CAR_23!U48</f>
        <v>0</v>
      </c>
      <c r="S108" s="35">
        <f>CAR_23!AE48</f>
        <v>0</v>
      </c>
      <c r="T108" s="36">
        <f>CAR_23!AN48</f>
        <v>0</v>
      </c>
      <c r="V108" s="38" t="s">
        <v>41</v>
      </c>
      <c r="W108" s="46">
        <f>CAR_24!H47</f>
        <v>0</v>
      </c>
      <c r="X108" s="43">
        <f t="shared" si="20"/>
        <v>5000</v>
      </c>
      <c r="Y108" s="35">
        <f>CAR_24!U48</f>
        <v>0</v>
      </c>
      <c r="Z108" s="35">
        <f>CAR_24!AE48</f>
        <v>0</v>
      </c>
      <c r="AA108" s="36">
        <f>CAR_24!AN48</f>
        <v>0</v>
      </c>
    </row>
    <row r="109" spans="1:27" ht="15.75" thickBot="1" x14ac:dyDescent="0.3">
      <c r="A109" s="39" t="s">
        <v>42</v>
      </c>
      <c r="B109" s="47">
        <f>CAR_21!H51</f>
        <v>0</v>
      </c>
      <c r="C109" s="44">
        <f t="shared" si="17"/>
        <v>5000</v>
      </c>
      <c r="D109" s="11">
        <f>CAR_21!U52</f>
        <v>0</v>
      </c>
      <c r="E109" s="11">
        <f>CAR_21!AE52</f>
        <v>0</v>
      </c>
      <c r="F109" s="12">
        <f>CAR_21!AN52</f>
        <v>0</v>
      </c>
      <c r="H109" s="39" t="s">
        <v>42</v>
      </c>
      <c r="I109" s="47">
        <f>CAR_22!H51</f>
        <v>0</v>
      </c>
      <c r="J109" s="44">
        <f t="shared" si="18"/>
        <v>5000</v>
      </c>
      <c r="K109" s="11">
        <f>CAR_22!U52</f>
        <v>0</v>
      </c>
      <c r="L109" s="11">
        <f>CAR_22!AE52</f>
        <v>0</v>
      </c>
      <c r="M109" s="12">
        <f>CAR_22!AN52</f>
        <v>0</v>
      </c>
      <c r="O109" s="39" t="s">
        <v>42</v>
      </c>
      <c r="P109" s="47">
        <f>CAR_23!H51</f>
        <v>0</v>
      </c>
      <c r="Q109" s="44">
        <f t="shared" si="19"/>
        <v>5000</v>
      </c>
      <c r="R109" s="11">
        <f>CAR_23!U52</f>
        <v>0</v>
      </c>
      <c r="S109" s="11">
        <f>CAR_23!AE52</f>
        <v>0</v>
      </c>
      <c r="T109" s="12">
        <f>CAR_23!AN52</f>
        <v>0</v>
      </c>
      <c r="V109" s="39" t="s">
        <v>42</v>
      </c>
      <c r="W109" s="47">
        <f>CAR_24!H51</f>
        <v>0</v>
      </c>
      <c r="X109" s="44">
        <f t="shared" si="20"/>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105" t="s">
        <v>51</v>
      </c>
      <c r="C114" s="105"/>
      <c r="D114" s="105"/>
      <c r="E114" s="105"/>
      <c r="F114" s="105"/>
      <c r="I114" s="105" t="s">
        <v>50</v>
      </c>
      <c r="J114" s="105"/>
      <c r="K114" s="105"/>
      <c r="L114" s="105"/>
      <c r="M114" s="105"/>
      <c r="P114" s="105" t="s">
        <v>49</v>
      </c>
      <c r="Q114" s="105"/>
      <c r="R114" s="105"/>
      <c r="S114" s="105"/>
      <c r="T114" s="105"/>
      <c r="W114" s="105" t="s">
        <v>48</v>
      </c>
      <c r="X114" s="105"/>
      <c r="Y114" s="105"/>
      <c r="Z114" s="105"/>
      <c r="AA114" s="105"/>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1">SUM(5000-B118)</f>
        <v>5000</v>
      </c>
      <c r="D118" s="35">
        <f>CAR_25!U16</f>
        <v>0</v>
      </c>
      <c r="E118" s="35">
        <f>CAR_25!AE16</f>
        <v>0</v>
      </c>
      <c r="F118" s="36">
        <f>CAR_25!AN16</f>
        <v>0</v>
      </c>
      <c r="H118" s="38" t="s">
        <v>33</v>
      </c>
      <c r="I118" s="46">
        <f>CAR_26!H15</f>
        <v>0</v>
      </c>
      <c r="J118" s="43">
        <f t="shared" ref="J118:J127" si="22">SUM(5000-I118)</f>
        <v>5000</v>
      </c>
      <c r="K118" s="35">
        <f>CAR_26!U16</f>
        <v>0</v>
      </c>
      <c r="L118" s="35">
        <f>CAR_26!AE116</f>
        <v>0</v>
      </c>
      <c r="M118" s="36">
        <f>CAR_26!AN16</f>
        <v>0</v>
      </c>
      <c r="O118" s="38" t="s">
        <v>33</v>
      </c>
      <c r="P118" s="46">
        <f>CAR_27!H15</f>
        <v>0</v>
      </c>
      <c r="Q118" s="43">
        <f t="shared" ref="Q118:Q127" si="23">SUM(5000-P118)</f>
        <v>5000</v>
      </c>
      <c r="R118" s="35">
        <f>CAR_27!U16</f>
        <v>0</v>
      </c>
      <c r="S118" s="35">
        <f>CAR_27!AE16</f>
        <v>0</v>
      </c>
      <c r="T118" s="36">
        <f>CAR_27!AN16</f>
        <v>0</v>
      </c>
      <c r="V118" s="38" t="s">
        <v>33</v>
      </c>
      <c r="W118" s="46">
        <f>CAR_28!H15</f>
        <v>0</v>
      </c>
      <c r="X118" s="43">
        <f t="shared" ref="X118:X127" si="24">SUM(5000-W118)</f>
        <v>5000</v>
      </c>
      <c r="Y118" s="35">
        <f>CAR_28!U16</f>
        <v>0</v>
      </c>
      <c r="Z118" s="35">
        <f>CAR_28!AE6</f>
        <v>0</v>
      </c>
      <c r="AA118" s="36">
        <f>CAR_28!AN16</f>
        <v>0</v>
      </c>
    </row>
    <row r="119" spans="1:27" x14ac:dyDescent="0.25">
      <c r="A119" s="38" t="s">
        <v>34</v>
      </c>
      <c r="B119" s="46">
        <f>CAR_25!H19</f>
        <v>0</v>
      </c>
      <c r="C119" s="43">
        <f t="shared" si="21"/>
        <v>5000</v>
      </c>
      <c r="D119" s="35">
        <f>CAR_25!U20</f>
        <v>0</v>
      </c>
      <c r="E119" s="35">
        <f>CAR_25!AE20</f>
        <v>0</v>
      </c>
      <c r="F119" s="36">
        <f>CAR_25!AN20</f>
        <v>0</v>
      </c>
      <c r="H119" s="38" t="s">
        <v>34</v>
      </c>
      <c r="I119" s="46">
        <f>CAR_26!H19</f>
        <v>0</v>
      </c>
      <c r="J119" s="43">
        <f t="shared" si="22"/>
        <v>5000</v>
      </c>
      <c r="K119" s="35">
        <f>CAR_26!U20</f>
        <v>0</v>
      </c>
      <c r="L119" s="35">
        <f>CAR_26!AE20</f>
        <v>0</v>
      </c>
      <c r="M119" s="36">
        <f>CAR_26!AN20</f>
        <v>0</v>
      </c>
      <c r="O119" s="38" t="s">
        <v>34</v>
      </c>
      <c r="P119" s="46">
        <f>CAR_27!H19</f>
        <v>0</v>
      </c>
      <c r="Q119" s="43">
        <f t="shared" si="23"/>
        <v>5000</v>
      </c>
      <c r="R119" s="35">
        <f>CAR_27!U20</f>
        <v>0</v>
      </c>
      <c r="S119" s="35">
        <f>CAR_27!AE20</f>
        <v>0</v>
      </c>
      <c r="T119" s="36">
        <f>CAR_27!AN20</f>
        <v>0</v>
      </c>
      <c r="V119" s="38" t="s">
        <v>34</v>
      </c>
      <c r="W119" s="46">
        <f>CAR_28!H19</f>
        <v>0</v>
      </c>
      <c r="X119" s="43">
        <f t="shared" si="24"/>
        <v>5000</v>
      </c>
      <c r="Y119" s="35">
        <f>CAR_28!U20</f>
        <v>0</v>
      </c>
      <c r="Z119" s="35">
        <f>CAR_28!AE20</f>
        <v>0</v>
      </c>
      <c r="AA119" s="36">
        <f>CAR_28!AN20</f>
        <v>0</v>
      </c>
    </row>
    <row r="120" spans="1:27" x14ac:dyDescent="0.25">
      <c r="A120" s="38" t="s">
        <v>35</v>
      </c>
      <c r="B120" s="46">
        <f>CAR_25!H23</f>
        <v>0</v>
      </c>
      <c r="C120" s="43">
        <f t="shared" si="21"/>
        <v>5000</v>
      </c>
      <c r="D120" s="35">
        <f>CAR_25!U24</f>
        <v>0</v>
      </c>
      <c r="E120" s="35">
        <f>CAR_25!AE24</f>
        <v>0</v>
      </c>
      <c r="F120" s="36">
        <f>CAR_25!AN24</f>
        <v>0</v>
      </c>
      <c r="H120" s="38" t="s">
        <v>35</v>
      </c>
      <c r="I120" s="46">
        <f>CAR_26!H23</f>
        <v>0</v>
      </c>
      <c r="J120" s="43">
        <f t="shared" si="22"/>
        <v>5000</v>
      </c>
      <c r="K120" s="35">
        <f>CAR_26!U24</f>
        <v>0</v>
      </c>
      <c r="L120" s="35">
        <f>CAR_26!AE24</f>
        <v>0</v>
      </c>
      <c r="M120" s="36">
        <f>CAR_26!AN24</f>
        <v>0</v>
      </c>
      <c r="O120" s="38" t="s">
        <v>35</v>
      </c>
      <c r="P120" s="46">
        <f>CAR_27!H23</f>
        <v>0</v>
      </c>
      <c r="Q120" s="43">
        <f t="shared" si="23"/>
        <v>5000</v>
      </c>
      <c r="R120" s="35">
        <f>CAR_27!U24</f>
        <v>0</v>
      </c>
      <c r="S120" s="35">
        <f>CAR_27!AE24</f>
        <v>0</v>
      </c>
      <c r="T120" s="36">
        <f>CAR_27!AN24</f>
        <v>0</v>
      </c>
      <c r="V120" s="38" t="s">
        <v>35</v>
      </c>
      <c r="W120" s="46">
        <f>CAR_28!H23</f>
        <v>0</v>
      </c>
      <c r="X120" s="43">
        <f t="shared" si="24"/>
        <v>5000</v>
      </c>
      <c r="Y120" s="35">
        <f>CAR_28!U24</f>
        <v>0</v>
      </c>
      <c r="Z120" s="35">
        <f>CAR_28!AE24</f>
        <v>0</v>
      </c>
      <c r="AA120" s="36">
        <f>CAR_28!AN24</f>
        <v>0</v>
      </c>
    </row>
    <row r="121" spans="1:27" x14ac:dyDescent="0.25">
      <c r="A121" s="38" t="s">
        <v>36</v>
      </c>
      <c r="B121" s="46">
        <f>CAR_25!H27</f>
        <v>0</v>
      </c>
      <c r="C121" s="43">
        <f t="shared" si="21"/>
        <v>5000</v>
      </c>
      <c r="D121" s="35">
        <f>CAR_25!U28</f>
        <v>0</v>
      </c>
      <c r="E121" s="35">
        <f>CAR_25!AE28</f>
        <v>0</v>
      </c>
      <c r="F121" s="36">
        <f>CAR_25!AN28</f>
        <v>0</v>
      </c>
      <c r="H121" s="38" t="s">
        <v>36</v>
      </c>
      <c r="I121" s="46">
        <f>CAR_26!H27</f>
        <v>0</v>
      </c>
      <c r="J121" s="43">
        <f t="shared" si="22"/>
        <v>5000</v>
      </c>
      <c r="K121" s="35">
        <f>CAR_26!U28</f>
        <v>0</v>
      </c>
      <c r="L121" s="35">
        <f>CAR_26!AE28</f>
        <v>0</v>
      </c>
      <c r="M121" s="36">
        <f>CAR_26!AN28</f>
        <v>0</v>
      </c>
      <c r="O121" s="38" t="s">
        <v>36</v>
      </c>
      <c r="P121" s="46">
        <f>CAR_27!H27</f>
        <v>0</v>
      </c>
      <c r="Q121" s="43">
        <f t="shared" si="23"/>
        <v>5000</v>
      </c>
      <c r="R121" s="35">
        <f>CAR_27!U28</f>
        <v>0</v>
      </c>
      <c r="S121" s="35">
        <f>CAR_27!AE28</f>
        <v>0</v>
      </c>
      <c r="T121" s="36">
        <f>CAR_27!AN28</f>
        <v>0</v>
      </c>
      <c r="V121" s="38" t="s">
        <v>36</v>
      </c>
      <c r="W121" s="46">
        <f>CAR_28!H27</f>
        <v>0</v>
      </c>
      <c r="X121" s="43">
        <f t="shared" si="24"/>
        <v>5000</v>
      </c>
      <c r="Y121" s="35">
        <f>CAR_28!U28</f>
        <v>0</v>
      </c>
      <c r="Z121" s="35">
        <f>CAR_28!AE28</f>
        <v>0</v>
      </c>
      <c r="AA121" s="36">
        <f>CAR_28!AN28</f>
        <v>0</v>
      </c>
    </row>
    <row r="122" spans="1:27" x14ac:dyDescent="0.25">
      <c r="A122" s="38" t="s">
        <v>37</v>
      </c>
      <c r="B122" s="46">
        <f>CAR_25!H31</f>
        <v>0</v>
      </c>
      <c r="C122" s="43">
        <f t="shared" si="21"/>
        <v>5000</v>
      </c>
      <c r="D122" s="35">
        <f>CAR_25!U32</f>
        <v>0</v>
      </c>
      <c r="E122" s="35">
        <f>CAR_25!AE322</f>
        <v>0</v>
      </c>
      <c r="F122" s="36">
        <f>CAR_25!AN32</f>
        <v>0</v>
      </c>
      <c r="H122" s="38" t="s">
        <v>37</v>
      </c>
      <c r="I122" s="46">
        <f>CAR_26!H31</f>
        <v>0</v>
      </c>
      <c r="J122" s="43">
        <f t="shared" si="22"/>
        <v>5000</v>
      </c>
      <c r="K122" s="35">
        <f>CAR_26!U32</f>
        <v>0</v>
      </c>
      <c r="L122" s="35">
        <f>CAR_26!AE32</f>
        <v>0</v>
      </c>
      <c r="M122" s="36">
        <f>CAR_26!AN32</f>
        <v>0</v>
      </c>
      <c r="O122" s="38" t="s">
        <v>37</v>
      </c>
      <c r="P122" s="46">
        <f>CAR_27!H31</f>
        <v>0</v>
      </c>
      <c r="Q122" s="43">
        <f t="shared" si="23"/>
        <v>5000</v>
      </c>
      <c r="R122" s="35">
        <f>CAR_27!U32</f>
        <v>0</v>
      </c>
      <c r="S122" s="35">
        <f>CAR_27!AE32</f>
        <v>0</v>
      </c>
      <c r="T122" s="36">
        <f>CAR_27!AN32</f>
        <v>0</v>
      </c>
      <c r="V122" s="38" t="s">
        <v>37</v>
      </c>
      <c r="W122" s="46">
        <f>CAR_28!H31</f>
        <v>0</v>
      </c>
      <c r="X122" s="43">
        <f t="shared" si="24"/>
        <v>5000</v>
      </c>
      <c r="Y122" s="35">
        <f>CAR_28!U32</f>
        <v>0</v>
      </c>
      <c r="Z122" s="35">
        <f>CAR_28!AE32</f>
        <v>0</v>
      </c>
      <c r="AA122" s="36">
        <f>CAR_28!AN32</f>
        <v>0</v>
      </c>
    </row>
    <row r="123" spans="1:27" x14ac:dyDescent="0.25">
      <c r="A123" s="38" t="s">
        <v>38</v>
      </c>
      <c r="B123" s="46">
        <f>CAR_25!H35</f>
        <v>0</v>
      </c>
      <c r="C123" s="43">
        <f t="shared" si="21"/>
        <v>5000</v>
      </c>
      <c r="D123" s="35">
        <f>CAR_25!U36</f>
        <v>0</v>
      </c>
      <c r="E123" s="35">
        <f>CAR_25!AE36</f>
        <v>0</v>
      </c>
      <c r="F123" s="36">
        <f>CAR_25!AN36</f>
        <v>0</v>
      </c>
      <c r="H123" s="38" t="s">
        <v>38</v>
      </c>
      <c r="I123" s="46">
        <f>CAR_26!H35</f>
        <v>0</v>
      </c>
      <c r="J123" s="43">
        <f t="shared" si="22"/>
        <v>5000</v>
      </c>
      <c r="K123" s="35">
        <f>CAR_26!U36</f>
        <v>0</v>
      </c>
      <c r="L123" s="35">
        <f>CAR_26!AE36</f>
        <v>0</v>
      </c>
      <c r="M123" s="36">
        <f>CAR_26!AN36</f>
        <v>0</v>
      </c>
      <c r="O123" s="38" t="s">
        <v>38</v>
      </c>
      <c r="P123" s="46">
        <f>CAR_27!H35</f>
        <v>0</v>
      </c>
      <c r="Q123" s="43">
        <f t="shared" si="23"/>
        <v>5000</v>
      </c>
      <c r="R123" s="35">
        <f>CAR_27!U36</f>
        <v>0</v>
      </c>
      <c r="S123" s="35">
        <f>CAR_27!AE36</f>
        <v>0</v>
      </c>
      <c r="T123" s="36">
        <f>CAR_27!AN36</f>
        <v>0</v>
      </c>
      <c r="V123" s="38" t="s">
        <v>38</v>
      </c>
      <c r="W123" s="46">
        <f>CAR_28!H35</f>
        <v>0</v>
      </c>
      <c r="X123" s="43">
        <f t="shared" si="24"/>
        <v>5000</v>
      </c>
      <c r="Y123" s="35">
        <f>CAR_28!U36</f>
        <v>0</v>
      </c>
      <c r="Z123" s="35">
        <f>CAR_28!AE36</f>
        <v>0</v>
      </c>
      <c r="AA123" s="36">
        <f>CAR_28!AN36</f>
        <v>0</v>
      </c>
    </row>
    <row r="124" spans="1:27" x14ac:dyDescent="0.25">
      <c r="A124" s="38" t="s">
        <v>39</v>
      </c>
      <c r="B124" s="46">
        <f>CAR_25!H39</f>
        <v>0</v>
      </c>
      <c r="C124" s="43">
        <f t="shared" si="21"/>
        <v>5000</v>
      </c>
      <c r="D124" s="35">
        <f>CAR_25!U40</f>
        <v>0</v>
      </c>
      <c r="E124" s="35">
        <f>CAR_25!AE400</f>
        <v>0</v>
      </c>
      <c r="F124" s="36">
        <f>CAR_25!AN40</f>
        <v>0</v>
      </c>
      <c r="H124" s="38" t="s">
        <v>39</v>
      </c>
      <c r="I124" s="46">
        <f>CAR_26!H39</f>
        <v>0</v>
      </c>
      <c r="J124" s="43">
        <f t="shared" si="22"/>
        <v>5000</v>
      </c>
      <c r="K124" s="35">
        <f>CAR_26!U40</f>
        <v>0</v>
      </c>
      <c r="L124" s="35">
        <f>CAR_26!AE40</f>
        <v>0</v>
      </c>
      <c r="M124" s="36">
        <f>CAR_26!AN40</f>
        <v>0</v>
      </c>
      <c r="O124" s="38" t="s">
        <v>39</v>
      </c>
      <c r="P124" s="46">
        <f>CAR_27!H39</f>
        <v>0</v>
      </c>
      <c r="Q124" s="43">
        <f t="shared" si="23"/>
        <v>5000</v>
      </c>
      <c r="R124" s="35">
        <f>CAR_27!U40</f>
        <v>0</v>
      </c>
      <c r="S124" s="35">
        <f>CAR_27!AE40</f>
        <v>0</v>
      </c>
      <c r="T124" s="36">
        <f>CAR_27!AN40</f>
        <v>0</v>
      </c>
      <c r="V124" s="38" t="s">
        <v>39</v>
      </c>
      <c r="W124" s="46">
        <f>CAR_28!H39</f>
        <v>0</v>
      </c>
      <c r="X124" s="43">
        <f t="shared" si="24"/>
        <v>5000</v>
      </c>
      <c r="Y124" s="35">
        <f>CAR_28!U40</f>
        <v>0</v>
      </c>
      <c r="Z124" s="35">
        <f>CAR_28!AE40</f>
        <v>0</v>
      </c>
      <c r="AA124" s="36">
        <f>CAR_28!AN40</f>
        <v>0</v>
      </c>
    </row>
    <row r="125" spans="1:27" x14ac:dyDescent="0.25">
      <c r="A125" s="38" t="s">
        <v>40</v>
      </c>
      <c r="B125" s="46">
        <f>CAR_25!H43</f>
        <v>0</v>
      </c>
      <c r="C125" s="43">
        <f t="shared" si="21"/>
        <v>5000</v>
      </c>
      <c r="D125" s="35">
        <f>CAR_25!U44</f>
        <v>0</v>
      </c>
      <c r="E125" s="35">
        <f>CAR_25!AE44</f>
        <v>0</v>
      </c>
      <c r="F125" s="36">
        <f>CAR_25!AN44</f>
        <v>0</v>
      </c>
      <c r="H125" s="38" t="s">
        <v>40</v>
      </c>
      <c r="I125" s="46">
        <f>CAR_26!H43</f>
        <v>0</v>
      </c>
      <c r="J125" s="43">
        <f t="shared" si="22"/>
        <v>5000</v>
      </c>
      <c r="K125" s="35">
        <f>CAR_26!U44</f>
        <v>0</v>
      </c>
      <c r="L125" s="35">
        <f>CAR_26!AE44</f>
        <v>0</v>
      </c>
      <c r="M125" s="36">
        <f>CAR_26!AN44</f>
        <v>0</v>
      </c>
      <c r="O125" s="38" t="s">
        <v>40</v>
      </c>
      <c r="P125" s="46">
        <f>CAR_27!H43</f>
        <v>0</v>
      </c>
      <c r="Q125" s="43">
        <f t="shared" si="23"/>
        <v>5000</v>
      </c>
      <c r="R125" s="35">
        <f>CAR_27!U44</f>
        <v>0</v>
      </c>
      <c r="S125" s="35">
        <f>CAR_27!AE44</f>
        <v>0</v>
      </c>
      <c r="T125" s="36">
        <f>CAR_27!AN44</f>
        <v>0</v>
      </c>
      <c r="V125" s="38" t="s">
        <v>40</v>
      </c>
      <c r="W125" s="46">
        <f>CAR_28!H43</f>
        <v>0</v>
      </c>
      <c r="X125" s="43">
        <f t="shared" si="24"/>
        <v>5000</v>
      </c>
      <c r="Y125" s="35">
        <f>CAR_28!U44</f>
        <v>0</v>
      </c>
      <c r="Z125" s="35">
        <f>CAR_28!AE44</f>
        <v>0</v>
      </c>
      <c r="AA125" s="36">
        <f>CAR_28!AN44</f>
        <v>0</v>
      </c>
    </row>
    <row r="126" spans="1:27" x14ac:dyDescent="0.25">
      <c r="A126" s="38" t="s">
        <v>41</v>
      </c>
      <c r="B126" s="46">
        <f>CAR_25!H47</f>
        <v>0</v>
      </c>
      <c r="C126" s="43">
        <f t="shared" si="21"/>
        <v>5000</v>
      </c>
      <c r="D126" s="35">
        <f>CAR_25!U48</f>
        <v>0</v>
      </c>
      <c r="E126" s="35">
        <f>CAR_25!AE48</f>
        <v>0</v>
      </c>
      <c r="F126" s="36">
        <f>CAR_25!AN48</f>
        <v>0</v>
      </c>
      <c r="H126" s="38" t="s">
        <v>41</v>
      </c>
      <c r="I126" s="46">
        <f>CAR_26!H47</f>
        <v>0</v>
      </c>
      <c r="J126" s="43">
        <f t="shared" si="22"/>
        <v>5000</v>
      </c>
      <c r="K126" s="35">
        <f>CAR_26!U48</f>
        <v>0</v>
      </c>
      <c r="L126" s="35">
        <f>CAR_26!AE48</f>
        <v>0</v>
      </c>
      <c r="M126" s="36">
        <f>CAR_26!AN48</f>
        <v>0</v>
      </c>
      <c r="O126" s="38" t="s">
        <v>41</v>
      </c>
      <c r="P126" s="46">
        <f>CAR_27!H47</f>
        <v>0</v>
      </c>
      <c r="Q126" s="43">
        <f t="shared" si="23"/>
        <v>5000</v>
      </c>
      <c r="R126" s="35">
        <f>CAR_27!U48</f>
        <v>0</v>
      </c>
      <c r="S126" s="35">
        <f>CAR_27!AE48</f>
        <v>0</v>
      </c>
      <c r="T126" s="36">
        <f>CAR_27!AN48</f>
        <v>0</v>
      </c>
      <c r="V126" s="38" t="s">
        <v>41</v>
      </c>
      <c r="W126" s="46">
        <f>CAR_28!H47</f>
        <v>0</v>
      </c>
      <c r="X126" s="43">
        <f t="shared" si="24"/>
        <v>5000</v>
      </c>
      <c r="Y126" s="35">
        <f>CAR_28!U48</f>
        <v>0</v>
      </c>
      <c r="Z126" s="35">
        <f>CAR_28!AE48</f>
        <v>0</v>
      </c>
      <c r="AA126" s="36">
        <f>CAR_28!AN48</f>
        <v>0</v>
      </c>
    </row>
    <row r="127" spans="1:27" ht="15.75" thickBot="1" x14ac:dyDescent="0.3">
      <c r="A127" s="39" t="s">
        <v>42</v>
      </c>
      <c r="B127" s="47">
        <f>CAR_25!H51</f>
        <v>0</v>
      </c>
      <c r="C127" s="44">
        <f t="shared" si="21"/>
        <v>5000</v>
      </c>
      <c r="D127" s="11">
        <f>CAR_25!U52</f>
        <v>0</v>
      </c>
      <c r="E127" s="11">
        <f>CAR_25!AE52</f>
        <v>0</v>
      </c>
      <c r="F127" s="12">
        <f>CAR_25!AN52</f>
        <v>0</v>
      </c>
      <c r="H127" s="39" t="s">
        <v>42</v>
      </c>
      <c r="I127" s="47">
        <f>CAR_26!H51</f>
        <v>0</v>
      </c>
      <c r="J127" s="44">
        <f t="shared" si="22"/>
        <v>5000</v>
      </c>
      <c r="K127" s="11">
        <f>CAR_26!U52</f>
        <v>0</v>
      </c>
      <c r="L127" s="11">
        <f>CAR_26!AE52</f>
        <v>0</v>
      </c>
      <c r="M127" s="12">
        <f>CAR_26!AN52</f>
        <v>0</v>
      </c>
      <c r="O127" s="39" t="s">
        <v>42</v>
      </c>
      <c r="P127" s="47">
        <f>CAR_27!H51</f>
        <v>0</v>
      </c>
      <c r="Q127" s="44">
        <f t="shared" si="23"/>
        <v>5000</v>
      </c>
      <c r="R127" s="11">
        <f>CAR_27!U52</f>
        <v>0</v>
      </c>
      <c r="S127" s="11">
        <f>CAR_27!AE52</f>
        <v>0</v>
      </c>
      <c r="T127" s="12">
        <f>CAR_27!AN52</f>
        <v>0</v>
      </c>
      <c r="V127" s="39" t="s">
        <v>42</v>
      </c>
      <c r="W127" s="47">
        <f>CAR_28!H51</f>
        <v>0</v>
      </c>
      <c r="X127" s="44">
        <f t="shared" si="24"/>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105" t="s">
        <v>47</v>
      </c>
      <c r="C132" s="105"/>
      <c r="D132" s="105"/>
      <c r="E132" s="105"/>
      <c r="F132" s="105"/>
      <c r="I132" s="105" t="s">
        <v>46</v>
      </c>
      <c r="J132" s="105"/>
      <c r="K132" s="105"/>
      <c r="L132" s="105"/>
      <c r="M132" s="105"/>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5">SUM(5000-B136)</f>
        <v>5000</v>
      </c>
      <c r="D136" s="35">
        <f>CAR_29!U16</f>
        <v>0</v>
      </c>
      <c r="E136" s="35">
        <f>CAR_29!AE16</f>
        <v>0</v>
      </c>
      <c r="F136" s="36">
        <f>CAR_29!AN16</f>
        <v>0</v>
      </c>
      <c r="H136" s="38" t="s">
        <v>33</v>
      </c>
      <c r="I136" s="46">
        <f>CAR_30!H15</f>
        <v>0</v>
      </c>
      <c r="J136" s="43">
        <f t="shared" ref="J136:J145" si="26">SUM(5000-I136)</f>
        <v>5000</v>
      </c>
      <c r="K136" s="35">
        <f>CAR_30!U16</f>
        <v>0</v>
      </c>
      <c r="L136" s="35">
        <f>CAR_30!AE16</f>
        <v>0</v>
      </c>
      <c r="M136" s="36">
        <f>CAR_30!AN16</f>
        <v>0</v>
      </c>
    </row>
    <row r="137" spans="1:27" x14ac:dyDescent="0.25">
      <c r="A137" s="38" t="s">
        <v>34</v>
      </c>
      <c r="B137" s="46">
        <f>CAR_29!H19</f>
        <v>0</v>
      </c>
      <c r="C137" s="43">
        <f t="shared" si="25"/>
        <v>5000</v>
      </c>
      <c r="D137" s="35">
        <f>CAR_29!U20</f>
        <v>0</v>
      </c>
      <c r="E137" s="35">
        <f>CAR_29!AE20</f>
        <v>0</v>
      </c>
      <c r="F137" s="36">
        <f>CAR_29!AN20</f>
        <v>0</v>
      </c>
      <c r="H137" s="38" t="s">
        <v>34</v>
      </c>
      <c r="I137" s="46">
        <f>CAR_30!H19</f>
        <v>0</v>
      </c>
      <c r="J137" s="43">
        <f t="shared" si="26"/>
        <v>5000</v>
      </c>
      <c r="K137" s="35">
        <f>CAR_30!U20</f>
        <v>0</v>
      </c>
      <c r="L137" s="35">
        <f>CAR_30!AE20</f>
        <v>0</v>
      </c>
      <c r="M137" s="36">
        <f>CAR_30!AN20</f>
        <v>0</v>
      </c>
    </row>
    <row r="138" spans="1:27" x14ac:dyDescent="0.25">
      <c r="A138" s="38" t="s">
        <v>35</v>
      </c>
      <c r="B138" s="46">
        <f>CAR_29!H23</f>
        <v>0</v>
      </c>
      <c r="C138" s="43">
        <f t="shared" si="25"/>
        <v>5000</v>
      </c>
      <c r="D138" s="35">
        <f>CAR_29!U24</f>
        <v>0</v>
      </c>
      <c r="E138" s="35">
        <f>CAR_29!AE24</f>
        <v>0</v>
      </c>
      <c r="F138" s="36">
        <f>CAR_29!AN24</f>
        <v>0</v>
      </c>
      <c r="H138" s="38" t="s">
        <v>35</v>
      </c>
      <c r="I138" s="46">
        <f>CAR_30!H23</f>
        <v>0</v>
      </c>
      <c r="J138" s="43">
        <f t="shared" si="26"/>
        <v>5000</v>
      </c>
      <c r="K138" s="35">
        <f>CAR_30!U24</f>
        <v>0</v>
      </c>
      <c r="L138" s="35">
        <f>CAR_30!AE24</f>
        <v>0</v>
      </c>
      <c r="M138" s="36">
        <f>CAR_30!AN24</f>
        <v>0</v>
      </c>
    </row>
    <row r="139" spans="1:27" x14ac:dyDescent="0.25">
      <c r="A139" s="38" t="s">
        <v>36</v>
      </c>
      <c r="B139" s="46">
        <f>CAR_29!H27</f>
        <v>0</v>
      </c>
      <c r="C139" s="43">
        <f t="shared" si="25"/>
        <v>5000</v>
      </c>
      <c r="D139" s="35">
        <f>CAR_29!U28</f>
        <v>0</v>
      </c>
      <c r="E139" s="35">
        <f>CAR_29!AE28</f>
        <v>0</v>
      </c>
      <c r="F139" s="36">
        <f>CAR_29!AN28</f>
        <v>0</v>
      </c>
      <c r="H139" s="38" t="s">
        <v>36</v>
      </c>
      <c r="I139" s="46">
        <f>CAR_30!H27</f>
        <v>0</v>
      </c>
      <c r="J139" s="43">
        <f t="shared" si="26"/>
        <v>5000</v>
      </c>
      <c r="K139" s="35">
        <f>CAR_30!U28</f>
        <v>0</v>
      </c>
      <c r="L139" s="35">
        <f>CAR_30!AE28</f>
        <v>0</v>
      </c>
      <c r="M139" s="36">
        <f>CAR_30!AN28</f>
        <v>0</v>
      </c>
    </row>
    <row r="140" spans="1:27" x14ac:dyDescent="0.25">
      <c r="A140" s="38" t="s">
        <v>37</v>
      </c>
      <c r="B140" s="46">
        <f>CAR_29!H31</f>
        <v>0</v>
      </c>
      <c r="C140" s="43">
        <f t="shared" si="25"/>
        <v>5000</v>
      </c>
      <c r="D140" s="35">
        <f>CAR_29!U32</f>
        <v>0</v>
      </c>
      <c r="E140" s="35">
        <f>CAR_29!AE32</f>
        <v>0</v>
      </c>
      <c r="F140" s="36">
        <f>CAR_29!AN32</f>
        <v>0</v>
      </c>
      <c r="H140" s="38" t="s">
        <v>37</v>
      </c>
      <c r="I140" s="46">
        <f>CAR_30!H31</f>
        <v>0</v>
      </c>
      <c r="J140" s="43">
        <f t="shared" si="26"/>
        <v>5000</v>
      </c>
      <c r="K140" s="35">
        <f>CAR_30!U32</f>
        <v>0</v>
      </c>
      <c r="L140" s="35">
        <f>CAR_30!AE32</f>
        <v>0</v>
      </c>
      <c r="M140" s="36">
        <f>CAR_30!AN32</f>
        <v>0</v>
      </c>
    </row>
    <row r="141" spans="1:27" x14ac:dyDescent="0.25">
      <c r="A141" s="38" t="s">
        <v>38</v>
      </c>
      <c r="B141" s="46">
        <f>CAR_29!H35</f>
        <v>0</v>
      </c>
      <c r="C141" s="43">
        <f t="shared" si="25"/>
        <v>5000</v>
      </c>
      <c r="D141" s="35">
        <f>CAR_29!U36</f>
        <v>0</v>
      </c>
      <c r="E141" s="35">
        <f>CAR_29!AE36</f>
        <v>0</v>
      </c>
      <c r="F141" s="36">
        <f>CAR_29!AN36</f>
        <v>0</v>
      </c>
      <c r="H141" s="38" t="s">
        <v>38</v>
      </c>
      <c r="I141" s="46">
        <f>CAR_30!H35</f>
        <v>0</v>
      </c>
      <c r="J141" s="43">
        <f t="shared" si="26"/>
        <v>5000</v>
      </c>
      <c r="K141" s="35">
        <f>CAR_30!U36</f>
        <v>0</v>
      </c>
      <c r="L141" s="35">
        <f>CAR_30!AE36</f>
        <v>0</v>
      </c>
      <c r="M141" s="36">
        <f>CAR_30!AN36</f>
        <v>0</v>
      </c>
    </row>
    <row r="142" spans="1:27" x14ac:dyDescent="0.25">
      <c r="A142" s="38" t="s">
        <v>39</v>
      </c>
      <c r="B142" s="46">
        <f>CAR_29!H39</f>
        <v>0</v>
      </c>
      <c r="C142" s="43">
        <f t="shared" si="25"/>
        <v>5000</v>
      </c>
      <c r="D142" s="35">
        <f>CAR_29!U40</f>
        <v>0</v>
      </c>
      <c r="E142" s="35">
        <f>CAR_29!AE40</f>
        <v>0</v>
      </c>
      <c r="F142" s="36">
        <f>CAR_29!AN40</f>
        <v>0</v>
      </c>
      <c r="H142" s="38" t="s">
        <v>39</v>
      </c>
      <c r="I142" s="46">
        <f>CAR_30!H39</f>
        <v>0</v>
      </c>
      <c r="J142" s="43">
        <f t="shared" si="26"/>
        <v>5000</v>
      </c>
      <c r="K142" s="35">
        <f>CAR_30!U40</f>
        <v>0</v>
      </c>
      <c r="L142" s="35">
        <f>CAR_30!AE40</f>
        <v>0</v>
      </c>
      <c r="M142" s="36">
        <f>CAR_30!AN40</f>
        <v>0</v>
      </c>
    </row>
    <row r="143" spans="1:27" x14ac:dyDescent="0.25">
      <c r="A143" s="38" t="s">
        <v>40</v>
      </c>
      <c r="B143" s="46">
        <f>CAR_29!H43</f>
        <v>0</v>
      </c>
      <c r="C143" s="43">
        <f t="shared" si="25"/>
        <v>5000</v>
      </c>
      <c r="D143" s="35">
        <f>CAR_29!U44</f>
        <v>0</v>
      </c>
      <c r="E143" s="35">
        <f>CAR_29!AE44</f>
        <v>0</v>
      </c>
      <c r="F143" s="36">
        <f>CAR_29!AN44</f>
        <v>0</v>
      </c>
      <c r="H143" s="38" t="s">
        <v>40</v>
      </c>
      <c r="I143" s="46">
        <f>CAR_30!H43</f>
        <v>0</v>
      </c>
      <c r="J143" s="43">
        <f t="shared" si="26"/>
        <v>5000</v>
      </c>
      <c r="K143" s="35">
        <f>CAR_30!U44</f>
        <v>0</v>
      </c>
      <c r="L143" s="35">
        <f>CAR_30!AE44</f>
        <v>0</v>
      </c>
      <c r="M143" s="36">
        <f>CAR_30!AN44</f>
        <v>0</v>
      </c>
    </row>
    <row r="144" spans="1:27" x14ac:dyDescent="0.25">
      <c r="A144" s="38" t="s">
        <v>41</v>
      </c>
      <c r="B144" s="46">
        <f>CAR_29!H47</f>
        <v>0</v>
      </c>
      <c r="C144" s="43">
        <f t="shared" si="25"/>
        <v>5000</v>
      </c>
      <c r="D144" s="35">
        <f>CAR_29!U48</f>
        <v>0</v>
      </c>
      <c r="E144" s="35">
        <f>CAR_29!AE48</f>
        <v>0</v>
      </c>
      <c r="F144" s="36">
        <f>CAR_29!AN48</f>
        <v>0</v>
      </c>
      <c r="H144" s="38" t="s">
        <v>41</v>
      </c>
      <c r="I144" s="46">
        <f>CAR_30!H47</f>
        <v>0</v>
      </c>
      <c r="J144" s="43">
        <f t="shared" si="26"/>
        <v>5000</v>
      </c>
      <c r="K144" s="35">
        <f>CAR_30!U48</f>
        <v>0</v>
      </c>
      <c r="L144" s="35">
        <f>CAR_30!AE48</f>
        <v>0</v>
      </c>
      <c r="M144" s="36">
        <f>CAR_30!AN48</f>
        <v>0</v>
      </c>
    </row>
    <row r="145" spans="1:13" ht="15.75" thickBot="1" x14ac:dyDescent="0.3">
      <c r="A145" s="39" t="s">
        <v>42</v>
      </c>
      <c r="B145" s="47">
        <f>CAR_29!H51</f>
        <v>0</v>
      </c>
      <c r="C145" s="44">
        <f t="shared" si="25"/>
        <v>5000</v>
      </c>
      <c r="D145" s="11">
        <f>CAR_29!U52</f>
        <v>0</v>
      </c>
      <c r="E145" s="11">
        <f>CAR_29!AE52</f>
        <v>0</v>
      </c>
      <c r="F145" s="12">
        <f>CAR_29!AN52</f>
        <v>0</v>
      </c>
      <c r="H145" s="39" t="s">
        <v>42</v>
      </c>
      <c r="I145" s="47">
        <f>CAR_30!H51</f>
        <v>0</v>
      </c>
      <c r="J145" s="44">
        <f t="shared" si="26"/>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114:F114"/>
    <mergeCell ref="I114:M114"/>
    <mergeCell ref="P114:T114"/>
    <mergeCell ref="W114:AA114"/>
    <mergeCell ref="B132:F132"/>
    <mergeCell ref="I132:M132"/>
    <mergeCell ref="B78:F78"/>
    <mergeCell ref="I78:M78"/>
    <mergeCell ref="P78:T78"/>
    <mergeCell ref="W78:AA78"/>
    <mergeCell ref="B96:F96"/>
    <mergeCell ref="I96:M96"/>
    <mergeCell ref="P96:T96"/>
    <mergeCell ref="W96:AA96"/>
    <mergeCell ref="B40:F40"/>
    <mergeCell ref="I40:M40"/>
    <mergeCell ref="P40:T40"/>
    <mergeCell ref="W40:AA40"/>
    <mergeCell ref="B59:F59"/>
    <mergeCell ref="I59:M59"/>
    <mergeCell ref="P59:T59"/>
    <mergeCell ref="W59:AA59"/>
    <mergeCell ref="B2:F2"/>
    <mergeCell ref="I2:M2"/>
    <mergeCell ref="P2:T2"/>
    <mergeCell ref="W2:AA2"/>
    <mergeCell ref="B21:F21"/>
    <mergeCell ref="I21:M21"/>
    <mergeCell ref="P21:T21"/>
    <mergeCell ref="W21:AA21"/>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I20" sqref="I20"/>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t="s">
        <v>111</v>
      </c>
      <c r="C2" s="100"/>
      <c r="D2" s="1" t="s">
        <v>1</v>
      </c>
      <c r="E2" s="100" t="s">
        <v>130</v>
      </c>
      <c r="F2" s="100"/>
      <c r="H2" t="s">
        <v>126</v>
      </c>
      <c r="I2" s="90">
        <v>5000</v>
      </c>
      <c r="J2" s="1"/>
    </row>
    <row r="3" spans="1:40" x14ac:dyDescent="0.25">
      <c r="A3" s="2" t="s">
        <v>131</v>
      </c>
      <c r="B3" s="106"/>
      <c r="C3" s="100"/>
      <c r="D3" s="1" t="s">
        <v>1</v>
      </c>
      <c r="E3" s="100"/>
      <c r="F3" s="100"/>
      <c r="H3" t="s">
        <v>124</v>
      </c>
      <c r="I3" s="100"/>
      <c r="J3" s="100"/>
    </row>
    <row r="4" spans="1:40" x14ac:dyDescent="0.25">
      <c r="A4" t="s">
        <v>2</v>
      </c>
      <c r="B4" s="101">
        <v>4335.99</v>
      </c>
      <c r="C4" s="101"/>
      <c r="D4" s="1" t="s">
        <v>29</v>
      </c>
      <c r="E4" s="102" t="s">
        <v>129</v>
      </c>
      <c r="F4" s="102"/>
      <c r="H4" t="s">
        <v>125</v>
      </c>
      <c r="I4" s="91">
        <v>46121</v>
      </c>
      <c r="J4" s="9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v>8307</v>
      </c>
      <c r="C19" s="27"/>
      <c r="D19" s="27"/>
      <c r="E19" s="27">
        <v>10586</v>
      </c>
      <c r="F19" s="27">
        <f>SUM(C19-B19)</f>
        <v>-8307</v>
      </c>
      <c r="G19" s="20">
        <f>SUM(E19-D19)</f>
        <v>10586</v>
      </c>
      <c r="H19" s="21">
        <f>SUM(F19:G19)</f>
        <v>2279</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7">
        <v>10586</v>
      </c>
      <c r="C23" s="27"/>
      <c r="D23" s="27"/>
      <c r="E23" s="27">
        <v>13060</v>
      </c>
      <c r="F23" s="27">
        <f>SUM(C23-B23)</f>
        <v>-10586</v>
      </c>
      <c r="G23" s="20">
        <f>SUM(E23-D23)</f>
        <v>13060</v>
      </c>
      <c r="H23" s="21">
        <f>SUM(F23:G23)</f>
        <v>2474</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6">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I3:J3"/>
    <mergeCell ref="AH7:AN7"/>
    <mergeCell ref="B9:H9"/>
    <mergeCell ref="J9:U9"/>
    <mergeCell ref="Y9:AE9"/>
    <mergeCell ref="AH9:AN9"/>
    <mergeCell ref="J7:U7"/>
    <mergeCell ref="A7:H7"/>
    <mergeCell ref="A14:A15"/>
    <mergeCell ref="Y7:AE7"/>
    <mergeCell ref="A10:A11"/>
    <mergeCell ref="B13:H13"/>
    <mergeCell ref="J13:U13"/>
    <mergeCell ref="Y13:AE13"/>
    <mergeCell ref="B2:C2"/>
    <mergeCell ref="E2:F2"/>
    <mergeCell ref="B4:C4"/>
    <mergeCell ref="E4:F4"/>
    <mergeCell ref="B3:C3"/>
    <mergeCell ref="E3:F3"/>
  </mergeCell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153"/>
  <sheetViews>
    <sheetView showGridLines="0" tabSelected="1" topLeftCell="A110" workbookViewId="0">
      <selection activeCell="I130" sqref="I130"/>
    </sheetView>
  </sheetViews>
  <sheetFormatPr defaultRowHeight="15" x14ac:dyDescent="0.25"/>
  <cols>
    <col min="1" max="1" width="20.710937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7" width="10.42578125" bestFit="1" customWidth="1"/>
    <col min="18" max="18" width="10.5703125" bestFit="1" customWidth="1"/>
    <col min="19" max="20" width="10.42578125" bestFit="1" customWidth="1"/>
    <col min="21" max="21" width="12.140625" bestFit="1" customWidth="1"/>
    <col min="26" max="28" width="10.42578125" bestFit="1" customWidth="1"/>
    <col min="31" max="31" width="9.5703125" bestFit="1" customWidth="1"/>
    <col min="37" max="39" width="10.140625" bestFit="1" customWidth="1"/>
  </cols>
  <sheetData>
    <row r="2" spans="1:40" x14ac:dyDescent="0.25">
      <c r="A2" t="s">
        <v>0</v>
      </c>
      <c r="B2" s="100" t="s">
        <v>86</v>
      </c>
      <c r="C2" s="100"/>
      <c r="D2" s="1" t="s">
        <v>1</v>
      </c>
      <c r="E2" s="100" t="s">
        <v>85</v>
      </c>
      <c r="F2" s="100"/>
      <c r="H2" t="s">
        <v>126</v>
      </c>
      <c r="I2" s="90">
        <v>4500</v>
      </c>
    </row>
    <row r="3" spans="1:40" x14ac:dyDescent="0.25">
      <c r="A3" s="2" t="s">
        <v>131</v>
      </c>
      <c r="B3" s="106">
        <v>45677</v>
      </c>
      <c r="C3" s="100"/>
      <c r="D3" s="1" t="s">
        <v>1</v>
      </c>
      <c r="E3" s="100" t="s">
        <v>103</v>
      </c>
      <c r="F3" s="100"/>
      <c r="H3" t="s">
        <v>124</v>
      </c>
      <c r="I3" s="100" t="s">
        <v>119</v>
      </c>
      <c r="J3" s="100"/>
    </row>
    <row r="4" spans="1:40" x14ac:dyDescent="0.25">
      <c r="A4" s="2" t="s">
        <v>132</v>
      </c>
      <c r="B4" s="106">
        <v>46136</v>
      </c>
      <c r="C4" s="100"/>
      <c r="D4" s="1" t="s">
        <v>1</v>
      </c>
      <c r="E4" s="100" t="s">
        <v>133</v>
      </c>
      <c r="F4" s="100"/>
      <c r="H4" t="s">
        <v>124</v>
      </c>
      <c r="I4" s="100" t="s">
        <v>134</v>
      </c>
      <c r="J4" s="100"/>
    </row>
    <row r="5" spans="1:40" x14ac:dyDescent="0.25">
      <c r="A5" t="s">
        <v>2</v>
      </c>
      <c r="B5" s="101">
        <v>4144</v>
      </c>
      <c r="C5" s="101"/>
      <c r="D5" s="1" t="s">
        <v>29</v>
      </c>
      <c r="E5" s="102">
        <v>50</v>
      </c>
      <c r="F5" s="102"/>
      <c r="H5" t="s">
        <v>125</v>
      </c>
      <c r="I5" s="106">
        <v>45677</v>
      </c>
      <c r="J5" s="100"/>
    </row>
    <row r="8" spans="1:40" ht="21" x14ac:dyDescent="0.35">
      <c r="A8" s="103" t="s">
        <v>28</v>
      </c>
      <c r="B8" s="103"/>
      <c r="C8" s="103"/>
      <c r="D8" s="103"/>
      <c r="E8" s="103"/>
      <c r="F8" s="103"/>
      <c r="G8" s="103"/>
      <c r="H8" s="103"/>
      <c r="J8" s="105" t="s">
        <v>26</v>
      </c>
      <c r="K8" s="105"/>
      <c r="L8" s="105"/>
      <c r="M8" s="105"/>
      <c r="N8" s="105"/>
      <c r="O8" s="105"/>
      <c r="P8" s="105"/>
      <c r="Q8" s="105"/>
      <c r="R8" s="105"/>
      <c r="S8" s="105"/>
      <c r="T8" s="105"/>
      <c r="U8" s="105"/>
      <c r="V8" s="2"/>
      <c r="W8" s="2"/>
      <c r="X8" s="2"/>
      <c r="Y8" s="104" t="s">
        <v>25</v>
      </c>
      <c r="Z8" s="104"/>
      <c r="AA8" s="104"/>
      <c r="AB8" s="104"/>
      <c r="AC8" s="104"/>
      <c r="AD8" s="104"/>
      <c r="AE8" s="104"/>
      <c r="AF8" s="2"/>
      <c r="AG8" s="2"/>
      <c r="AH8" s="104" t="s">
        <v>27</v>
      </c>
      <c r="AI8" s="104"/>
      <c r="AJ8" s="104"/>
      <c r="AK8" s="104"/>
      <c r="AL8" s="104"/>
      <c r="AM8" s="104"/>
      <c r="AN8" s="104"/>
    </row>
    <row r="9" spans="1:40" s="15" customFormat="1" ht="21" x14ac:dyDescent="0.35">
      <c r="A9" s="14"/>
      <c r="B9" s="14"/>
      <c r="C9" s="14"/>
      <c r="D9" s="14"/>
      <c r="E9" s="14"/>
      <c r="F9" s="14"/>
      <c r="G9" s="14"/>
      <c r="H9" s="14"/>
      <c r="J9" s="16"/>
      <c r="K9" s="16"/>
      <c r="L9" s="16"/>
      <c r="M9" s="16"/>
      <c r="N9" s="16"/>
      <c r="O9" s="16"/>
      <c r="P9" s="16"/>
      <c r="Q9" s="16"/>
      <c r="R9" s="16"/>
      <c r="S9" s="16"/>
      <c r="T9" s="16"/>
      <c r="U9" s="16"/>
      <c r="V9" s="17"/>
      <c r="W9" s="17"/>
      <c r="X9" s="17"/>
      <c r="Y9" s="18"/>
      <c r="Z9" s="18"/>
      <c r="AA9" s="18"/>
      <c r="AB9" s="18"/>
      <c r="AC9" s="18"/>
      <c r="AD9" s="18"/>
      <c r="AE9" s="18"/>
      <c r="AF9" s="17"/>
      <c r="AG9" s="17"/>
      <c r="AH9" s="18"/>
      <c r="AI9" s="18"/>
      <c r="AJ9" s="18"/>
      <c r="AK9" s="18"/>
      <c r="AL9" s="18"/>
      <c r="AM9" s="18"/>
      <c r="AN9" s="18"/>
    </row>
    <row r="10" spans="1:40" ht="15.75" thickBot="1" x14ac:dyDescent="0.3">
      <c r="A10" s="19"/>
      <c r="B10" s="97" t="s">
        <v>3</v>
      </c>
      <c r="C10" s="97"/>
      <c r="D10" s="97"/>
      <c r="E10" s="97"/>
      <c r="F10" s="97"/>
      <c r="G10" s="97"/>
      <c r="H10" s="97"/>
      <c r="J10" s="98" t="s">
        <v>3</v>
      </c>
      <c r="K10" s="98"/>
      <c r="L10" s="98"/>
      <c r="M10" s="98"/>
      <c r="N10" s="98"/>
      <c r="O10" s="98"/>
      <c r="P10" s="98"/>
      <c r="Q10" s="98"/>
      <c r="R10" s="98"/>
      <c r="S10" s="98"/>
      <c r="T10" s="98"/>
      <c r="U10" s="98"/>
      <c r="Y10" s="95" t="s">
        <v>3</v>
      </c>
      <c r="Z10" s="95"/>
      <c r="AA10" s="95"/>
      <c r="AB10" s="95"/>
      <c r="AC10" s="95"/>
      <c r="AD10" s="95"/>
      <c r="AE10" s="95"/>
      <c r="AH10" s="96" t="s">
        <v>3</v>
      </c>
      <c r="AI10" s="96"/>
      <c r="AJ10" s="96"/>
      <c r="AK10" s="96"/>
      <c r="AL10" s="96"/>
      <c r="AM10" s="96"/>
      <c r="AN10" s="96"/>
    </row>
    <row r="11" spans="1:40" ht="15.75" thickBot="1" x14ac:dyDescent="0.3">
      <c r="A11" s="99" t="s">
        <v>5</v>
      </c>
      <c r="B11" s="34" t="s">
        <v>6</v>
      </c>
      <c r="C11" s="22" t="s">
        <v>7</v>
      </c>
      <c r="D11" s="33" t="s">
        <v>8</v>
      </c>
      <c r="E11" s="22" t="s">
        <v>9</v>
      </c>
      <c r="F11" s="24" t="s">
        <v>10</v>
      </c>
      <c r="G11" s="23" t="s">
        <v>11</v>
      </c>
      <c r="H11" s="25" t="s">
        <v>12</v>
      </c>
      <c r="J11" s="28" t="s">
        <v>4</v>
      </c>
      <c r="K11" s="9"/>
      <c r="L11" s="4"/>
      <c r="M11" s="4"/>
      <c r="N11" s="4"/>
      <c r="O11" s="4"/>
      <c r="P11" s="4"/>
      <c r="Q11" s="4"/>
      <c r="R11" s="4"/>
      <c r="S11" s="4"/>
      <c r="T11" s="4"/>
      <c r="U11" s="5"/>
      <c r="Y11" s="6" t="s">
        <v>4</v>
      </c>
      <c r="Z11" s="9"/>
      <c r="AA11" s="4"/>
      <c r="AB11" s="4"/>
      <c r="AC11" s="4"/>
      <c r="AD11" s="4"/>
      <c r="AE11" s="5"/>
      <c r="AH11" s="6" t="s">
        <v>4</v>
      </c>
      <c r="AI11" s="9"/>
      <c r="AJ11" s="4"/>
      <c r="AK11" s="4"/>
      <c r="AL11" s="4"/>
      <c r="AM11" s="4"/>
      <c r="AN11" s="5"/>
    </row>
    <row r="12" spans="1:40" ht="15.75" thickBot="1" x14ac:dyDescent="0.3">
      <c r="A12" s="99"/>
      <c r="B12" s="26"/>
      <c r="C12" s="27"/>
      <c r="D12" s="27"/>
      <c r="E12" s="27"/>
      <c r="F12" s="27">
        <f>SUM(C12-B12)</f>
        <v>0</v>
      </c>
      <c r="G12" s="20">
        <f>SUM(E12-D12)</f>
        <v>0</v>
      </c>
      <c r="H12" s="21">
        <f>SUM(F12:G12)</f>
        <v>0</v>
      </c>
      <c r="J12" s="29" t="s">
        <v>22</v>
      </c>
      <c r="K12" s="10"/>
      <c r="L12" s="11"/>
      <c r="M12" s="11"/>
      <c r="N12" s="11"/>
      <c r="O12" s="11"/>
      <c r="P12" s="11"/>
      <c r="Q12" s="11"/>
      <c r="R12" s="11"/>
      <c r="S12" s="11"/>
      <c r="T12" s="11"/>
      <c r="U12" s="12"/>
      <c r="Y12" s="7" t="s">
        <v>22</v>
      </c>
      <c r="Z12" s="10"/>
      <c r="AA12" s="11"/>
      <c r="AB12" s="11"/>
      <c r="AC12" s="11"/>
      <c r="AD12" s="11"/>
      <c r="AE12" s="12"/>
      <c r="AH12" s="7" t="s">
        <v>22</v>
      </c>
      <c r="AI12" s="10"/>
      <c r="AJ12" s="11"/>
      <c r="AK12" s="11"/>
      <c r="AL12" s="11"/>
      <c r="AM12" s="11"/>
      <c r="AN12" s="12"/>
    </row>
    <row r="13" spans="1:40" x14ac:dyDescent="0.25">
      <c r="J13" s="8"/>
      <c r="T13" s="8" t="s">
        <v>23</v>
      </c>
      <c r="U13" s="13">
        <f>SUM(K12:U12)</f>
        <v>0</v>
      </c>
      <c r="AD13" s="8" t="s">
        <v>23</v>
      </c>
      <c r="AE13" s="13">
        <f>SUM(Z12:AE12)</f>
        <v>0</v>
      </c>
      <c r="AM13" s="8" t="s">
        <v>23</v>
      </c>
      <c r="AN13" s="13">
        <f>SUM(AI12:AN12)</f>
        <v>0</v>
      </c>
    </row>
    <row r="14" spans="1:40" ht="15.75" thickBot="1" x14ac:dyDescent="0.3">
      <c r="A14" s="19"/>
      <c r="B14" s="97" t="s">
        <v>13</v>
      </c>
      <c r="C14" s="97"/>
      <c r="D14" s="97"/>
      <c r="E14" s="97"/>
      <c r="F14" s="97"/>
      <c r="G14" s="97"/>
      <c r="H14" s="97"/>
      <c r="J14" s="98" t="s">
        <v>13</v>
      </c>
      <c r="K14" s="98"/>
      <c r="L14" s="98"/>
      <c r="M14" s="98"/>
      <c r="N14" s="98"/>
      <c r="O14" s="98"/>
      <c r="P14" s="98"/>
      <c r="Q14" s="98"/>
      <c r="R14" s="98"/>
      <c r="S14" s="98"/>
      <c r="T14" s="98"/>
      <c r="U14" s="98"/>
      <c r="Y14" s="95" t="str">
        <f>J14</f>
        <v>Março</v>
      </c>
      <c r="Z14" s="95"/>
      <c r="AA14" s="95"/>
      <c r="AB14" s="95"/>
      <c r="AC14" s="95"/>
      <c r="AD14" s="95"/>
      <c r="AE14" s="95"/>
      <c r="AH14" s="96" t="str">
        <f>Y14</f>
        <v>Março</v>
      </c>
      <c r="AI14" s="96"/>
      <c r="AJ14" s="96"/>
      <c r="AK14" s="96"/>
      <c r="AL14" s="96"/>
      <c r="AM14" s="96"/>
      <c r="AN14" s="96"/>
    </row>
    <row r="15" spans="1:40" ht="15.75" thickBot="1" x14ac:dyDescent="0.3">
      <c r="A15" s="99" t="s">
        <v>5</v>
      </c>
      <c r="B15" s="34" t="s">
        <v>6</v>
      </c>
      <c r="C15" s="22" t="s">
        <v>7</v>
      </c>
      <c r="D15" s="33" t="s">
        <v>8</v>
      </c>
      <c r="E15" s="22" t="s">
        <v>9</v>
      </c>
      <c r="F15" s="24" t="s">
        <v>10</v>
      </c>
      <c r="G15" s="23" t="s">
        <v>11</v>
      </c>
      <c r="H15" s="25" t="s">
        <v>12</v>
      </c>
      <c r="J15" s="6" t="s">
        <v>4</v>
      </c>
      <c r="K15" s="9"/>
      <c r="L15" s="4"/>
      <c r="M15" s="4"/>
      <c r="N15" s="4"/>
      <c r="O15" s="4"/>
      <c r="P15" s="4"/>
      <c r="Q15" s="4"/>
      <c r="R15" s="4"/>
      <c r="S15" s="4"/>
      <c r="T15" s="4"/>
      <c r="U15" s="5"/>
      <c r="Y15" s="6" t="s">
        <v>4</v>
      </c>
      <c r="Z15" s="9"/>
      <c r="AA15" s="4"/>
      <c r="AB15" s="4"/>
      <c r="AC15" s="4"/>
      <c r="AD15" s="4"/>
      <c r="AE15" s="5"/>
      <c r="AH15" s="6" t="s">
        <v>4</v>
      </c>
      <c r="AI15" s="9"/>
      <c r="AJ15" s="4"/>
      <c r="AK15" s="4"/>
      <c r="AL15" s="4"/>
      <c r="AM15" s="4"/>
      <c r="AN15" s="5"/>
    </row>
    <row r="16" spans="1:40" ht="15.75" thickBot="1" x14ac:dyDescent="0.3">
      <c r="A16" s="99"/>
      <c r="B16" s="26"/>
      <c r="C16" s="27"/>
      <c r="D16" s="27"/>
      <c r="E16" s="27"/>
      <c r="F16" s="27">
        <f>SUM(C16-B16)</f>
        <v>0</v>
      </c>
      <c r="G16" s="20">
        <f>SUM(E16-D16)</f>
        <v>0</v>
      </c>
      <c r="H16" s="21">
        <f>SUM(F16:G16)</f>
        <v>0</v>
      </c>
      <c r="J16" s="7" t="s">
        <v>22</v>
      </c>
      <c r="K16" s="10"/>
      <c r="L16" s="11"/>
      <c r="M16" s="11"/>
      <c r="N16" s="11"/>
      <c r="O16" s="11"/>
      <c r="P16" s="11"/>
      <c r="Q16" s="11"/>
      <c r="R16" s="11"/>
      <c r="S16" s="11"/>
      <c r="T16" s="11"/>
      <c r="U16" s="12"/>
      <c r="Y16" s="7" t="s">
        <v>22</v>
      </c>
      <c r="Z16" s="10"/>
      <c r="AA16" s="11"/>
      <c r="AB16" s="11"/>
      <c r="AC16" s="11"/>
      <c r="AD16" s="11"/>
      <c r="AE16" s="12"/>
      <c r="AH16" s="7" t="s">
        <v>22</v>
      </c>
      <c r="AI16" s="10"/>
      <c r="AJ16" s="11"/>
      <c r="AK16" s="11"/>
      <c r="AL16" s="11"/>
      <c r="AM16" s="11"/>
      <c r="AN16" s="12"/>
    </row>
    <row r="17" spans="1:40" x14ac:dyDescent="0.25">
      <c r="J17" s="8"/>
      <c r="T17" s="8" t="s">
        <v>23</v>
      </c>
      <c r="U17" s="13">
        <f>SUM(K16:U16)</f>
        <v>0</v>
      </c>
      <c r="AD17" s="8" t="s">
        <v>23</v>
      </c>
      <c r="AE17" s="13">
        <f>SUM(Z16:AE16)</f>
        <v>0</v>
      </c>
      <c r="AM17" s="8" t="s">
        <v>23</v>
      </c>
      <c r="AN17" s="13">
        <f>SUM(AI16:AN16)</f>
        <v>0</v>
      </c>
    </row>
    <row r="18" spans="1:40" ht="15.75" thickBot="1" x14ac:dyDescent="0.3">
      <c r="A18" s="19"/>
      <c r="B18" s="97" t="s">
        <v>14</v>
      </c>
      <c r="C18" s="97"/>
      <c r="D18" s="97"/>
      <c r="E18" s="97"/>
      <c r="F18" s="97"/>
      <c r="G18" s="97"/>
      <c r="H18" s="97"/>
      <c r="J18" s="98" t="s">
        <v>14</v>
      </c>
      <c r="K18" s="98"/>
      <c r="L18" s="98"/>
      <c r="M18" s="98"/>
      <c r="N18" s="98"/>
      <c r="O18" s="98"/>
      <c r="P18" s="98"/>
      <c r="Q18" s="98"/>
      <c r="R18" s="98"/>
      <c r="S18" s="98"/>
      <c r="T18" s="98"/>
      <c r="U18" s="98"/>
      <c r="Y18" s="95" t="str">
        <f>J18</f>
        <v>Abril</v>
      </c>
      <c r="Z18" s="95"/>
      <c r="AA18" s="95"/>
      <c r="AB18" s="95"/>
      <c r="AC18" s="95"/>
      <c r="AD18" s="95"/>
      <c r="AE18" s="95"/>
      <c r="AH18" s="96" t="str">
        <f>Y18</f>
        <v>Abril</v>
      </c>
      <c r="AI18" s="96"/>
      <c r="AJ18" s="96"/>
      <c r="AK18" s="96"/>
      <c r="AL18" s="96"/>
      <c r="AM18" s="96"/>
      <c r="AN18" s="96"/>
    </row>
    <row r="19" spans="1:40" ht="15.75" thickBot="1" x14ac:dyDescent="0.3">
      <c r="A19" s="99" t="s">
        <v>5</v>
      </c>
      <c r="B19" s="34" t="s">
        <v>6</v>
      </c>
      <c r="C19" s="22" t="s">
        <v>7</v>
      </c>
      <c r="D19" s="33" t="s">
        <v>8</v>
      </c>
      <c r="E19" s="22" t="s">
        <v>9</v>
      </c>
      <c r="F19" s="24" t="s">
        <v>10</v>
      </c>
      <c r="G19" s="23" t="s">
        <v>11</v>
      </c>
      <c r="H19" s="25" t="s">
        <v>12</v>
      </c>
      <c r="J19" s="6" t="s">
        <v>4</v>
      </c>
      <c r="K19" s="9"/>
      <c r="L19" s="4"/>
      <c r="M19" s="4"/>
      <c r="N19" s="4"/>
      <c r="O19" s="4"/>
      <c r="P19" s="4"/>
      <c r="Q19" s="4"/>
      <c r="R19" s="4"/>
      <c r="S19" s="4"/>
      <c r="T19" s="4"/>
      <c r="U19" s="5"/>
      <c r="Y19" s="6" t="s">
        <v>4</v>
      </c>
      <c r="Z19" s="9"/>
      <c r="AA19" s="4"/>
      <c r="AB19" s="4"/>
      <c r="AC19" s="4"/>
      <c r="AD19" s="4"/>
      <c r="AE19" s="5"/>
      <c r="AH19" s="6" t="s">
        <v>4</v>
      </c>
      <c r="AI19" s="9"/>
      <c r="AJ19" s="4"/>
      <c r="AK19" s="4"/>
      <c r="AL19" s="4"/>
      <c r="AM19" s="4"/>
      <c r="AN19" s="5"/>
    </row>
    <row r="20" spans="1:40" ht="15.75" thickBot="1" x14ac:dyDescent="0.3">
      <c r="A20" s="99"/>
      <c r="B20" s="26"/>
      <c r="C20" s="27"/>
      <c r="D20" s="27"/>
      <c r="E20" s="27"/>
      <c r="F20" s="27">
        <f>SUM(C20-B20)</f>
        <v>0</v>
      </c>
      <c r="G20" s="20">
        <f>SUM(E20-D20)</f>
        <v>0</v>
      </c>
      <c r="H20" s="21">
        <f>SUM(F20:G20)</f>
        <v>0</v>
      </c>
      <c r="J20" s="7" t="s">
        <v>22</v>
      </c>
      <c r="K20" s="30"/>
      <c r="L20" s="31"/>
      <c r="M20" s="31"/>
      <c r="N20" s="31"/>
      <c r="O20" s="31"/>
      <c r="P20" s="31"/>
      <c r="Q20" s="31"/>
      <c r="R20" s="31"/>
      <c r="S20" s="31"/>
      <c r="T20" s="31"/>
      <c r="U20" s="32"/>
      <c r="Y20" s="7" t="s">
        <v>22</v>
      </c>
      <c r="Z20" s="10"/>
      <c r="AA20" s="11"/>
      <c r="AB20" s="11"/>
      <c r="AC20" s="11"/>
      <c r="AD20" s="11"/>
      <c r="AE20" s="12"/>
      <c r="AH20" s="7" t="s">
        <v>22</v>
      </c>
      <c r="AI20" s="10"/>
      <c r="AJ20" s="11"/>
      <c r="AK20" s="11"/>
      <c r="AL20" s="11"/>
      <c r="AM20" s="11"/>
      <c r="AN20" s="12"/>
    </row>
    <row r="21" spans="1:40" x14ac:dyDescent="0.25">
      <c r="J21" s="8"/>
      <c r="T21" s="8" t="s">
        <v>23</v>
      </c>
      <c r="U21" s="13">
        <f>SUM(K20:U20)</f>
        <v>0</v>
      </c>
      <c r="AD21" s="8" t="s">
        <v>23</v>
      </c>
      <c r="AE21" s="13">
        <f>SUM(Z20:AE20)</f>
        <v>0</v>
      </c>
      <c r="AM21" s="8" t="s">
        <v>23</v>
      </c>
      <c r="AN21" s="13">
        <f>SUM(AI20:AN20)</f>
        <v>0</v>
      </c>
    </row>
    <row r="22" spans="1:40" ht="15.75" thickBot="1" x14ac:dyDescent="0.3">
      <c r="A22" s="19"/>
      <c r="B22" s="97" t="s">
        <v>15</v>
      </c>
      <c r="C22" s="97"/>
      <c r="D22" s="97"/>
      <c r="E22" s="97"/>
      <c r="F22" s="97"/>
      <c r="G22" s="97"/>
      <c r="H22" s="97"/>
      <c r="J22" s="98" t="s">
        <v>15</v>
      </c>
      <c r="K22" s="98"/>
      <c r="L22" s="98"/>
      <c r="M22" s="98"/>
      <c r="N22" s="98"/>
      <c r="O22" s="98"/>
      <c r="P22" s="98"/>
      <c r="Q22" s="98"/>
      <c r="R22" s="98"/>
      <c r="S22" s="98"/>
      <c r="T22" s="98"/>
      <c r="U22" s="98"/>
      <c r="Y22" s="95" t="str">
        <f>J22</f>
        <v>Maio</v>
      </c>
      <c r="Z22" s="95"/>
      <c r="AA22" s="95"/>
      <c r="AB22" s="95"/>
      <c r="AC22" s="95"/>
      <c r="AD22" s="95"/>
      <c r="AE22" s="95"/>
      <c r="AH22" s="96" t="str">
        <f>Y22</f>
        <v>Maio</v>
      </c>
      <c r="AI22" s="96"/>
      <c r="AJ22" s="96"/>
      <c r="AK22" s="96"/>
      <c r="AL22" s="96"/>
      <c r="AM22" s="96"/>
      <c r="AN22" s="96"/>
    </row>
    <row r="23" spans="1:40" ht="15.75" thickBot="1" x14ac:dyDescent="0.3">
      <c r="A23" s="99"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Y23" s="6" t="s">
        <v>4</v>
      </c>
      <c r="Z23" s="9"/>
      <c r="AA23" s="4"/>
      <c r="AB23" s="4"/>
      <c r="AC23" s="4"/>
      <c r="AD23" s="4"/>
      <c r="AE23" s="5"/>
      <c r="AH23" s="6" t="s">
        <v>4</v>
      </c>
      <c r="AI23" s="9"/>
      <c r="AJ23" s="4"/>
      <c r="AK23" s="4"/>
      <c r="AL23" s="4"/>
      <c r="AM23" s="4"/>
      <c r="AN23" s="5"/>
    </row>
    <row r="24" spans="1:40" ht="15.75" thickBot="1" x14ac:dyDescent="0.3">
      <c r="A24" s="99"/>
      <c r="B24" s="26"/>
      <c r="C24" s="27"/>
      <c r="D24" s="27"/>
      <c r="E24" s="27"/>
      <c r="F24" s="27">
        <f>SUM(C24-B24)</f>
        <v>0</v>
      </c>
      <c r="G24" s="20">
        <f>SUM(E24-D24)</f>
        <v>0</v>
      </c>
      <c r="H24" s="21">
        <f>SUM(F24:G24)</f>
        <v>0</v>
      </c>
      <c r="J24" s="7" t="s">
        <v>22</v>
      </c>
      <c r="K24" s="10"/>
      <c r="L24" s="11"/>
      <c r="M24" s="11"/>
      <c r="N24" s="11"/>
      <c r="O24" s="11"/>
      <c r="P24" s="11"/>
      <c r="Q24" s="11"/>
      <c r="R24" s="11"/>
      <c r="S24" s="11"/>
      <c r="T24" s="11"/>
      <c r="U24" s="12"/>
      <c r="Y24" s="7" t="s">
        <v>22</v>
      </c>
      <c r="Z24" s="10"/>
      <c r="AA24" s="11"/>
      <c r="AB24" s="11"/>
      <c r="AC24" s="11"/>
      <c r="AD24" s="11"/>
      <c r="AE24" s="12"/>
      <c r="AH24" s="7" t="s">
        <v>22</v>
      </c>
      <c r="AI24" s="10"/>
      <c r="AJ24" s="11"/>
      <c r="AK24" s="11"/>
      <c r="AL24" s="11"/>
      <c r="AM24" s="11"/>
      <c r="AN24" s="12"/>
    </row>
    <row r="25" spans="1:40" x14ac:dyDescent="0.25">
      <c r="J25" s="8"/>
      <c r="T25" s="8" t="s">
        <v>23</v>
      </c>
      <c r="U25" s="13">
        <f>SUM(K24:U24)</f>
        <v>0</v>
      </c>
      <c r="AD25" s="8" t="s">
        <v>23</v>
      </c>
      <c r="AE25" s="13">
        <f>SUM(Z24:AE24)</f>
        <v>0</v>
      </c>
      <c r="AM25" s="8" t="s">
        <v>23</v>
      </c>
      <c r="AN25" s="13">
        <f>SUM(AI24:AN24)</f>
        <v>0</v>
      </c>
    </row>
    <row r="26" spans="1:40" ht="15.75" thickBot="1" x14ac:dyDescent="0.3">
      <c r="A26" s="19"/>
      <c r="B26" s="97" t="s">
        <v>24</v>
      </c>
      <c r="C26" s="97"/>
      <c r="D26" s="97"/>
      <c r="E26" s="97"/>
      <c r="F26" s="97"/>
      <c r="G26" s="97"/>
      <c r="H26" s="97"/>
      <c r="J26" s="98" t="s">
        <v>24</v>
      </c>
      <c r="K26" s="98"/>
      <c r="L26" s="98"/>
      <c r="M26" s="98"/>
      <c r="N26" s="98"/>
      <c r="O26" s="98"/>
      <c r="P26" s="98"/>
      <c r="Q26" s="98"/>
      <c r="R26" s="98"/>
      <c r="S26" s="98"/>
      <c r="T26" s="98"/>
      <c r="U26" s="98"/>
      <c r="Y26" s="95" t="str">
        <f>J26</f>
        <v>Junho</v>
      </c>
      <c r="Z26" s="95"/>
      <c r="AA26" s="95"/>
      <c r="AB26" s="95"/>
      <c r="AC26" s="95"/>
      <c r="AD26" s="95"/>
      <c r="AE26" s="95"/>
      <c r="AH26" s="96" t="str">
        <f>Y26</f>
        <v>Junho</v>
      </c>
      <c r="AI26" s="96"/>
      <c r="AJ26" s="96"/>
      <c r="AK26" s="96"/>
      <c r="AL26" s="96"/>
      <c r="AM26" s="96"/>
      <c r="AN26" s="96"/>
    </row>
    <row r="27" spans="1:40" ht="15.75" thickBot="1" x14ac:dyDescent="0.3">
      <c r="A27" s="99"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Y27" s="6" t="s">
        <v>4</v>
      </c>
      <c r="Z27" s="9"/>
      <c r="AA27" s="4"/>
      <c r="AB27" s="4"/>
      <c r="AC27" s="4"/>
      <c r="AD27" s="4"/>
      <c r="AE27" s="5"/>
      <c r="AH27" s="6" t="s">
        <v>4</v>
      </c>
      <c r="AI27" s="9"/>
      <c r="AJ27" s="4"/>
      <c r="AK27" s="4"/>
      <c r="AL27" s="4"/>
      <c r="AM27" s="4"/>
      <c r="AN27" s="5"/>
    </row>
    <row r="28" spans="1:40" ht="15.75" thickBot="1" x14ac:dyDescent="0.3">
      <c r="A28" s="99"/>
      <c r="B28" s="26"/>
      <c r="C28" s="27"/>
      <c r="D28" s="27"/>
      <c r="E28" s="27"/>
      <c r="F28" s="27">
        <f>SUM(C28-B28)</f>
        <v>0</v>
      </c>
      <c r="G28" s="20">
        <f>SUM(E28-D28)</f>
        <v>0</v>
      </c>
      <c r="H28" s="21">
        <f>SUM(F28:G28)</f>
        <v>0</v>
      </c>
      <c r="J28" s="7" t="s">
        <v>22</v>
      </c>
      <c r="K28" s="10"/>
      <c r="L28" s="11"/>
      <c r="M28" s="11"/>
      <c r="N28" s="11"/>
      <c r="O28" s="11"/>
      <c r="P28" s="11"/>
      <c r="Q28" s="11"/>
      <c r="R28" s="11"/>
      <c r="S28" s="11"/>
      <c r="T28" s="11"/>
      <c r="U28" s="12"/>
      <c r="Y28" s="7" t="s">
        <v>22</v>
      </c>
      <c r="Z28" s="10"/>
      <c r="AA28" s="11"/>
      <c r="AB28" s="11"/>
      <c r="AC28" s="11"/>
      <c r="AD28" s="11"/>
      <c r="AE28" s="12"/>
      <c r="AH28" s="7" t="s">
        <v>22</v>
      </c>
      <c r="AI28" s="10"/>
      <c r="AJ28" s="11"/>
      <c r="AK28" s="11"/>
      <c r="AL28" s="11"/>
      <c r="AM28" s="11"/>
      <c r="AN28" s="12"/>
    </row>
    <row r="29" spans="1:40" x14ac:dyDescent="0.25">
      <c r="J29" s="8"/>
      <c r="T29" s="8" t="s">
        <v>23</v>
      </c>
      <c r="U29" s="13">
        <f>SUM(K28:U28)</f>
        <v>0</v>
      </c>
      <c r="AD29" s="8" t="s">
        <v>23</v>
      </c>
      <c r="AE29" s="13">
        <f>SUM(Z28:AE28)</f>
        <v>0</v>
      </c>
      <c r="AM29" s="8" t="s">
        <v>23</v>
      </c>
      <c r="AN29" s="13">
        <f>SUM(AI28:AN28)</f>
        <v>0</v>
      </c>
    </row>
    <row r="30" spans="1:40" ht="15.75" thickBot="1" x14ac:dyDescent="0.3">
      <c r="A30" s="19"/>
      <c r="B30" s="97" t="s">
        <v>16</v>
      </c>
      <c r="C30" s="97"/>
      <c r="D30" s="97"/>
      <c r="E30" s="97"/>
      <c r="F30" s="97"/>
      <c r="G30" s="97"/>
      <c r="H30" s="97"/>
      <c r="J30" s="98" t="s">
        <v>16</v>
      </c>
      <c r="K30" s="98"/>
      <c r="L30" s="98"/>
      <c r="M30" s="98"/>
      <c r="N30" s="98"/>
      <c r="O30" s="98"/>
      <c r="P30" s="98"/>
      <c r="Q30" s="98"/>
      <c r="R30" s="98"/>
      <c r="S30" s="98"/>
      <c r="T30" s="98"/>
      <c r="U30" s="98"/>
      <c r="Y30" s="95" t="str">
        <f>J30</f>
        <v>Julho</v>
      </c>
      <c r="Z30" s="95"/>
      <c r="AA30" s="95"/>
      <c r="AB30" s="95"/>
      <c r="AC30" s="95"/>
      <c r="AD30" s="95"/>
      <c r="AE30" s="95"/>
      <c r="AH30" s="96" t="str">
        <f>Y30</f>
        <v>Julho</v>
      </c>
      <c r="AI30" s="96"/>
      <c r="AJ30" s="96"/>
      <c r="AK30" s="96"/>
      <c r="AL30" s="96"/>
      <c r="AM30" s="96"/>
      <c r="AN30" s="96"/>
    </row>
    <row r="31" spans="1:40" ht="15.75" thickBot="1" x14ac:dyDescent="0.3">
      <c r="A31" s="99"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Y31" s="6" t="s">
        <v>4</v>
      </c>
      <c r="Z31" s="9"/>
      <c r="AA31" s="4"/>
      <c r="AB31" s="4"/>
      <c r="AC31" s="4"/>
      <c r="AD31" s="4"/>
      <c r="AE31" s="5"/>
      <c r="AH31" s="6" t="s">
        <v>4</v>
      </c>
      <c r="AI31" s="9"/>
      <c r="AJ31" s="4"/>
      <c r="AK31" s="4"/>
      <c r="AL31" s="4"/>
      <c r="AM31" s="4"/>
      <c r="AN31" s="5"/>
    </row>
    <row r="32" spans="1:40" ht="15.75" thickBot="1" x14ac:dyDescent="0.3">
      <c r="A32" s="99"/>
      <c r="B32" s="26"/>
      <c r="C32" s="27"/>
      <c r="D32" s="27"/>
      <c r="E32" s="27"/>
      <c r="F32" s="27">
        <f>SUM(C32-B32)</f>
        <v>0</v>
      </c>
      <c r="G32" s="20">
        <f>SUM(E32-D32)</f>
        <v>0</v>
      </c>
      <c r="H32" s="21">
        <f>SUM(F32:G32)</f>
        <v>0</v>
      </c>
      <c r="J32" s="7" t="s">
        <v>22</v>
      </c>
      <c r="K32" s="10"/>
      <c r="L32" s="11"/>
      <c r="M32" s="11"/>
      <c r="N32" s="11"/>
      <c r="O32" s="11"/>
      <c r="P32" s="11"/>
      <c r="Q32" s="11"/>
      <c r="R32" s="11"/>
      <c r="S32" s="11"/>
      <c r="T32" s="11"/>
      <c r="U32" s="12"/>
      <c r="Y32" s="7" t="s">
        <v>22</v>
      </c>
      <c r="Z32" s="10"/>
      <c r="AA32" s="11"/>
      <c r="AB32" s="11"/>
      <c r="AC32" s="11"/>
      <c r="AD32" s="11"/>
      <c r="AE32" s="12"/>
      <c r="AH32" s="7" t="s">
        <v>22</v>
      </c>
      <c r="AI32" s="10"/>
      <c r="AJ32" s="11"/>
      <c r="AK32" s="11"/>
      <c r="AL32" s="11"/>
      <c r="AM32" s="11"/>
      <c r="AN32" s="12"/>
    </row>
    <row r="33" spans="1:40" x14ac:dyDescent="0.25">
      <c r="J33" s="8"/>
      <c r="T33" s="8" t="s">
        <v>23</v>
      </c>
      <c r="U33" s="13">
        <f>SUM(K32:U32)</f>
        <v>0</v>
      </c>
      <c r="AD33" s="8" t="s">
        <v>23</v>
      </c>
      <c r="AE33" s="13">
        <f>SUM(Z32:AE32)</f>
        <v>0</v>
      </c>
      <c r="AM33" s="8" t="s">
        <v>23</v>
      </c>
      <c r="AN33" s="13">
        <f>SUM(AI32:AN32)</f>
        <v>0</v>
      </c>
    </row>
    <row r="34" spans="1:40" ht="15.75" thickBot="1" x14ac:dyDescent="0.3">
      <c r="A34" s="19"/>
      <c r="B34" s="97" t="s">
        <v>17</v>
      </c>
      <c r="C34" s="97"/>
      <c r="D34" s="97"/>
      <c r="E34" s="97"/>
      <c r="F34" s="97"/>
      <c r="G34" s="97"/>
      <c r="H34" s="97"/>
      <c r="J34" s="98" t="s">
        <v>17</v>
      </c>
      <c r="K34" s="98"/>
      <c r="L34" s="98"/>
      <c r="M34" s="98"/>
      <c r="N34" s="98"/>
      <c r="O34" s="98"/>
      <c r="P34" s="98"/>
      <c r="Q34" s="98"/>
      <c r="R34" s="98"/>
      <c r="S34" s="98"/>
      <c r="T34" s="98"/>
      <c r="U34" s="98"/>
      <c r="Y34" s="95" t="str">
        <f>J34</f>
        <v>Agosto</v>
      </c>
      <c r="Z34" s="95"/>
      <c r="AA34" s="95"/>
      <c r="AB34" s="95"/>
      <c r="AC34" s="95"/>
      <c r="AD34" s="95"/>
      <c r="AE34" s="95"/>
      <c r="AH34" s="96" t="str">
        <f>Y34</f>
        <v>Agosto</v>
      </c>
      <c r="AI34" s="96"/>
      <c r="AJ34" s="96"/>
      <c r="AK34" s="96"/>
      <c r="AL34" s="96"/>
      <c r="AM34" s="96"/>
      <c r="AN34" s="96"/>
    </row>
    <row r="35" spans="1:40" ht="15.75" thickBot="1" x14ac:dyDescent="0.3">
      <c r="A35" s="99"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Y35" s="6" t="s">
        <v>4</v>
      </c>
      <c r="Z35" s="9"/>
      <c r="AA35" s="4"/>
      <c r="AB35" s="4"/>
      <c r="AC35" s="4"/>
      <c r="AD35" s="4"/>
      <c r="AE35" s="5"/>
      <c r="AH35" s="6" t="s">
        <v>4</v>
      </c>
      <c r="AI35" s="9"/>
      <c r="AJ35" s="4"/>
      <c r="AK35" s="4"/>
      <c r="AL35" s="4"/>
      <c r="AM35" s="4"/>
      <c r="AN35" s="5"/>
    </row>
    <row r="36" spans="1:40" ht="15.75" thickBot="1" x14ac:dyDescent="0.3">
      <c r="A36" s="99"/>
      <c r="B36" s="26"/>
      <c r="C36" s="27"/>
      <c r="D36" s="27"/>
      <c r="E36" s="27"/>
      <c r="F36" s="27">
        <f>SUM(C36-B36)</f>
        <v>0</v>
      </c>
      <c r="G36" s="20">
        <f>SUM(E36-D36)</f>
        <v>0</v>
      </c>
      <c r="H36" s="21">
        <f>SUM(F36:G36)</f>
        <v>0</v>
      </c>
      <c r="J36" s="7" t="s">
        <v>22</v>
      </c>
      <c r="K36" s="10"/>
      <c r="L36" s="11"/>
      <c r="M36" s="11"/>
      <c r="N36" s="11"/>
      <c r="O36" s="11"/>
      <c r="P36" s="11"/>
      <c r="Q36" s="11"/>
      <c r="R36" s="11"/>
      <c r="S36" s="11"/>
      <c r="T36" s="11"/>
      <c r="U36" s="12"/>
      <c r="Y36" s="7" t="s">
        <v>22</v>
      </c>
      <c r="Z36" s="10"/>
      <c r="AA36" s="11"/>
      <c r="AB36" s="11"/>
      <c r="AC36" s="11"/>
      <c r="AD36" s="11"/>
      <c r="AE36" s="12"/>
      <c r="AH36" s="7" t="s">
        <v>22</v>
      </c>
      <c r="AI36" s="10"/>
      <c r="AJ36" s="11"/>
      <c r="AK36" s="11"/>
      <c r="AL36" s="11"/>
      <c r="AM36" s="11"/>
      <c r="AN36" s="12"/>
    </row>
    <row r="37" spans="1:40" x14ac:dyDescent="0.25">
      <c r="J37" s="8"/>
      <c r="T37" s="8" t="s">
        <v>23</v>
      </c>
      <c r="U37" s="13">
        <f>SUM(K36:U36)</f>
        <v>0</v>
      </c>
      <c r="AD37" s="8" t="s">
        <v>23</v>
      </c>
      <c r="AE37" s="13">
        <f>SUM(Z36:AE36)</f>
        <v>0</v>
      </c>
      <c r="AM37" s="8" t="s">
        <v>23</v>
      </c>
      <c r="AN37" s="13">
        <f>SUM(AI36:AN36)</f>
        <v>0</v>
      </c>
    </row>
    <row r="38" spans="1:40" ht="15.75" thickBot="1" x14ac:dyDescent="0.3">
      <c r="A38" s="19"/>
      <c r="B38" s="97" t="s">
        <v>18</v>
      </c>
      <c r="C38" s="97"/>
      <c r="D38" s="97"/>
      <c r="E38" s="97"/>
      <c r="F38" s="97"/>
      <c r="G38" s="97"/>
      <c r="H38" s="97"/>
      <c r="J38" s="98" t="s">
        <v>18</v>
      </c>
      <c r="K38" s="98"/>
      <c r="L38" s="98"/>
      <c r="M38" s="98"/>
      <c r="N38" s="98"/>
      <c r="O38" s="98"/>
      <c r="P38" s="98"/>
      <c r="Q38" s="98"/>
      <c r="R38" s="98"/>
      <c r="S38" s="98"/>
      <c r="T38" s="98"/>
      <c r="U38" s="98"/>
      <c r="Y38" s="95" t="str">
        <f>J38</f>
        <v>Setembro</v>
      </c>
      <c r="Z38" s="95"/>
      <c r="AA38" s="95"/>
      <c r="AB38" s="95"/>
      <c r="AC38" s="95"/>
      <c r="AD38" s="95"/>
      <c r="AE38" s="95"/>
      <c r="AH38" s="96" t="str">
        <f>Y38</f>
        <v>Setembro</v>
      </c>
      <c r="AI38" s="96"/>
      <c r="AJ38" s="96"/>
      <c r="AK38" s="96"/>
      <c r="AL38" s="96"/>
      <c r="AM38" s="96"/>
      <c r="AN38" s="96"/>
    </row>
    <row r="39" spans="1:40" ht="15.75" thickBot="1" x14ac:dyDescent="0.3">
      <c r="A39" s="99" t="s">
        <v>5</v>
      </c>
      <c r="B39" s="34" t="s">
        <v>6</v>
      </c>
      <c r="C39" s="22" t="s">
        <v>7</v>
      </c>
      <c r="D39" s="33" t="s">
        <v>8</v>
      </c>
      <c r="E39" s="22" t="s">
        <v>9</v>
      </c>
      <c r="F39" s="24" t="s">
        <v>10</v>
      </c>
      <c r="G39" s="23" t="s">
        <v>11</v>
      </c>
      <c r="H39" s="25" t="s">
        <v>12</v>
      </c>
      <c r="J39" s="6" t="s">
        <v>4</v>
      </c>
      <c r="K39" s="9">
        <v>45560</v>
      </c>
      <c r="L39" s="66">
        <v>45594</v>
      </c>
      <c r="M39" s="4"/>
      <c r="N39" s="4"/>
      <c r="O39" s="4"/>
      <c r="P39" s="4"/>
      <c r="Q39" s="4"/>
      <c r="R39" s="4"/>
      <c r="S39" s="4"/>
      <c r="T39" s="4"/>
      <c r="U39" s="5"/>
      <c r="Y39" s="6" t="s">
        <v>4</v>
      </c>
      <c r="Z39" s="9">
        <v>45548</v>
      </c>
      <c r="AA39" s="4"/>
      <c r="AB39" s="4"/>
      <c r="AC39" s="4"/>
      <c r="AD39" s="4"/>
      <c r="AE39" s="5"/>
      <c r="AH39" s="6" t="s">
        <v>4</v>
      </c>
      <c r="AI39" s="9"/>
      <c r="AJ39" s="4"/>
      <c r="AK39" s="4"/>
      <c r="AL39" s="4"/>
      <c r="AM39" s="4"/>
      <c r="AN39" s="5"/>
    </row>
    <row r="40" spans="1:40" ht="15.75" thickBot="1" x14ac:dyDescent="0.3">
      <c r="A40" s="99"/>
      <c r="B40" s="26">
        <v>2900</v>
      </c>
      <c r="C40" s="27"/>
      <c r="D40" s="27"/>
      <c r="E40" s="27">
        <v>5740</v>
      </c>
      <c r="F40" s="27">
        <f>SUM(C40-B40)</f>
        <v>-2900</v>
      </c>
      <c r="G40" s="20">
        <f>SUM(E40-D40)</f>
        <v>5740</v>
      </c>
      <c r="H40" s="21">
        <f>SUM(F40:G40)</f>
        <v>2840</v>
      </c>
      <c r="J40" s="7" t="s">
        <v>22</v>
      </c>
      <c r="K40" s="10">
        <v>177.93</v>
      </c>
      <c r="L40" s="11">
        <v>217.61</v>
      </c>
      <c r="M40" s="11"/>
      <c r="N40" s="11"/>
      <c r="O40" s="11"/>
      <c r="P40" s="11"/>
      <c r="Q40" s="11"/>
      <c r="R40" s="11"/>
      <c r="S40" s="11"/>
      <c r="T40" s="11"/>
      <c r="U40" s="12"/>
      <c r="Y40" s="7" t="s">
        <v>22</v>
      </c>
      <c r="Z40" s="10">
        <v>50</v>
      </c>
      <c r="AA40" s="11"/>
      <c r="AB40" s="11"/>
      <c r="AC40" s="11"/>
      <c r="AD40" s="11"/>
      <c r="AE40" s="12"/>
      <c r="AH40" s="7" t="s">
        <v>22</v>
      </c>
      <c r="AI40" s="10"/>
      <c r="AJ40" s="11"/>
      <c r="AK40" s="11"/>
      <c r="AL40" s="11"/>
      <c r="AM40" s="11"/>
      <c r="AN40" s="12"/>
    </row>
    <row r="41" spans="1:40" x14ac:dyDescent="0.25">
      <c r="J41" s="8"/>
      <c r="T41" s="8" t="s">
        <v>23</v>
      </c>
      <c r="U41" s="13">
        <f>SUM(K40:U40)</f>
        <v>395.54</v>
      </c>
      <c r="AD41" s="8" t="s">
        <v>23</v>
      </c>
      <c r="AE41" s="13">
        <f>SUM(Z40:AE40)</f>
        <v>50</v>
      </c>
      <c r="AM41" s="8" t="s">
        <v>23</v>
      </c>
      <c r="AN41" s="13">
        <f>SUM(AI40:AN40)</f>
        <v>0</v>
      </c>
    </row>
    <row r="42" spans="1:40" ht="15.75" thickBot="1" x14ac:dyDescent="0.3">
      <c r="A42" s="19"/>
      <c r="B42" s="97" t="s">
        <v>19</v>
      </c>
      <c r="C42" s="97"/>
      <c r="D42" s="97"/>
      <c r="E42" s="97"/>
      <c r="F42" s="97"/>
      <c r="G42" s="97"/>
      <c r="H42" s="97"/>
      <c r="J42" s="98" t="s">
        <v>19</v>
      </c>
      <c r="K42" s="98"/>
      <c r="L42" s="98"/>
      <c r="M42" s="98"/>
      <c r="N42" s="98"/>
      <c r="O42" s="98"/>
      <c r="P42" s="98"/>
      <c r="Q42" s="98"/>
      <c r="R42" s="98"/>
      <c r="S42" s="98"/>
      <c r="T42" s="98"/>
      <c r="U42" s="98"/>
      <c r="Y42" s="95" t="str">
        <f>J42</f>
        <v>Outubro</v>
      </c>
      <c r="Z42" s="95"/>
      <c r="AA42" s="95"/>
      <c r="AB42" s="95"/>
      <c r="AC42" s="95"/>
      <c r="AD42" s="95"/>
      <c r="AE42" s="95"/>
      <c r="AH42" s="96" t="str">
        <f>Y42</f>
        <v>Outubro</v>
      </c>
      <c r="AI42" s="96"/>
      <c r="AJ42" s="96"/>
      <c r="AK42" s="96"/>
      <c r="AL42" s="96"/>
      <c r="AM42" s="96"/>
      <c r="AN42" s="96"/>
    </row>
    <row r="43" spans="1:40" ht="15.75" thickBot="1" x14ac:dyDescent="0.3">
      <c r="A43" s="99" t="s">
        <v>5</v>
      </c>
      <c r="B43" s="34" t="s">
        <v>6</v>
      </c>
      <c r="C43" s="22" t="s">
        <v>7</v>
      </c>
      <c r="D43" s="33" t="s">
        <v>8</v>
      </c>
      <c r="E43" s="22" t="s">
        <v>9</v>
      </c>
      <c r="F43" s="24" t="s">
        <v>10</v>
      </c>
      <c r="G43" s="23" t="s">
        <v>11</v>
      </c>
      <c r="H43" s="25" t="s">
        <v>12</v>
      </c>
      <c r="J43" s="6" t="s">
        <v>4</v>
      </c>
      <c r="K43" s="9">
        <v>45566</v>
      </c>
      <c r="L43" s="66">
        <v>40453</v>
      </c>
      <c r="M43" s="66">
        <v>45570</v>
      </c>
      <c r="N43" s="66">
        <v>45573</v>
      </c>
      <c r="O43" s="66">
        <v>45575</v>
      </c>
      <c r="P43" s="66">
        <v>45577</v>
      </c>
      <c r="Q43" s="66">
        <v>45580</v>
      </c>
      <c r="R43" s="66">
        <v>45582</v>
      </c>
      <c r="S43" s="66">
        <v>45584</v>
      </c>
      <c r="T43" s="66">
        <v>45589</v>
      </c>
      <c r="U43" s="71">
        <v>45596</v>
      </c>
      <c r="Y43" s="6" t="s">
        <v>4</v>
      </c>
      <c r="Z43" s="9">
        <v>45568</v>
      </c>
      <c r="AA43" s="4"/>
      <c r="AB43" s="4"/>
      <c r="AC43" s="4"/>
      <c r="AD43" s="4"/>
      <c r="AE43" s="5"/>
      <c r="AH43" s="6" t="s">
        <v>4</v>
      </c>
      <c r="AI43" s="9"/>
      <c r="AJ43" s="4"/>
      <c r="AK43" s="4"/>
      <c r="AL43" s="4"/>
      <c r="AM43" s="4"/>
      <c r="AN43" s="5"/>
    </row>
    <row r="44" spans="1:40" ht="15.75" thickBot="1" x14ac:dyDescent="0.3">
      <c r="A44" s="99"/>
      <c r="B44" s="26">
        <v>5740</v>
      </c>
      <c r="C44" s="27"/>
      <c r="D44" s="27"/>
      <c r="E44" s="27">
        <v>7591</v>
      </c>
      <c r="F44" s="27">
        <f>SUM(C44-B44)</f>
        <v>-5740</v>
      </c>
      <c r="G44" s="20">
        <f>SUM(E44-D44)</f>
        <v>7591</v>
      </c>
      <c r="H44" s="21">
        <f>SUM(F44:G44)</f>
        <v>1851</v>
      </c>
      <c r="J44" s="7" t="s">
        <v>22</v>
      </c>
      <c r="K44" s="10">
        <v>239.6</v>
      </c>
      <c r="L44" s="11">
        <v>218.89</v>
      </c>
      <c r="M44" s="11">
        <v>127.01</v>
      </c>
      <c r="N44" s="11">
        <v>223.83</v>
      </c>
      <c r="O44" s="11">
        <v>113.47</v>
      </c>
      <c r="P44" s="11">
        <v>122.04</v>
      </c>
      <c r="Q44" s="11">
        <v>223.89</v>
      </c>
      <c r="R44" s="11">
        <v>122.59</v>
      </c>
      <c r="S44" s="11">
        <v>116.48</v>
      </c>
      <c r="T44" s="11">
        <v>197.71</v>
      </c>
      <c r="U44" s="12">
        <v>116.19</v>
      </c>
      <c r="Y44" s="7" t="s">
        <v>22</v>
      </c>
      <c r="Z44" s="10">
        <v>50</v>
      </c>
      <c r="AA44" s="11"/>
      <c r="AB44" s="11"/>
      <c r="AC44" s="11"/>
      <c r="AD44" s="11"/>
      <c r="AE44" s="12"/>
      <c r="AH44" s="7" t="s">
        <v>22</v>
      </c>
      <c r="AI44" s="10"/>
      <c r="AJ44" s="11"/>
      <c r="AK44" s="11"/>
      <c r="AL44" s="11"/>
      <c r="AM44" s="11"/>
      <c r="AN44" s="12"/>
    </row>
    <row r="45" spans="1:40" x14ac:dyDescent="0.25">
      <c r="J45" s="8"/>
      <c r="T45" s="8" t="s">
        <v>23</v>
      </c>
      <c r="U45" s="13">
        <f>SUM(K44:U44)</f>
        <v>1821.7</v>
      </c>
      <c r="AD45" s="8" t="s">
        <v>23</v>
      </c>
      <c r="AE45" s="13">
        <f>SUM(Z44:AE44)</f>
        <v>50</v>
      </c>
      <c r="AM45" s="8" t="s">
        <v>23</v>
      </c>
      <c r="AN45" s="13">
        <f>SUM(AI44:AN44)</f>
        <v>0</v>
      </c>
    </row>
    <row r="46" spans="1:40" ht="15.75" thickBot="1" x14ac:dyDescent="0.3">
      <c r="A46" s="19"/>
      <c r="B46" s="97" t="s">
        <v>20</v>
      </c>
      <c r="C46" s="97"/>
      <c r="D46" s="97"/>
      <c r="E46" s="97"/>
      <c r="F46" s="97"/>
      <c r="G46" s="97"/>
      <c r="H46" s="97"/>
      <c r="J46" s="98" t="s">
        <v>20</v>
      </c>
      <c r="K46" s="98"/>
      <c r="L46" s="98"/>
      <c r="M46" s="98"/>
      <c r="N46" s="98"/>
      <c r="O46" s="98"/>
      <c r="P46" s="98"/>
      <c r="Q46" s="98"/>
      <c r="R46" s="98"/>
      <c r="S46" s="98"/>
      <c r="T46" s="98"/>
      <c r="U46" s="98"/>
      <c r="Y46" s="95" t="str">
        <f>J46</f>
        <v>Novembro</v>
      </c>
      <c r="Z46" s="95"/>
      <c r="AA46" s="95"/>
      <c r="AB46" s="95"/>
      <c r="AC46" s="95"/>
      <c r="AD46" s="95"/>
      <c r="AE46" s="95"/>
      <c r="AH46" s="96" t="str">
        <f>Y46</f>
        <v>Novembro</v>
      </c>
      <c r="AI46" s="96"/>
      <c r="AJ46" s="96"/>
      <c r="AK46" s="96"/>
      <c r="AL46" s="96"/>
      <c r="AM46" s="96"/>
      <c r="AN46" s="96"/>
    </row>
    <row r="47" spans="1:40" ht="15.75" thickBot="1" x14ac:dyDescent="0.3">
      <c r="A47" s="99" t="s">
        <v>5</v>
      </c>
      <c r="B47" s="34" t="s">
        <v>6</v>
      </c>
      <c r="C47" s="22" t="s">
        <v>7</v>
      </c>
      <c r="D47" s="33" t="s">
        <v>8</v>
      </c>
      <c r="E47" s="22" t="s">
        <v>9</v>
      </c>
      <c r="F47" s="24" t="s">
        <v>10</v>
      </c>
      <c r="G47" s="23" t="s">
        <v>11</v>
      </c>
      <c r="H47" s="25" t="s">
        <v>12</v>
      </c>
      <c r="J47" s="6" t="s">
        <v>4</v>
      </c>
      <c r="K47" s="9">
        <v>45601</v>
      </c>
      <c r="L47" s="4"/>
      <c r="M47" s="4"/>
      <c r="N47" s="4"/>
      <c r="O47" s="4"/>
      <c r="P47" s="4"/>
      <c r="Q47" s="4"/>
      <c r="R47" s="4"/>
      <c r="S47" s="4"/>
      <c r="T47" s="4"/>
      <c r="U47" s="5"/>
      <c r="Y47" s="6" t="s">
        <v>4</v>
      </c>
      <c r="Z47" s="9"/>
      <c r="AA47" s="4"/>
      <c r="AB47" s="4"/>
      <c r="AC47" s="4"/>
      <c r="AD47" s="4"/>
      <c r="AE47" s="5"/>
      <c r="AH47" s="6" t="s">
        <v>4</v>
      </c>
      <c r="AI47" s="9"/>
      <c r="AJ47" s="4"/>
      <c r="AK47" s="4"/>
      <c r="AL47" s="4"/>
      <c r="AM47" s="4"/>
      <c r="AN47" s="5"/>
    </row>
    <row r="48" spans="1:40" ht="15.75" thickBot="1" x14ac:dyDescent="0.3">
      <c r="A48" s="99"/>
      <c r="B48" s="27">
        <v>7591</v>
      </c>
      <c r="C48" s="27">
        <v>8600</v>
      </c>
      <c r="D48" s="27">
        <v>8600</v>
      </c>
      <c r="E48" s="27">
        <v>10241</v>
      </c>
      <c r="F48" s="27">
        <f>SUM(C48-B48)</f>
        <v>1009</v>
      </c>
      <c r="G48" s="20">
        <f>SUM(E48-D48)</f>
        <v>1641</v>
      </c>
      <c r="H48" s="21">
        <f>SUM(F48:G48)</f>
        <v>2650</v>
      </c>
      <c r="J48" s="7" t="s">
        <v>22</v>
      </c>
      <c r="K48" s="10">
        <v>230.77</v>
      </c>
      <c r="L48" s="11"/>
      <c r="M48" s="11"/>
      <c r="N48" s="11"/>
      <c r="O48" s="11"/>
      <c r="P48" s="11"/>
      <c r="Q48" s="11"/>
      <c r="R48" s="11"/>
      <c r="S48" s="11"/>
      <c r="T48" s="11"/>
      <c r="U48" s="12"/>
      <c r="Y48" s="7" t="s">
        <v>22</v>
      </c>
      <c r="Z48" s="10"/>
      <c r="AA48" s="11"/>
      <c r="AB48" s="11"/>
      <c r="AC48" s="11"/>
      <c r="AD48" s="11"/>
      <c r="AE48" s="12"/>
      <c r="AH48" s="7" t="s">
        <v>22</v>
      </c>
      <c r="AI48" s="10"/>
      <c r="AJ48" s="11"/>
      <c r="AK48" s="11"/>
      <c r="AL48" s="11"/>
      <c r="AM48" s="11"/>
      <c r="AN48" s="12"/>
    </row>
    <row r="49" spans="1:40" x14ac:dyDescent="0.25">
      <c r="J49" s="8"/>
      <c r="T49" s="8" t="s">
        <v>23</v>
      </c>
      <c r="U49" s="13">
        <f>SUM(K48:U48)</f>
        <v>230.77</v>
      </c>
      <c r="AD49" s="8" t="s">
        <v>23</v>
      </c>
      <c r="AE49" s="13">
        <f>SUM(Z48:AE48)</f>
        <v>0</v>
      </c>
      <c r="AM49" s="8" t="s">
        <v>23</v>
      </c>
      <c r="AN49" s="13">
        <f>SUM(AI48:AN48)</f>
        <v>0</v>
      </c>
    </row>
    <row r="50" spans="1:40" ht="15.75" thickBot="1" x14ac:dyDescent="0.3">
      <c r="A50" s="19"/>
      <c r="B50" s="97" t="s">
        <v>21</v>
      </c>
      <c r="C50" s="97"/>
      <c r="D50" s="97"/>
      <c r="E50" s="97"/>
      <c r="F50" s="97"/>
      <c r="G50" s="97"/>
      <c r="H50" s="97"/>
      <c r="J50" s="98" t="s">
        <v>21</v>
      </c>
      <c r="K50" s="98"/>
      <c r="L50" s="98"/>
      <c r="M50" s="98"/>
      <c r="N50" s="98"/>
      <c r="O50" s="98"/>
      <c r="P50" s="98"/>
      <c r="Q50" s="98"/>
      <c r="R50" s="98"/>
      <c r="S50" s="98"/>
      <c r="T50" s="98"/>
      <c r="U50" s="98"/>
      <c r="Y50" s="95" t="str">
        <f>J50</f>
        <v>Dezembro</v>
      </c>
      <c r="Z50" s="95"/>
      <c r="AA50" s="95"/>
      <c r="AB50" s="95"/>
      <c r="AC50" s="95"/>
      <c r="AD50" s="95"/>
      <c r="AE50" s="95"/>
      <c r="AH50" s="96" t="str">
        <f>Y50</f>
        <v>Dezembro</v>
      </c>
      <c r="AI50" s="96"/>
      <c r="AJ50" s="96"/>
      <c r="AK50" s="96"/>
      <c r="AL50" s="96"/>
      <c r="AM50" s="96"/>
      <c r="AN50" s="96"/>
    </row>
    <row r="51" spans="1:40" ht="15.75" thickBot="1" x14ac:dyDescent="0.3">
      <c r="A51" s="99" t="s">
        <v>5</v>
      </c>
      <c r="B51" s="34" t="s">
        <v>6</v>
      </c>
      <c r="C51" s="22" t="s">
        <v>7</v>
      </c>
      <c r="D51" s="33" t="s">
        <v>8</v>
      </c>
      <c r="E51" s="22" t="s">
        <v>9</v>
      </c>
      <c r="F51" s="24" t="s">
        <v>10</v>
      </c>
      <c r="G51" s="23" t="s">
        <v>11</v>
      </c>
      <c r="H51" s="25" t="s">
        <v>12</v>
      </c>
      <c r="J51" s="6" t="s">
        <v>4</v>
      </c>
      <c r="K51" s="9">
        <v>45629</v>
      </c>
      <c r="L51" s="66">
        <v>45632</v>
      </c>
      <c r="M51" s="66">
        <v>45635</v>
      </c>
      <c r="N51" s="4"/>
      <c r="O51" s="4"/>
      <c r="P51" s="4"/>
      <c r="Q51" s="4"/>
      <c r="R51" s="4"/>
      <c r="S51" s="4"/>
      <c r="T51" s="4"/>
      <c r="U51" s="5"/>
      <c r="Y51" s="6" t="s">
        <v>4</v>
      </c>
      <c r="Z51" s="9"/>
      <c r="AA51" s="4"/>
      <c r="AB51" s="4"/>
      <c r="AC51" s="4"/>
      <c r="AD51" s="4"/>
      <c r="AE51" s="5"/>
      <c r="AH51" s="6" t="s">
        <v>4</v>
      </c>
      <c r="AI51" s="9"/>
      <c r="AJ51" s="4"/>
      <c r="AK51" s="4"/>
      <c r="AL51" s="4"/>
      <c r="AM51" s="4"/>
      <c r="AN51" s="5"/>
    </row>
    <row r="52" spans="1:40" ht="15.75" thickBot="1" x14ac:dyDescent="0.3">
      <c r="A52" s="99"/>
      <c r="B52" s="26">
        <v>10473</v>
      </c>
      <c r="C52" s="27">
        <v>11957</v>
      </c>
      <c r="D52" s="27">
        <v>11957</v>
      </c>
      <c r="E52" s="27">
        <v>15136</v>
      </c>
      <c r="F52" s="27">
        <f>SUM(C52-B52)</f>
        <v>1484</v>
      </c>
      <c r="G52" s="20">
        <f>SUM(E52-D52)</f>
        <v>3179</v>
      </c>
      <c r="H52" s="21">
        <f>SUM(F52:G52)</f>
        <v>4663</v>
      </c>
      <c r="J52" s="7" t="s">
        <v>22</v>
      </c>
      <c r="K52" s="10">
        <v>166.73</v>
      </c>
      <c r="L52" s="11">
        <v>100.02</v>
      </c>
      <c r="M52" s="11">
        <v>200</v>
      </c>
      <c r="N52" s="11"/>
      <c r="O52" s="11"/>
      <c r="P52" s="11"/>
      <c r="Q52" s="11"/>
      <c r="R52" s="11"/>
      <c r="S52" s="11"/>
      <c r="T52" s="11"/>
      <c r="U52" s="12"/>
      <c r="Y52" s="7" t="s">
        <v>22</v>
      </c>
      <c r="Z52" s="10"/>
      <c r="AA52" s="11"/>
      <c r="AB52" s="11"/>
      <c r="AC52" s="11"/>
      <c r="AD52" s="11"/>
      <c r="AE52" s="12"/>
      <c r="AH52" s="7" t="s">
        <v>22</v>
      </c>
      <c r="AI52" s="10"/>
      <c r="AJ52" s="11"/>
      <c r="AK52" s="11"/>
      <c r="AL52" s="11"/>
      <c r="AM52" s="11"/>
      <c r="AN52" s="12"/>
    </row>
    <row r="53" spans="1:40" x14ac:dyDescent="0.25">
      <c r="J53" s="8"/>
      <c r="T53" s="8" t="s">
        <v>23</v>
      </c>
      <c r="U53" s="13">
        <f>SUM(K52:U52)</f>
        <v>466.75</v>
      </c>
      <c r="AD53" s="8" t="s">
        <v>23</v>
      </c>
      <c r="AE53" s="13">
        <f>SUM(Z52:AE52)</f>
        <v>0</v>
      </c>
      <c r="AM53" s="8" t="s">
        <v>23</v>
      </c>
      <c r="AN53" s="13">
        <f>SUM(AI52:AN52)</f>
        <v>0</v>
      </c>
    </row>
    <row r="54" spans="1:40" ht="15.75" thickBot="1" x14ac:dyDescent="0.3">
      <c r="A54" s="81" t="s">
        <v>104</v>
      </c>
      <c r="B54" s="97" t="s">
        <v>102</v>
      </c>
      <c r="C54" s="97"/>
      <c r="D54" s="97"/>
      <c r="E54" s="97"/>
      <c r="F54" s="97"/>
      <c r="G54" s="97"/>
      <c r="H54" s="97"/>
      <c r="I54" s="81" t="s">
        <v>104</v>
      </c>
      <c r="J54" s="98" t="s">
        <v>102</v>
      </c>
      <c r="K54" s="98"/>
      <c r="L54" s="98"/>
      <c r="M54" s="98"/>
      <c r="N54" s="98"/>
      <c r="O54" s="98"/>
      <c r="P54" s="98"/>
      <c r="Q54" s="98"/>
      <c r="R54" s="98"/>
      <c r="S54" s="98"/>
      <c r="T54" s="98"/>
      <c r="U54" s="98"/>
      <c r="Y54" s="95" t="str">
        <f>J54</f>
        <v>Janeiro</v>
      </c>
      <c r="Z54" s="95"/>
      <c r="AA54" s="95"/>
      <c r="AB54" s="95"/>
      <c r="AC54" s="95"/>
      <c r="AD54" s="95"/>
      <c r="AE54" s="95"/>
      <c r="AH54" s="96" t="str">
        <f>Y54</f>
        <v>Janeiro</v>
      </c>
      <c r="AI54" s="96"/>
      <c r="AJ54" s="96"/>
      <c r="AK54" s="96"/>
      <c r="AL54" s="96"/>
      <c r="AM54" s="96"/>
      <c r="AN54" s="96"/>
    </row>
    <row r="55" spans="1:40" ht="15.75" thickBot="1" x14ac:dyDescent="0.3">
      <c r="A55" s="99" t="s">
        <v>5</v>
      </c>
      <c r="B55" s="34" t="s">
        <v>6</v>
      </c>
      <c r="C55" s="22" t="s">
        <v>7</v>
      </c>
      <c r="D55" s="33" t="s">
        <v>8</v>
      </c>
      <c r="E55" s="22" t="s">
        <v>9</v>
      </c>
      <c r="F55" s="24" t="s">
        <v>10</v>
      </c>
      <c r="G55" s="23" t="s">
        <v>11</v>
      </c>
      <c r="H55" s="25" t="s">
        <v>12</v>
      </c>
      <c r="J55" s="6" t="s">
        <v>4</v>
      </c>
      <c r="K55" s="9">
        <v>45677</v>
      </c>
      <c r="L55" s="82">
        <v>45678</v>
      </c>
      <c r="M55" s="66">
        <v>45680</v>
      </c>
      <c r="N55" s="4"/>
      <c r="O55" s="4"/>
      <c r="P55" s="4"/>
      <c r="Q55" s="4"/>
      <c r="R55" s="4"/>
      <c r="S55" s="4"/>
      <c r="T55" s="4"/>
      <c r="U55" s="5"/>
      <c r="Y55" s="6" t="s">
        <v>4</v>
      </c>
      <c r="Z55" s="9"/>
      <c r="AA55" s="4"/>
      <c r="AB55" s="4"/>
      <c r="AC55" s="4"/>
      <c r="AD55" s="4"/>
      <c r="AE55" s="5"/>
      <c r="AH55" s="6" t="s">
        <v>4</v>
      </c>
      <c r="AI55" s="9"/>
      <c r="AJ55" s="4"/>
      <c r="AK55" s="4"/>
      <c r="AL55" s="4"/>
      <c r="AM55" s="4"/>
      <c r="AN55" s="5"/>
    </row>
    <row r="56" spans="1:40" ht="15.75" thickBot="1" x14ac:dyDescent="0.3">
      <c r="A56" s="99"/>
      <c r="B56" s="26">
        <v>12148</v>
      </c>
      <c r="C56" s="27">
        <v>14443</v>
      </c>
      <c r="D56" s="83">
        <v>12495</v>
      </c>
      <c r="E56" s="83">
        <v>13600</v>
      </c>
      <c r="F56" s="27">
        <f>SUM(C56-B56)</f>
        <v>2295</v>
      </c>
      <c r="G56" s="20">
        <f>SUM(E56-D56)</f>
        <v>1105</v>
      </c>
      <c r="H56" s="21">
        <f>SUM(F56:G56)</f>
        <v>3400</v>
      </c>
      <c r="J56" s="7" t="s">
        <v>22</v>
      </c>
      <c r="K56" s="10">
        <v>185.94</v>
      </c>
      <c r="L56" s="11">
        <v>243.67</v>
      </c>
      <c r="M56" s="11">
        <v>212.54</v>
      </c>
      <c r="N56" s="11"/>
      <c r="O56" s="11"/>
      <c r="P56" s="11"/>
      <c r="Q56" s="11"/>
      <c r="R56" s="11"/>
      <c r="S56" s="11"/>
      <c r="T56" s="11"/>
      <c r="U56" s="12"/>
      <c r="Y56" s="7" t="s">
        <v>22</v>
      </c>
      <c r="Z56" s="10"/>
      <c r="AA56" s="11"/>
      <c r="AB56" s="11"/>
      <c r="AC56" s="11"/>
      <c r="AD56" s="11"/>
      <c r="AE56" s="12"/>
      <c r="AH56" s="7" t="s">
        <v>22</v>
      </c>
      <c r="AI56" s="10"/>
      <c r="AJ56" s="11"/>
      <c r="AK56" s="11"/>
      <c r="AL56" s="11"/>
      <c r="AM56" s="11"/>
      <c r="AN56" s="12"/>
    </row>
    <row r="57" spans="1:40" x14ac:dyDescent="0.25">
      <c r="J57" s="8"/>
      <c r="T57" s="8" t="s">
        <v>23</v>
      </c>
      <c r="U57" s="13">
        <f>SUM(K56:U56)</f>
        <v>642.15</v>
      </c>
      <c r="AD57" s="8" t="s">
        <v>23</v>
      </c>
      <c r="AE57" s="13">
        <f>SUM(Z56:AE56)</f>
        <v>0</v>
      </c>
      <c r="AM57" s="8" t="s">
        <v>23</v>
      </c>
      <c r="AN57" s="13">
        <f>SUM(AI56:AN56)</f>
        <v>0</v>
      </c>
    </row>
    <row r="58" spans="1:40" ht="15.75" thickBot="1" x14ac:dyDescent="0.3">
      <c r="A58" s="19"/>
      <c r="B58" s="97" t="s">
        <v>3</v>
      </c>
      <c r="C58" s="97"/>
      <c r="D58" s="97"/>
      <c r="E58" s="97"/>
      <c r="F58" s="97"/>
      <c r="G58" s="97"/>
      <c r="H58" s="97"/>
      <c r="J58" s="98" t="s">
        <v>3</v>
      </c>
      <c r="K58" s="98"/>
      <c r="L58" s="98"/>
      <c r="M58" s="98"/>
      <c r="N58" s="98"/>
      <c r="O58" s="98"/>
      <c r="P58" s="98"/>
      <c r="Q58" s="98"/>
      <c r="R58" s="98"/>
      <c r="S58" s="98"/>
      <c r="T58" s="98"/>
      <c r="U58" s="98"/>
      <c r="Y58" s="95" t="s">
        <v>3</v>
      </c>
      <c r="Z58" s="95"/>
      <c r="AA58" s="95"/>
      <c r="AB58" s="95"/>
      <c r="AC58" s="95"/>
      <c r="AD58" s="95"/>
      <c r="AE58" s="95"/>
      <c r="AH58" s="96" t="s">
        <v>3</v>
      </c>
      <c r="AI58" s="96"/>
      <c r="AJ58" s="96"/>
      <c r="AK58" s="96"/>
      <c r="AL58" s="96"/>
      <c r="AM58" s="96"/>
      <c r="AN58" s="96"/>
    </row>
    <row r="59" spans="1:40" ht="15.75" thickBot="1" x14ac:dyDescent="0.3">
      <c r="A59" s="99" t="s">
        <v>5</v>
      </c>
      <c r="B59" s="34" t="s">
        <v>6</v>
      </c>
      <c r="C59" s="22" t="s">
        <v>7</v>
      </c>
      <c r="D59" s="33" t="s">
        <v>8</v>
      </c>
      <c r="E59" s="22" t="s">
        <v>9</v>
      </c>
      <c r="F59" s="24" t="s">
        <v>10</v>
      </c>
      <c r="G59" s="23" t="s">
        <v>11</v>
      </c>
      <c r="H59" s="25" t="s">
        <v>12</v>
      </c>
      <c r="J59" s="28" t="s">
        <v>4</v>
      </c>
      <c r="K59" s="9">
        <v>45692</v>
      </c>
      <c r="L59" s="66">
        <v>45694</v>
      </c>
      <c r="M59" s="66">
        <v>45701</v>
      </c>
      <c r="N59" s="66">
        <v>45712</v>
      </c>
      <c r="O59" s="66">
        <v>45715</v>
      </c>
      <c r="P59" s="4"/>
      <c r="Q59" s="4"/>
      <c r="R59" s="4"/>
      <c r="S59" s="4"/>
      <c r="T59" s="4"/>
      <c r="U59" s="5"/>
      <c r="Y59" s="6" t="s">
        <v>4</v>
      </c>
      <c r="Z59" s="9"/>
      <c r="AA59" s="4"/>
      <c r="AB59" s="4"/>
      <c r="AC59" s="4"/>
      <c r="AD59" s="4"/>
      <c r="AE59" s="5"/>
      <c r="AH59" s="6" t="s">
        <v>4</v>
      </c>
      <c r="AI59" s="9"/>
      <c r="AJ59" s="4"/>
      <c r="AK59" s="4"/>
      <c r="AL59" s="4"/>
      <c r="AM59" s="4"/>
      <c r="AN59" s="5"/>
    </row>
    <row r="60" spans="1:40" ht="15.75" thickBot="1" x14ac:dyDescent="0.3">
      <c r="A60" s="99"/>
      <c r="B60" s="26">
        <v>13600</v>
      </c>
      <c r="C60" s="27">
        <v>16100</v>
      </c>
      <c r="D60" s="27">
        <v>16100</v>
      </c>
      <c r="E60" s="27">
        <v>18020</v>
      </c>
      <c r="F60" s="27">
        <f>SUM(C60-B60)</f>
        <v>2500</v>
      </c>
      <c r="G60" s="20">
        <f>SUM(E60-D60)</f>
        <v>1920</v>
      </c>
      <c r="H60" s="21">
        <f>SUM(F60:G60)</f>
        <v>4420</v>
      </c>
      <c r="J60" s="29" t="s">
        <v>22</v>
      </c>
      <c r="K60" s="10">
        <v>220.01</v>
      </c>
      <c r="L60" s="11">
        <v>192.01</v>
      </c>
      <c r="M60" s="11">
        <v>280.02</v>
      </c>
      <c r="N60" s="11">
        <v>280.23</v>
      </c>
      <c r="O60" s="11">
        <v>226.65</v>
      </c>
      <c r="P60" s="11"/>
      <c r="Q60" s="11"/>
      <c r="R60" s="11"/>
      <c r="S60" s="11"/>
      <c r="T60" s="11"/>
      <c r="U60" s="12"/>
      <c r="Y60" s="7" t="s">
        <v>22</v>
      </c>
      <c r="Z60" s="10"/>
      <c r="AA60" s="11"/>
      <c r="AB60" s="11"/>
      <c r="AC60" s="11"/>
      <c r="AD60" s="11"/>
      <c r="AE60" s="12"/>
      <c r="AH60" s="7" t="s">
        <v>22</v>
      </c>
      <c r="AI60" s="10"/>
      <c r="AJ60" s="11"/>
      <c r="AK60" s="11"/>
      <c r="AL60" s="11"/>
      <c r="AM60" s="11"/>
      <c r="AN60" s="12"/>
    </row>
    <row r="61" spans="1:40" x14ac:dyDescent="0.25">
      <c r="J61" s="8"/>
      <c r="T61" s="8" t="s">
        <v>23</v>
      </c>
      <c r="U61" s="13">
        <f>SUM(K60:U60)</f>
        <v>1198.92</v>
      </c>
      <c r="AD61" s="8" t="s">
        <v>23</v>
      </c>
      <c r="AE61" s="13">
        <f>SUM(Z60:AE60)</f>
        <v>0</v>
      </c>
      <c r="AM61" s="8" t="s">
        <v>23</v>
      </c>
      <c r="AN61" s="13">
        <f>SUM(AI60:AN60)</f>
        <v>0</v>
      </c>
    </row>
    <row r="62" spans="1:40" ht="15.75" thickBot="1" x14ac:dyDescent="0.3">
      <c r="A62" s="19"/>
      <c r="B62" s="97" t="s">
        <v>13</v>
      </c>
      <c r="C62" s="97"/>
      <c r="D62" s="97"/>
      <c r="E62" s="97"/>
      <c r="F62" s="97"/>
      <c r="G62" s="97"/>
      <c r="H62" s="97"/>
      <c r="J62" s="98" t="s">
        <v>13</v>
      </c>
      <c r="K62" s="98"/>
      <c r="L62" s="98"/>
      <c r="M62" s="98"/>
      <c r="N62" s="98"/>
      <c r="O62" s="98"/>
      <c r="P62" s="98"/>
      <c r="Q62" s="98"/>
      <c r="R62" s="98"/>
      <c r="S62" s="98"/>
      <c r="T62" s="98"/>
      <c r="U62" s="98"/>
      <c r="Y62" s="95" t="str">
        <f>J62</f>
        <v>Março</v>
      </c>
      <c r="Z62" s="95"/>
      <c r="AA62" s="95"/>
      <c r="AB62" s="95"/>
      <c r="AC62" s="95"/>
      <c r="AD62" s="95"/>
      <c r="AE62" s="95"/>
      <c r="AH62" s="96" t="str">
        <f>Y62</f>
        <v>Março</v>
      </c>
      <c r="AI62" s="96"/>
      <c r="AJ62" s="96"/>
      <c r="AK62" s="96"/>
      <c r="AL62" s="96"/>
      <c r="AM62" s="96"/>
      <c r="AN62" s="96"/>
    </row>
    <row r="63" spans="1:40" ht="15.75" thickBot="1" x14ac:dyDescent="0.3">
      <c r="A63" s="99" t="s">
        <v>5</v>
      </c>
      <c r="B63" s="34" t="s">
        <v>6</v>
      </c>
      <c r="C63" s="22" t="s">
        <v>7</v>
      </c>
      <c r="D63" s="33" t="s">
        <v>8</v>
      </c>
      <c r="E63" s="22" t="s">
        <v>9</v>
      </c>
      <c r="F63" s="24" t="s">
        <v>10</v>
      </c>
      <c r="G63" s="23" t="s">
        <v>11</v>
      </c>
      <c r="H63" s="25" t="s">
        <v>12</v>
      </c>
      <c r="J63" s="6" t="s">
        <v>4</v>
      </c>
      <c r="K63" s="9">
        <v>45722</v>
      </c>
      <c r="L63" s="66">
        <v>45727</v>
      </c>
      <c r="M63" s="66">
        <v>45734</v>
      </c>
      <c r="N63" s="66">
        <v>45736</v>
      </c>
      <c r="O63" s="66">
        <v>45741</v>
      </c>
      <c r="P63" s="66">
        <v>45744</v>
      </c>
      <c r="Q63" s="66">
        <v>45747</v>
      </c>
      <c r="R63" s="4"/>
      <c r="S63" s="4"/>
      <c r="T63" s="4"/>
      <c r="U63" s="9">
        <v>45747</v>
      </c>
      <c r="Y63" s="6" t="s">
        <v>4</v>
      </c>
      <c r="Z63" s="9">
        <v>45730</v>
      </c>
      <c r="AA63" s="66">
        <v>45738</v>
      </c>
      <c r="AB63" s="66">
        <v>45745</v>
      </c>
      <c r="AC63" s="4"/>
      <c r="AD63" s="4"/>
      <c r="AE63" s="5"/>
      <c r="AH63" s="6" t="s">
        <v>4</v>
      </c>
      <c r="AI63" s="9"/>
      <c r="AJ63" s="4"/>
      <c r="AK63" s="4"/>
      <c r="AL63" s="4"/>
      <c r="AM63" s="4"/>
      <c r="AN63" s="5"/>
    </row>
    <row r="64" spans="1:40" ht="15.75" thickBot="1" x14ac:dyDescent="0.3">
      <c r="A64" s="99"/>
      <c r="B64" s="27">
        <v>18020</v>
      </c>
      <c r="C64" s="27">
        <v>19001</v>
      </c>
      <c r="D64" s="27">
        <v>19001</v>
      </c>
      <c r="E64" s="27">
        <v>20303</v>
      </c>
      <c r="F64" s="27">
        <f>SUM(C64-B64)</f>
        <v>981</v>
      </c>
      <c r="G64" s="20">
        <f>SUM(E64-D64)</f>
        <v>1302</v>
      </c>
      <c r="H64" s="21">
        <f>SUM(F64:G64)</f>
        <v>2283</v>
      </c>
      <c r="J64" s="7" t="s">
        <v>22</v>
      </c>
      <c r="K64" s="10">
        <v>266.23</v>
      </c>
      <c r="L64" s="11">
        <v>225.04</v>
      </c>
      <c r="M64" s="11">
        <v>187.37</v>
      </c>
      <c r="N64" s="11">
        <v>232</v>
      </c>
      <c r="O64" s="11">
        <v>198.09</v>
      </c>
      <c r="P64" s="11">
        <v>186.48</v>
      </c>
      <c r="Q64" s="11">
        <v>184.7</v>
      </c>
      <c r="R64" s="11"/>
      <c r="S64" s="11"/>
      <c r="T64" s="11"/>
      <c r="U64" s="10">
        <v>184.7</v>
      </c>
      <c r="Y64" s="7" t="s">
        <v>22</v>
      </c>
      <c r="Z64" s="10">
        <v>50</v>
      </c>
      <c r="AA64" s="11">
        <v>50</v>
      </c>
      <c r="AB64" s="11">
        <v>50</v>
      </c>
      <c r="AC64" s="11"/>
      <c r="AD64" s="11"/>
      <c r="AE64" s="12"/>
      <c r="AH64" s="7" t="s">
        <v>22</v>
      </c>
      <c r="AI64" s="10"/>
      <c r="AJ64" s="11"/>
      <c r="AK64" s="11"/>
      <c r="AL64" s="11"/>
      <c r="AM64" s="11"/>
      <c r="AN64" s="12"/>
    </row>
    <row r="65" spans="1:40" x14ac:dyDescent="0.25">
      <c r="J65" s="8"/>
      <c r="T65" s="8" t="s">
        <v>23</v>
      </c>
      <c r="U65" s="13">
        <f>SUM(K64:U64)</f>
        <v>1664.6100000000001</v>
      </c>
      <c r="AD65" s="8" t="s">
        <v>23</v>
      </c>
      <c r="AE65" s="13">
        <f>SUM(Z64:AE64)</f>
        <v>150</v>
      </c>
      <c r="AM65" s="8" t="s">
        <v>23</v>
      </c>
      <c r="AN65" s="13">
        <f>SUM(AI64:AN64)</f>
        <v>0</v>
      </c>
    </row>
    <row r="66" spans="1:40" ht="15.75" thickBot="1" x14ac:dyDescent="0.3">
      <c r="A66" s="19"/>
      <c r="B66" s="97" t="s">
        <v>14</v>
      </c>
      <c r="C66" s="97"/>
      <c r="D66" s="97"/>
      <c r="E66" s="97"/>
      <c r="F66" s="97"/>
      <c r="G66" s="97"/>
      <c r="H66" s="97"/>
      <c r="J66" s="98" t="s">
        <v>14</v>
      </c>
      <c r="K66" s="98"/>
      <c r="L66" s="98"/>
      <c r="M66" s="98"/>
      <c r="N66" s="98"/>
      <c r="O66" s="98"/>
      <c r="P66" s="98"/>
      <c r="Q66" s="98"/>
      <c r="R66" s="98"/>
      <c r="S66" s="98"/>
      <c r="T66" s="98"/>
      <c r="U66" s="98"/>
      <c r="Y66" s="95" t="str">
        <f>J66</f>
        <v>Abril</v>
      </c>
      <c r="Z66" s="95"/>
      <c r="AA66" s="95"/>
      <c r="AB66" s="95"/>
      <c r="AC66" s="95"/>
      <c r="AD66" s="95"/>
      <c r="AE66" s="95"/>
      <c r="AH66" s="96" t="str">
        <f>Y66</f>
        <v>Abril</v>
      </c>
      <c r="AI66" s="96"/>
      <c r="AJ66" s="96"/>
      <c r="AK66" s="96"/>
      <c r="AL66" s="96"/>
      <c r="AM66" s="96"/>
      <c r="AN66" s="96"/>
    </row>
    <row r="67" spans="1:40" ht="15.75" thickBot="1" x14ac:dyDescent="0.3">
      <c r="A67" s="99" t="s">
        <v>5</v>
      </c>
      <c r="B67" s="34" t="s">
        <v>6</v>
      </c>
      <c r="C67" s="22" t="s">
        <v>7</v>
      </c>
      <c r="D67" s="33" t="s">
        <v>8</v>
      </c>
      <c r="E67" s="22" t="s">
        <v>9</v>
      </c>
      <c r="F67" s="24" t="s">
        <v>10</v>
      </c>
      <c r="G67" s="23" t="s">
        <v>11</v>
      </c>
      <c r="H67" s="25" t="s">
        <v>12</v>
      </c>
      <c r="J67" s="6" t="s">
        <v>4</v>
      </c>
      <c r="K67" s="9">
        <v>45750</v>
      </c>
      <c r="L67" s="66">
        <v>45754</v>
      </c>
      <c r="M67" s="66">
        <v>45757</v>
      </c>
      <c r="N67" s="66">
        <v>45772</v>
      </c>
      <c r="O67" s="66">
        <v>45776</v>
      </c>
      <c r="P67" s="4"/>
      <c r="Q67" s="4"/>
      <c r="R67" s="4"/>
      <c r="S67" s="4"/>
      <c r="T67" s="4"/>
      <c r="U67" s="5"/>
      <c r="Y67" s="6" t="s">
        <v>4</v>
      </c>
      <c r="Z67" s="9">
        <v>45752</v>
      </c>
      <c r="AA67" s="66">
        <v>45757</v>
      </c>
      <c r="AB67" s="4"/>
      <c r="AC67" s="4"/>
      <c r="AD67" s="4"/>
      <c r="AE67" s="5"/>
      <c r="AH67" s="6" t="s">
        <v>4</v>
      </c>
      <c r="AI67" s="9"/>
      <c r="AJ67" s="4"/>
      <c r="AK67" s="4"/>
      <c r="AL67" s="4"/>
      <c r="AM67" s="4"/>
      <c r="AN67" s="5"/>
    </row>
    <row r="68" spans="1:40" ht="15.75" thickBot="1" x14ac:dyDescent="0.3">
      <c r="A68" s="99"/>
      <c r="B68" s="27">
        <v>20303</v>
      </c>
      <c r="C68" s="27">
        <v>22593</v>
      </c>
      <c r="D68" s="27">
        <v>22593</v>
      </c>
      <c r="E68" s="27">
        <v>25230</v>
      </c>
      <c r="F68" s="27">
        <f>SUM(C68-B68)</f>
        <v>2290</v>
      </c>
      <c r="G68" s="20">
        <f>SUM(E68-D68)</f>
        <v>2637</v>
      </c>
      <c r="H68" s="21">
        <f>SUM(F68:G68)</f>
        <v>4927</v>
      </c>
      <c r="J68" s="7" t="s">
        <v>22</v>
      </c>
      <c r="K68" s="30">
        <v>227.26</v>
      </c>
      <c r="L68" s="31">
        <v>242.78</v>
      </c>
      <c r="M68" s="31">
        <v>156.66999999999999</v>
      </c>
      <c r="N68" s="31">
        <v>260</v>
      </c>
      <c r="O68" s="31">
        <v>283.20999999999998</v>
      </c>
      <c r="P68" s="31"/>
      <c r="Q68" s="31"/>
      <c r="R68" s="31"/>
      <c r="S68" s="31"/>
      <c r="T68" s="31"/>
      <c r="U68" s="32"/>
      <c r="Y68" s="7" t="s">
        <v>22</v>
      </c>
      <c r="Z68" s="10">
        <v>50</v>
      </c>
      <c r="AA68" s="11">
        <v>50</v>
      </c>
      <c r="AB68" s="11"/>
      <c r="AC68" s="11"/>
      <c r="AD68" s="11"/>
      <c r="AE68" s="12"/>
      <c r="AH68" s="7" t="s">
        <v>22</v>
      </c>
      <c r="AI68" s="10"/>
      <c r="AJ68" s="11"/>
      <c r="AK68" s="11"/>
      <c r="AL68" s="11"/>
      <c r="AM68" s="11"/>
      <c r="AN68" s="12"/>
    </row>
    <row r="69" spans="1:40" x14ac:dyDescent="0.25">
      <c r="J69" s="8"/>
      <c r="T69" s="8" t="s">
        <v>23</v>
      </c>
      <c r="U69" s="13">
        <f>SUM(K68:U68)</f>
        <v>1169.9199999999998</v>
      </c>
      <c r="AD69" s="8" t="s">
        <v>23</v>
      </c>
      <c r="AE69" s="13">
        <f>SUM(Z68:AE68)</f>
        <v>100</v>
      </c>
      <c r="AM69" s="8" t="s">
        <v>23</v>
      </c>
      <c r="AN69" s="13">
        <f>SUM(AI68:AN68)</f>
        <v>0</v>
      </c>
    </row>
    <row r="70" spans="1:40" ht="15.75" thickBot="1" x14ac:dyDescent="0.3">
      <c r="A70" s="19"/>
      <c r="B70" s="97" t="s">
        <v>15</v>
      </c>
      <c r="C70" s="97"/>
      <c r="D70" s="97"/>
      <c r="E70" s="97"/>
      <c r="F70" s="97"/>
      <c r="G70" s="97"/>
      <c r="H70" s="97"/>
      <c r="J70" s="98" t="s">
        <v>15</v>
      </c>
      <c r="K70" s="98"/>
      <c r="L70" s="98"/>
      <c r="M70" s="98"/>
      <c r="N70" s="98"/>
      <c r="O70" s="98"/>
      <c r="P70" s="98"/>
      <c r="Q70" s="98"/>
      <c r="R70" s="98"/>
      <c r="S70" s="98"/>
      <c r="T70" s="98"/>
      <c r="U70" s="98"/>
      <c r="Y70" s="95" t="str">
        <f>J70</f>
        <v>Maio</v>
      </c>
      <c r="Z70" s="95"/>
      <c r="AA70" s="95"/>
      <c r="AB70" s="95"/>
      <c r="AC70" s="95"/>
      <c r="AD70" s="95"/>
      <c r="AE70" s="95"/>
      <c r="AH70" s="96" t="str">
        <f>Y70</f>
        <v>Maio</v>
      </c>
      <c r="AI70" s="96"/>
      <c r="AJ70" s="96"/>
      <c r="AK70" s="96"/>
      <c r="AL70" s="96"/>
      <c r="AM70" s="96"/>
      <c r="AN70" s="96"/>
    </row>
    <row r="71" spans="1:40" ht="15.75" thickBot="1" x14ac:dyDescent="0.3">
      <c r="A71" s="99" t="s">
        <v>5</v>
      </c>
      <c r="B71" s="34" t="s">
        <v>6</v>
      </c>
      <c r="C71" s="22" t="s">
        <v>7</v>
      </c>
      <c r="D71" s="33" t="s">
        <v>8</v>
      </c>
      <c r="E71" s="22" t="s">
        <v>9</v>
      </c>
      <c r="F71" s="24" t="s">
        <v>10</v>
      </c>
      <c r="G71" s="23" t="s">
        <v>11</v>
      </c>
      <c r="H71" s="25" t="s">
        <v>12</v>
      </c>
      <c r="J71" s="6" t="s">
        <v>4</v>
      </c>
      <c r="K71" s="9">
        <v>45783</v>
      </c>
      <c r="L71" s="66">
        <v>45786</v>
      </c>
      <c r="M71" s="66">
        <v>45791</v>
      </c>
      <c r="N71" s="66">
        <v>45792</v>
      </c>
      <c r="O71" s="66">
        <v>45797</v>
      </c>
      <c r="P71" s="66">
        <v>45799</v>
      </c>
      <c r="Q71" s="4"/>
      <c r="R71" s="4"/>
      <c r="S71" s="4"/>
      <c r="T71" s="4"/>
      <c r="U71" s="5"/>
      <c r="Y71" s="6" t="s">
        <v>4</v>
      </c>
      <c r="Z71" s="9"/>
      <c r="AA71" s="4"/>
      <c r="AB71" s="4"/>
      <c r="AC71" s="4"/>
      <c r="AD71" s="4"/>
      <c r="AE71" s="5"/>
      <c r="AH71" s="6" t="s">
        <v>4</v>
      </c>
      <c r="AI71" s="9"/>
      <c r="AJ71" s="4"/>
      <c r="AK71" s="4"/>
      <c r="AL71" s="4"/>
      <c r="AM71" s="4"/>
      <c r="AN71" s="5"/>
    </row>
    <row r="72" spans="1:40" ht="15.75" thickBot="1" x14ac:dyDescent="0.3">
      <c r="A72" s="99"/>
      <c r="B72" s="27">
        <v>25230</v>
      </c>
      <c r="C72" s="27">
        <v>27420</v>
      </c>
      <c r="D72" s="27">
        <v>27420</v>
      </c>
      <c r="E72" s="27">
        <v>28400</v>
      </c>
      <c r="F72" s="27">
        <f>SUM(C72-B72)</f>
        <v>2190</v>
      </c>
      <c r="G72" s="20">
        <f>SUM(E72-D72)</f>
        <v>980</v>
      </c>
      <c r="H72" s="21">
        <f>SUM(F72:G72)</f>
        <v>3170</v>
      </c>
      <c r="J72" s="7" t="s">
        <v>22</v>
      </c>
      <c r="K72" s="10">
        <v>277.66000000000003</v>
      </c>
      <c r="L72" s="11">
        <v>115.57</v>
      </c>
      <c r="M72" s="11">
        <v>173.19</v>
      </c>
      <c r="N72" s="11">
        <v>69.34</v>
      </c>
      <c r="O72" s="11">
        <v>181.78</v>
      </c>
      <c r="P72" s="11">
        <v>81.16</v>
      </c>
      <c r="Q72" s="11"/>
      <c r="R72" s="11"/>
      <c r="S72" s="11"/>
      <c r="T72" s="11"/>
      <c r="U72" s="12"/>
      <c r="Y72" s="7" t="s">
        <v>22</v>
      </c>
      <c r="Z72" s="10"/>
      <c r="AA72" s="11"/>
      <c r="AB72" s="11"/>
      <c r="AC72" s="11"/>
      <c r="AD72" s="11"/>
      <c r="AE72" s="12"/>
      <c r="AH72" s="7" t="s">
        <v>22</v>
      </c>
      <c r="AI72" s="10"/>
      <c r="AJ72" s="11"/>
      <c r="AK72" s="11"/>
      <c r="AL72" s="11"/>
      <c r="AM72" s="11"/>
      <c r="AN72" s="12"/>
    </row>
    <row r="73" spans="1:40" x14ac:dyDescent="0.25">
      <c r="J73" s="8"/>
      <c r="T73" s="8" t="s">
        <v>23</v>
      </c>
      <c r="U73" s="13">
        <f>SUM(K72:U72)</f>
        <v>898.7</v>
      </c>
      <c r="AD73" s="8" t="s">
        <v>23</v>
      </c>
      <c r="AE73" s="13">
        <f>SUM(Z72:AE72)</f>
        <v>0</v>
      </c>
      <c r="AM73" s="8" t="s">
        <v>23</v>
      </c>
      <c r="AN73" s="13">
        <f>SUM(AI72:AN72)</f>
        <v>0</v>
      </c>
    </row>
    <row r="74" spans="1:40" ht="15.75" thickBot="1" x14ac:dyDescent="0.3">
      <c r="A74" s="19"/>
      <c r="B74" s="97" t="s">
        <v>24</v>
      </c>
      <c r="C74" s="97"/>
      <c r="D74" s="97"/>
      <c r="E74" s="97"/>
      <c r="F74" s="97"/>
      <c r="G74" s="97"/>
      <c r="H74" s="97"/>
      <c r="J74" s="98" t="s">
        <v>24</v>
      </c>
      <c r="K74" s="98"/>
      <c r="L74" s="98"/>
      <c r="M74" s="98"/>
      <c r="N74" s="98"/>
      <c r="O74" s="98"/>
      <c r="P74" s="98"/>
      <c r="Q74" s="98"/>
      <c r="R74" s="98"/>
      <c r="S74" s="98"/>
      <c r="T74" s="98"/>
      <c r="U74" s="98"/>
      <c r="Y74" s="95" t="str">
        <f>J74</f>
        <v>Junho</v>
      </c>
      <c r="Z74" s="95"/>
      <c r="AA74" s="95"/>
      <c r="AB74" s="95"/>
      <c r="AC74" s="95"/>
      <c r="AD74" s="95"/>
      <c r="AE74" s="95"/>
      <c r="AH74" s="96" t="str">
        <f>Y74</f>
        <v>Junho</v>
      </c>
      <c r="AI74" s="96"/>
      <c r="AJ74" s="96"/>
      <c r="AK74" s="96"/>
      <c r="AL74" s="96"/>
      <c r="AM74" s="96"/>
      <c r="AN74" s="96"/>
    </row>
    <row r="75" spans="1:40" ht="15.75" thickBot="1" x14ac:dyDescent="0.3">
      <c r="A75" s="99" t="s">
        <v>5</v>
      </c>
      <c r="B75" s="34" t="s">
        <v>6</v>
      </c>
      <c r="C75" s="22" t="s">
        <v>7</v>
      </c>
      <c r="D75" s="33" t="s">
        <v>8</v>
      </c>
      <c r="E75" s="22" t="s">
        <v>9</v>
      </c>
      <c r="F75" s="24" t="s">
        <v>10</v>
      </c>
      <c r="G75" s="23" t="s">
        <v>11</v>
      </c>
      <c r="H75" s="25" t="s">
        <v>12</v>
      </c>
      <c r="J75" s="6" t="s">
        <v>4</v>
      </c>
      <c r="K75" s="9">
        <v>45824</v>
      </c>
      <c r="L75" s="66">
        <v>45826</v>
      </c>
      <c r="M75" s="4"/>
      <c r="N75" s="4"/>
      <c r="O75" s="4"/>
      <c r="P75" s="4"/>
      <c r="Q75" s="4"/>
      <c r="R75" s="4"/>
      <c r="S75" s="4"/>
      <c r="T75" s="4"/>
      <c r="U75" s="5"/>
      <c r="Y75" s="6" t="s">
        <v>4</v>
      </c>
      <c r="Z75" s="9"/>
      <c r="AA75" s="4"/>
      <c r="AB75" s="4"/>
      <c r="AC75" s="4"/>
      <c r="AD75" s="4"/>
      <c r="AE75" s="5"/>
      <c r="AH75" s="6" t="s">
        <v>4</v>
      </c>
      <c r="AI75" s="9"/>
      <c r="AJ75" s="4"/>
      <c r="AK75" s="4"/>
      <c r="AL75" s="4"/>
      <c r="AM75" s="4"/>
      <c r="AN75" s="5"/>
    </row>
    <row r="76" spans="1:40" ht="15.75" thickBot="1" x14ac:dyDescent="0.3">
      <c r="A76" s="99"/>
      <c r="B76" s="27">
        <v>28400</v>
      </c>
      <c r="C76" s="27">
        <v>29381</v>
      </c>
      <c r="D76" s="27">
        <v>29381</v>
      </c>
      <c r="E76" s="27">
        <v>32500</v>
      </c>
      <c r="F76" s="27">
        <f>SUM(C76-B76)</f>
        <v>981</v>
      </c>
      <c r="G76" s="20">
        <f>SUM(E76-D76)</f>
        <v>3119</v>
      </c>
      <c r="H76" s="21">
        <f>SUM(F76:G76)</f>
        <v>4100</v>
      </c>
      <c r="J76" s="7" t="s">
        <v>22</v>
      </c>
      <c r="K76" s="10">
        <v>251.98</v>
      </c>
      <c r="L76" s="11">
        <v>114.94</v>
      </c>
      <c r="M76" s="11"/>
      <c r="N76" s="11"/>
      <c r="O76" s="11"/>
      <c r="P76" s="11"/>
      <c r="Q76" s="11"/>
      <c r="R76" s="11"/>
      <c r="S76" s="11"/>
      <c r="T76" s="11"/>
      <c r="U76" s="12"/>
      <c r="Y76" s="7" t="s">
        <v>22</v>
      </c>
      <c r="Z76" s="10"/>
      <c r="AA76" s="11"/>
      <c r="AB76" s="11"/>
      <c r="AC76" s="11"/>
      <c r="AD76" s="11"/>
      <c r="AE76" s="12"/>
      <c r="AH76" s="7" t="s">
        <v>22</v>
      </c>
      <c r="AI76" s="10"/>
      <c r="AJ76" s="11"/>
      <c r="AK76" s="11"/>
      <c r="AL76" s="11"/>
      <c r="AM76" s="11"/>
      <c r="AN76" s="12"/>
    </row>
    <row r="77" spans="1:40" x14ac:dyDescent="0.25">
      <c r="J77" s="8"/>
      <c r="T77" s="8" t="s">
        <v>23</v>
      </c>
      <c r="U77" s="13">
        <f>SUM(K76:U76)</f>
        <v>366.91999999999996</v>
      </c>
      <c r="AD77" s="8" t="s">
        <v>23</v>
      </c>
      <c r="AE77" s="13">
        <f>SUM(Z76:AE76)</f>
        <v>0</v>
      </c>
      <c r="AM77" s="8" t="s">
        <v>23</v>
      </c>
      <c r="AN77" s="13">
        <f>SUM(AI76:AN76)</f>
        <v>0</v>
      </c>
    </row>
    <row r="78" spans="1:40" ht="15.75" thickBot="1" x14ac:dyDescent="0.3">
      <c r="A78" s="19"/>
      <c r="B78" s="97" t="s">
        <v>16</v>
      </c>
      <c r="C78" s="97"/>
      <c r="D78" s="97"/>
      <c r="E78" s="97"/>
      <c r="F78" s="97"/>
      <c r="G78" s="97"/>
      <c r="H78" s="97"/>
      <c r="J78" s="98" t="s">
        <v>16</v>
      </c>
      <c r="K78" s="98"/>
      <c r="L78" s="98"/>
      <c r="M78" s="98"/>
      <c r="N78" s="98"/>
      <c r="O78" s="98"/>
      <c r="P78" s="98"/>
      <c r="Q78" s="98"/>
      <c r="R78" s="98"/>
      <c r="S78" s="98"/>
      <c r="T78" s="98"/>
      <c r="U78" s="98"/>
      <c r="Y78" s="95" t="str">
        <f t="shared" ref="Y78" si="0">J78</f>
        <v>Julho</v>
      </c>
      <c r="Z78" s="95"/>
      <c r="AA78" s="95"/>
      <c r="AB78" s="95"/>
      <c r="AC78" s="95"/>
      <c r="AD78" s="95"/>
      <c r="AE78" s="95"/>
      <c r="AH78" s="96" t="str">
        <f t="shared" ref="AH78" si="1">Y78</f>
        <v>Julho</v>
      </c>
      <c r="AI78" s="96"/>
      <c r="AJ78" s="96"/>
      <c r="AK78" s="96"/>
      <c r="AL78" s="96"/>
      <c r="AM78" s="96"/>
      <c r="AN78" s="96"/>
    </row>
    <row r="79" spans="1:40" ht="15.75" thickBot="1" x14ac:dyDescent="0.3">
      <c r="A79" s="99" t="s">
        <v>5</v>
      </c>
      <c r="B79" s="34" t="s">
        <v>6</v>
      </c>
      <c r="C79" s="22" t="s">
        <v>7</v>
      </c>
      <c r="D79" s="33" t="s">
        <v>8</v>
      </c>
      <c r="E79" s="22" t="s">
        <v>9</v>
      </c>
      <c r="F79" s="24" t="s">
        <v>10</v>
      </c>
      <c r="G79" s="23" t="s">
        <v>11</v>
      </c>
      <c r="H79" s="25" t="s">
        <v>12</v>
      </c>
      <c r="J79" s="6" t="s">
        <v>4</v>
      </c>
      <c r="K79" s="9">
        <v>45841</v>
      </c>
      <c r="L79" s="66">
        <v>45848</v>
      </c>
      <c r="M79" s="66">
        <v>45853</v>
      </c>
      <c r="N79" s="66">
        <v>45855</v>
      </c>
      <c r="O79" s="66">
        <v>45863</v>
      </c>
      <c r="P79" s="66">
        <v>45867</v>
      </c>
      <c r="Q79" s="66">
        <v>45869</v>
      </c>
      <c r="R79" s="66"/>
      <c r="S79" s="4"/>
      <c r="T79" s="4"/>
      <c r="U79" s="5"/>
      <c r="Y79" s="6" t="s">
        <v>4</v>
      </c>
      <c r="Z79" s="9"/>
      <c r="AA79" s="4"/>
      <c r="AB79" s="4"/>
      <c r="AC79" s="4"/>
      <c r="AD79" s="4"/>
      <c r="AE79" s="5"/>
      <c r="AH79" s="6" t="s">
        <v>4</v>
      </c>
      <c r="AI79" s="9"/>
      <c r="AJ79" s="4"/>
      <c r="AK79" s="4"/>
      <c r="AL79" s="4"/>
      <c r="AM79" s="4"/>
      <c r="AN79" s="5"/>
    </row>
    <row r="80" spans="1:40" ht="15.75" thickBot="1" x14ac:dyDescent="0.3">
      <c r="A80" s="99"/>
      <c r="B80" s="27">
        <v>32500</v>
      </c>
      <c r="C80" s="27">
        <v>34027</v>
      </c>
      <c r="D80" s="27">
        <v>34027</v>
      </c>
      <c r="E80" s="27">
        <v>35375</v>
      </c>
      <c r="F80" s="27">
        <f t="shared" ref="F80" si="2">SUM(C80-B80)</f>
        <v>1527</v>
      </c>
      <c r="G80" s="20">
        <f t="shared" ref="G80" si="3">SUM(E80-D80)</f>
        <v>1348</v>
      </c>
      <c r="H80" s="21">
        <f t="shared" ref="H80" si="4">SUM(F80:G80)</f>
        <v>2875</v>
      </c>
      <c r="J80" s="7" t="s">
        <v>22</v>
      </c>
      <c r="K80" s="10">
        <v>169.94</v>
      </c>
      <c r="L80" s="11">
        <v>155.53</v>
      </c>
      <c r="M80" s="11">
        <v>241.35</v>
      </c>
      <c r="N80" s="11">
        <v>197.43</v>
      </c>
      <c r="O80" s="11">
        <v>195.91</v>
      </c>
      <c r="P80" s="11">
        <v>281.23</v>
      </c>
      <c r="Q80" s="11">
        <v>231.93</v>
      </c>
      <c r="R80" s="11"/>
      <c r="S80" s="11"/>
      <c r="T80" s="11"/>
      <c r="U80" s="12"/>
      <c r="Y80" s="7" t="s">
        <v>22</v>
      </c>
      <c r="Z80" s="10"/>
      <c r="AA80" s="11"/>
      <c r="AB80" s="11"/>
      <c r="AC80" s="11"/>
      <c r="AD80" s="11"/>
      <c r="AE80" s="12"/>
      <c r="AH80" s="7" t="s">
        <v>22</v>
      </c>
      <c r="AI80" s="10"/>
      <c r="AJ80" s="11"/>
      <c r="AK80" s="11"/>
      <c r="AL80" s="11"/>
      <c r="AM80" s="11"/>
      <c r="AN80" s="12"/>
    </row>
    <row r="81" spans="1:40" x14ac:dyDescent="0.25">
      <c r="J81" s="8"/>
      <c r="T81" s="8" t="s">
        <v>23</v>
      </c>
      <c r="U81" s="13">
        <f t="shared" ref="U81" si="5">SUM(K80:U80)</f>
        <v>1473.32</v>
      </c>
      <c r="AD81" s="8" t="s">
        <v>23</v>
      </c>
      <c r="AE81" s="13">
        <f t="shared" ref="AE81" si="6">SUM(Z80:AE80)</f>
        <v>0</v>
      </c>
      <c r="AM81" s="8" t="s">
        <v>23</v>
      </c>
      <c r="AN81" s="13">
        <f t="shared" ref="AN81" si="7">SUM(AI80:AN80)</f>
        <v>0</v>
      </c>
    </row>
    <row r="82" spans="1:40" ht="15.75" thickBot="1" x14ac:dyDescent="0.3">
      <c r="A82" s="19"/>
      <c r="B82" s="97" t="s">
        <v>17</v>
      </c>
      <c r="C82" s="97"/>
      <c r="D82" s="97"/>
      <c r="E82" s="97"/>
      <c r="F82" s="97"/>
      <c r="G82" s="97"/>
      <c r="H82" s="97"/>
      <c r="J82" s="98" t="s">
        <v>17</v>
      </c>
      <c r="K82" s="98"/>
      <c r="L82" s="98"/>
      <c r="M82" s="98"/>
      <c r="N82" s="98"/>
      <c r="O82" s="98"/>
      <c r="P82" s="98"/>
      <c r="Q82" s="98"/>
      <c r="R82" s="98"/>
      <c r="S82" s="98"/>
      <c r="T82" s="98"/>
      <c r="U82" s="98"/>
      <c r="Y82" s="95" t="str">
        <f t="shared" ref="Y82" si="8">J82</f>
        <v>Agosto</v>
      </c>
      <c r="Z82" s="95"/>
      <c r="AA82" s="95"/>
      <c r="AB82" s="95"/>
      <c r="AC82" s="95"/>
      <c r="AD82" s="95"/>
      <c r="AE82" s="95"/>
      <c r="AH82" s="96" t="str">
        <f t="shared" ref="AH82" si="9">Y82</f>
        <v>Agosto</v>
      </c>
      <c r="AI82" s="96"/>
      <c r="AJ82" s="96"/>
      <c r="AK82" s="96"/>
      <c r="AL82" s="96"/>
      <c r="AM82" s="96"/>
      <c r="AN82" s="96"/>
    </row>
    <row r="83" spans="1:40" ht="15.75" thickBot="1" x14ac:dyDescent="0.3">
      <c r="A83" s="99" t="s">
        <v>5</v>
      </c>
      <c r="B83" s="34" t="s">
        <v>6</v>
      </c>
      <c r="C83" s="22" t="s">
        <v>7</v>
      </c>
      <c r="D83" s="33" t="s">
        <v>8</v>
      </c>
      <c r="E83" s="22" t="s">
        <v>9</v>
      </c>
      <c r="F83" s="24" t="s">
        <v>10</v>
      </c>
      <c r="G83" s="23" t="s">
        <v>11</v>
      </c>
      <c r="H83" s="25" t="s">
        <v>12</v>
      </c>
      <c r="J83" s="6" t="s">
        <v>4</v>
      </c>
      <c r="K83" s="9">
        <v>45881</v>
      </c>
      <c r="L83" s="66">
        <v>45891</v>
      </c>
      <c r="M83" s="66"/>
      <c r="N83" s="66"/>
      <c r="O83" s="66"/>
      <c r="P83" s="66"/>
      <c r="Q83" s="66"/>
      <c r="R83" s="66"/>
      <c r="S83" s="4"/>
      <c r="T83" s="4"/>
      <c r="U83" s="5"/>
      <c r="Y83" s="6" t="s">
        <v>4</v>
      </c>
      <c r="Z83" s="9"/>
      <c r="AA83" s="4"/>
      <c r="AB83" s="4"/>
      <c r="AC83" s="4"/>
      <c r="AD83" s="4"/>
      <c r="AE83" s="5"/>
      <c r="AH83" s="6" t="s">
        <v>4</v>
      </c>
      <c r="AI83" s="9"/>
      <c r="AJ83" s="4"/>
      <c r="AK83" s="4"/>
      <c r="AL83" s="4"/>
      <c r="AM83" s="4"/>
      <c r="AN83" s="5"/>
    </row>
    <row r="84" spans="1:40" ht="15.75" thickBot="1" x14ac:dyDescent="0.3">
      <c r="A84" s="99"/>
      <c r="B84" s="27">
        <v>35375</v>
      </c>
      <c r="C84" s="27">
        <v>37970</v>
      </c>
      <c r="D84" s="27">
        <v>37970</v>
      </c>
      <c r="E84" s="27">
        <v>42700</v>
      </c>
      <c r="F84" s="27">
        <f t="shared" ref="F84" si="10">SUM(C84-B84)</f>
        <v>2595</v>
      </c>
      <c r="G84" s="20">
        <f t="shared" ref="G84" si="11">SUM(E84-D84)</f>
        <v>4730</v>
      </c>
      <c r="H84" s="21">
        <f t="shared" ref="H84" si="12">SUM(F84:G84)</f>
        <v>7325</v>
      </c>
      <c r="J84" s="7" t="s">
        <v>22</v>
      </c>
      <c r="K84" s="10">
        <v>271.54000000000002</v>
      </c>
      <c r="L84" s="11">
        <v>110</v>
      </c>
      <c r="M84" s="11"/>
      <c r="N84" s="11"/>
      <c r="O84" s="11"/>
      <c r="P84" s="11"/>
      <c r="Q84" s="11"/>
      <c r="R84" s="11"/>
      <c r="S84" s="11"/>
      <c r="T84" s="11"/>
      <c r="U84" s="12"/>
      <c r="Y84" s="7" t="s">
        <v>22</v>
      </c>
      <c r="Z84" s="10"/>
      <c r="AA84" s="11"/>
      <c r="AB84" s="11"/>
      <c r="AC84" s="11"/>
      <c r="AD84" s="11"/>
      <c r="AE84" s="12"/>
      <c r="AH84" s="7" t="s">
        <v>22</v>
      </c>
      <c r="AI84" s="10"/>
      <c r="AJ84" s="11"/>
      <c r="AK84" s="11"/>
      <c r="AL84" s="11"/>
      <c r="AM84" s="11"/>
      <c r="AN84" s="12"/>
    </row>
    <row r="85" spans="1:40" x14ac:dyDescent="0.25">
      <c r="J85" s="8"/>
      <c r="T85" s="8" t="s">
        <v>23</v>
      </c>
      <c r="U85" s="13">
        <f t="shared" ref="U85" si="13">SUM(K84:U84)</f>
        <v>381.54</v>
      </c>
      <c r="AD85" s="8" t="s">
        <v>23</v>
      </c>
      <c r="AE85" s="13">
        <f t="shared" ref="AE85" si="14">SUM(Z84:AE84)</f>
        <v>0</v>
      </c>
      <c r="AM85" s="8" t="s">
        <v>23</v>
      </c>
      <c r="AN85" s="13">
        <f t="shared" ref="AN85" si="15">SUM(AI84:AN84)</f>
        <v>0</v>
      </c>
    </row>
    <row r="86" spans="1:40" ht="15.75" thickBot="1" x14ac:dyDescent="0.3">
      <c r="A86" s="19"/>
      <c r="B86" s="97" t="s">
        <v>18</v>
      </c>
      <c r="C86" s="97"/>
      <c r="D86" s="97"/>
      <c r="E86" s="97"/>
      <c r="F86" s="97"/>
      <c r="G86" s="97"/>
      <c r="H86" s="97"/>
      <c r="J86" s="98" t="s">
        <v>18</v>
      </c>
      <c r="K86" s="98"/>
      <c r="L86" s="98"/>
      <c r="M86" s="98"/>
      <c r="N86" s="98"/>
      <c r="O86" s="98"/>
      <c r="P86" s="98"/>
      <c r="Q86" s="98"/>
      <c r="R86" s="98"/>
      <c r="S86" s="98"/>
      <c r="T86" s="98"/>
      <c r="U86" s="98"/>
      <c r="Y86" s="95" t="str">
        <f t="shared" ref="Y86" si="16">J86</f>
        <v>Setembro</v>
      </c>
      <c r="Z86" s="95"/>
      <c r="AA86" s="95"/>
      <c r="AB86" s="95"/>
      <c r="AC86" s="95"/>
      <c r="AD86" s="95"/>
      <c r="AE86" s="95"/>
      <c r="AH86" s="96" t="str">
        <f t="shared" ref="AH86" si="17">Y86</f>
        <v>Setembro</v>
      </c>
      <c r="AI86" s="96"/>
      <c r="AJ86" s="96"/>
      <c r="AK86" s="96"/>
      <c r="AL86" s="96"/>
      <c r="AM86" s="96"/>
      <c r="AN86" s="96"/>
    </row>
    <row r="87" spans="1:40" ht="15.75" thickBot="1" x14ac:dyDescent="0.3">
      <c r="A87" s="99" t="s">
        <v>5</v>
      </c>
      <c r="B87" s="34" t="s">
        <v>6</v>
      </c>
      <c r="C87" s="22" t="s">
        <v>7</v>
      </c>
      <c r="D87" s="33" t="s">
        <v>8</v>
      </c>
      <c r="E87" s="22" t="s">
        <v>9</v>
      </c>
      <c r="F87" s="24" t="s">
        <v>10</v>
      </c>
      <c r="G87" s="23" t="s">
        <v>11</v>
      </c>
      <c r="H87" s="25" t="s">
        <v>12</v>
      </c>
      <c r="J87" s="6" t="s">
        <v>4</v>
      </c>
      <c r="K87" s="9">
        <v>45905</v>
      </c>
      <c r="L87" s="66">
        <v>45911</v>
      </c>
      <c r="M87" s="66">
        <v>45916</v>
      </c>
      <c r="N87" s="66">
        <v>45918</v>
      </c>
      <c r="O87" s="66">
        <v>45923</v>
      </c>
      <c r="P87" s="66">
        <v>45925</v>
      </c>
      <c r="Q87" s="66"/>
      <c r="R87" s="66"/>
      <c r="S87" s="4"/>
      <c r="T87" s="4"/>
      <c r="U87" s="5"/>
      <c r="Y87" s="6" t="s">
        <v>4</v>
      </c>
      <c r="Z87" s="9"/>
      <c r="AA87" s="4"/>
      <c r="AB87" s="4"/>
      <c r="AC87" s="4"/>
      <c r="AD87" s="4"/>
      <c r="AE87" s="5"/>
      <c r="AH87" s="6" t="s">
        <v>4</v>
      </c>
      <c r="AI87" s="9"/>
      <c r="AJ87" s="4"/>
      <c r="AK87" s="4"/>
      <c r="AL87" s="4"/>
      <c r="AM87" s="4"/>
      <c r="AN87" s="5"/>
    </row>
    <row r="88" spans="1:40" ht="15.75" thickBot="1" x14ac:dyDescent="0.3">
      <c r="A88" s="99"/>
      <c r="B88" s="27">
        <v>42700</v>
      </c>
      <c r="C88" s="27">
        <v>45000</v>
      </c>
      <c r="D88" s="27">
        <v>45000</v>
      </c>
      <c r="E88" s="27">
        <v>47100</v>
      </c>
      <c r="F88" s="27">
        <f t="shared" ref="F88" si="18">SUM(C88-B88)</f>
        <v>2300</v>
      </c>
      <c r="G88" s="20">
        <f t="shared" ref="G88" si="19">SUM(E88-D88)</f>
        <v>2100</v>
      </c>
      <c r="H88" s="21">
        <f t="shared" ref="H88" si="20">SUM(F88:G88)</f>
        <v>4400</v>
      </c>
      <c r="J88" s="7" t="s">
        <v>22</v>
      </c>
      <c r="K88" s="10">
        <v>245</v>
      </c>
      <c r="L88" s="11">
        <v>228.05</v>
      </c>
      <c r="M88" s="11">
        <v>211.8</v>
      </c>
      <c r="N88" s="11">
        <v>255.58</v>
      </c>
      <c r="O88" s="11">
        <v>235.06</v>
      </c>
      <c r="P88" s="11">
        <v>243.06</v>
      </c>
      <c r="Q88" s="11"/>
      <c r="R88" s="11"/>
      <c r="S88" s="11"/>
      <c r="T88" s="11"/>
      <c r="U88" s="12"/>
      <c r="Y88" s="7" t="s">
        <v>22</v>
      </c>
      <c r="Z88" s="10"/>
      <c r="AA88" s="11"/>
      <c r="AB88" s="11"/>
      <c r="AC88" s="11"/>
      <c r="AD88" s="11"/>
      <c r="AE88" s="12"/>
      <c r="AH88" s="7" t="s">
        <v>22</v>
      </c>
      <c r="AI88" s="10"/>
      <c r="AJ88" s="11"/>
      <c r="AK88" s="11"/>
      <c r="AL88" s="11"/>
      <c r="AM88" s="11"/>
      <c r="AN88" s="12"/>
    </row>
    <row r="89" spans="1:40" x14ac:dyDescent="0.25">
      <c r="J89" s="8"/>
      <c r="T89" s="8" t="s">
        <v>23</v>
      </c>
      <c r="U89" s="13">
        <f t="shared" ref="U89" si="21">SUM(K88:U88)</f>
        <v>1418.55</v>
      </c>
      <c r="AD89" s="8" t="s">
        <v>23</v>
      </c>
      <c r="AE89" s="13">
        <f t="shared" ref="AE89" si="22">SUM(Z88:AE88)</f>
        <v>0</v>
      </c>
      <c r="AM89" s="8" t="s">
        <v>23</v>
      </c>
      <c r="AN89" s="13">
        <f t="shared" ref="AN89" si="23">SUM(AI88:AN88)</f>
        <v>0</v>
      </c>
    </row>
    <row r="90" spans="1:40" ht="15.75" thickBot="1" x14ac:dyDescent="0.3">
      <c r="A90" s="19"/>
      <c r="B90" s="97" t="s">
        <v>19</v>
      </c>
      <c r="C90" s="97"/>
      <c r="D90" s="97"/>
      <c r="E90" s="97"/>
      <c r="F90" s="97"/>
      <c r="G90" s="97"/>
      <c r="H90" s="97"/>
      <c r="J90" s="98" t="s">
        <v>19</v>
      </c>
      <c r="K90" s="98"/>
      <c r="L90" s="98"/>
      <c r="M90" s="98"/>
      <c r="N90" s="98"/>
      <c r="O90" s="98"/>
      <c r="P90" s="98"/>
      <c r="Q90" s="98"/>
      <c r="R90" s="98"/>
      <c r="S90" s="98"/>
      <c r="T90" s="98"/>
      <c r="U90" s="98"/>
      <c r="Y90" s="95" t="str">
        <f t="shared" ref="Y90" si="24">J90</f>
        <v>Outubro</v>
      </c>
      <c r="Z90" s="95"/>
      <c r="AA90" s="95"/>
      <c r="AB90" s="95"/>
      <c r="AC90" s="95"/>
      <c r="AD90" s="95"/>
      <c r="AE90" s="95"/>
      <c r="AH90" s="96" t="str">
        <f t="shared" ref="AH90" si="25">Y90</f>
        <v>Outubro</v>
      </c>
      <c r="AI90" s="96"/>
      <c r="AJ90" s="96"/>
      <c r="AK90" s="96"/>
      <c r="AL90" s="96"/>
      <c r="AM90" s="96"/>
      <c r="AN90" s="96"/>
    </row>
    <row r="91" spans="1:40" ht="15.75" thickBot="1" x14ac:dyDescent="0.3">
      <c r="A91" s="99" t="s">
        <v>5</v>
      </c>
      <c r="B91" s="34" t="s">
        <v>6</v>
      </c>
      <c r="C91" s="22" t="s">
        <v>7</v>
      </c>
      <c r="D91" s="33" t="s">
        <v>8</v>
      </c>
      <c r="E91" s="22" t="s">
        <v>9</v>
      </c>
      <c r="F91" s="24" t="s">
        <v>10</v>
      </c>
      <c r="G91" s="23" t="s">
        <v>11</v>
      </c>
      <c r="H91" s="25" t="s">
        <v>12</v>
      </c>
      <c r="J91" s="6" t="s">
        <v>4</v>
      </c>
      <c r="K91" s="9">
        <v>45932</v>
      </c>
      <c r="L91" s="66">
        <v>45936</v>
      </c>
      <c r="M91" s="66">
        <v>45938</v>
      </c>
      <c r="N91" s="66">
        <v>45941</v>
      </c>
      <c r="O91" s="66">
        <v>45945</v>
      </c>
      <c r="P91" s="66">
        <v>45952</v>
      </c>
      <c r="Q91" s="66">
        <v>45955</v>
      </c>
      <c r="R91" s="66"/>
      <c r="S91" s="4"/>
      <c r="T91" s="4"/>
      <c r="U91" s="5"/>
      <c r="Y91" s="6" t="s">
        <v>4</v>
      </c>
      <c r="Z91" s="9"/>
      <c r="AA91" s="4"/>
      <c r="AB91" s="4"/>
      <c r="AC91" s="4"/>
      <c r="AD91" s="4"/>
      <c r="AE91" s="5"/>
      <c r="AH91" s="6" t="s">
        <v>4</v>
      </c>
      <c r="AI91" s="9"/>
      <c r="AJ91" s="4"/>
      <c r="AK91" s="4"/>
      <c r="AL91" s="4"/>
      <c r="AM91" s="4"/>
      <c r="AN91" s="5"/>
    </row>
    <row r="92" spans="1:40" ht="15.75" thickBot="1" x14ac:dyDescent="0.3">
      <c r="A92" s="99"/>
      <c r="B92" s="27">
        <v>47100</v>
      </c>
      <c r="C92" s="27">
        <v>48974</v>
      </c>
      <c r="D92" s="27">
        <v>48974</v>
      </c>
      <c r="E92" s="27">
        <v>50438</v>
      </c>
      <c r="F92" s="27">
        <f t="shared" ref="F92" si="26">SUM(C92-B92)</f>
        <v>1874</v>
      </c>
      <c r="G92" s="20">
        <f t="shared" ref="G92" si="27">SUM(E92-D92)</f>
        <v>1464</v>
      </c>
      <c r="H92" s="21">
        <f t="shared" ref="H92" si="28">SUM(F92:G92)</f>
        <v>3338</v>
      </c>
      <c r="J92" s="7" t="s">
        <v>22</v>
      </c>
      <c r="K92" s="10">
        <v>228.34</v>
      </c>
      <c r="L92" s="11">
        <v>212</v>
      </c>
      <c r="M92" s="11">
        <v>204.5</v>
      </c>
      <c r="N92" s="11">
        <v>275.05</v>
      </c>
      <c r="O92" s="11">
        <v>223.9</v>
      </c>
      <c r="P92" s="11">
        <v>215.13</v>
      </c>
      <c r="Q92" s="11">
        <v>151.55000000000001</v>
      </c>
      <c r="R92" s="11"/>
      <c r="S92" s="11"/>
      <c r="T92" s="11"/>
      <c r="U92" s="12"/>
      <c r="Y92" s="7" t="s">
        <v>22</v>
      </c>
      <c r="Z92" s="10"/>
      <c r="AA92" s="11"/>
      <c r="AB92" s="11"/>
      <c r="AC92" s="11"/>
      <c r="AD92" s="11"/>
      <c r="AE92" s="12"/>
      <c r="AH92" s="7" t="s">
        <v>22</v>
      </c>
      <c r="AI92" s="10"/>
      <c r="AJ92" s="11"/>
      <c r="AK92" s="11"/>
      <c r="AL92" s="11"/>
      <c r="AM92" s="11"/>
      <c r="AN92" s="12"/>
    </row>
    <row r="93" spans="1:40" x14ac:dyDescent="0.25">
      <c r="J93" s="8"/>
      <c r="T93" s="8" t="s">
        <v>23</v>
      </c>
      <c r="U93" s="13">
        <f t="shared" ref="U93" si="29">SUM(K92:U92)</f>
        <v>1510.47</v>
      </c>
      <c r="AD93" s="8" t="s">
        <v>23</v>
      </c>
      <c r="AE93" s="13">
        <f t="shared" ref="AE93" si="30">SUM(Z92:AE92)</f>
        <v>0</v>
      </c>
      <c r="AM93" s="8" t="s">
        <v>23</v>
      </c>
      <c r="AN93" s="13">
        <f t="shared" ref="AN93" si="31">SUM(AI92:AN92)</f>
        <v>0</v>
      </c>
    </row>
    <row r="94" spans="1:40" ht="15.75" thickBot="1" x14ac:dyDescent="0.3">
      <c r="A94" s="19"/>
      <c r="B94" s="97" t="s">
        <v>20</v>
      </c>
      <c r="C94" s="97"/>
      <c r="D94" s="97"/>
      <c r="E94" s="97"/>
      <c r="F94" s="97"/>
      <c r="G94" s="97"/>
      <c r="H94" s="97"/>
      <c r="J94" s="98" t="s">
        <v>20</v>
      </c>
      <c r="K94" s="98"/>
      <c r="L94" s="98"/>
      <c r="M94" s="98"/>
      <c r="N94" s="98"/>
      <c r="O94" s="98"/>
      <c r="P94" s="98"/>
      <c r="Q94" s="98"/>
      <c r="R94" s="98"/>
      <c r="S94" s="98"/>
      <c r="T94" s="98"/>
      <c r="U94" s="98"/>
      <c r="Y94" s="95" t="str">
        <f t="shared" ref="Y94" si="32">J94</f>
        <v>Novembro</v>
      </c>
      <c r="Z94" s="95"/>
      <c r="AA94" s="95"/>
      <c r="AB94" s="95"/>
      <c r="AC94" s="95"/>
      <c r="AD94" s="95"/>
      <c r="AE94" s="95"/>
      <c r="AH94" s="96" t="str">
        <f t="shared" ref="AH94" si="33">Y94</f>
        <v>Novembro</v>
      </c>
      <c r="AI94" s="96"/>
      <c r="AJ94" s="96"/>
      <c r="AK94" s="96"/>
      <c r="AL94" s="96"/>
      <c r="AM94" s="96"/>
      <c r="AN94" s="96"/>
    </row>
    <row r="95" spans="1:40" ht="15.75" thickBot="1" x14ac:dyDescent="0.3">
      <c r="A95" s="99" t="s">
        <v>5</v>
      </c>
      <c r="B95" s="34" t="s">
        <v>6</v>
      </c>
      <c r="C95" s="22" t="s">
        <v>7</v>
      </c>
      <c r="D95" s="33" t="s">
        <v>8</v>
      </c>
      <c r="E95" s="22" t="s">
        <v>9</v>
      </c>
      <c r="F95" s="24" t="s">
        <v>10</v>
      </c>
      <c r="G95" s="23" t="s">
        <v>11</v>
      </c>
      <c r="H95" s="25" t="s">
        <v>12</v>
      </c>
      <c r="J95" s="6" t="s">
        <v>4</v>
      </c>
      <c r="K95" s="9">
        <v>45962</v>
      </c>
      <c r="L95" s="66">
        <v>45966</v>
      </c>
      <c r="M95" s="66">
        <v>45968</v>
      </c>
      <c r="N95" s="66">
        <v>45980</v>
      </c>
      <c r="O95" s="66">
        <v>45983</v>
      </c>
      <c r="P95" s="66">
        <v>45987</v>
      </c>
      <c r="Q95" s="66">
        <v>45989</v>
      </c>
      <c r="R95" s="66"/>
      <c r="S95" s="4"/>
      <c r="T95" s="4"/>
      <c r="U95" s="5"/>
      <c r="Y95" s="6" t="s">
        <v>4</v>
      </c>
      <c r="Z95" s="9"/>
      <c r="AA95" s="4"/>
      <c r="AB95" s="4"/>
      <c r="AC95" s="4"/>
      <c r="AD95" s="4"/>
      <c r="AE95" s="5"/>
      <c r="AH95" s="6" t="s">
        <v>4</v>
      </c>
      <c r="AI95" s="9"/>
      <c r="AJ95" s="4"/>
      <c r="AK95" s="4"/>
      <c r="AL95" s="4"/>
      <c r="AM95" s="4"/>
      <c r="AN95" s="5"/>
    </row>
    <row r="96" spans="1:40" ht="15.75" thickBot="1" x14ac:dyDescent="0.3">
      <c r="A96" s="99"/>
      <c r="B96" s="27">
        <v>50438</v>
      </c>
      <c r="C96" s="27">
        <v>52369</v>
      </c>
      <c r="D96" s="27">
        <v>52369</v>
      </c>
      <c r="E96" s="27">
        <v>56210</v>
      </c>
      <c r="F96" s="27">
        <f t="shared" ref="F96" si="34">SUM(C96-B96)</f>
        <v>1931</v>
      </c>
      <c r="G96" s="20">
        <f t="shared" ref="G96" si="35">SUM(E96-D96)</f>
        <v>3841</v>
      </c>
      <c r="H96" s="21">
        <f t="shared" ref="H96" si="36">SUM(F96:G96)</f>
        <v>5772</v>
      </c>
      <c r="J96" s="7" t="s">
        <v>22</v>
      </c>
      <c r="K96" s="10">
        <v>250.02</v>
      </c>
      <c r="L96" s="11">
        <v>315.52999999999997</v>
      </c>
      <c r="M96" s="11">
        <v>135.03</v>
      </c>
      <c r="N96" s="11">
        <v>357.08</v>
      </c>
      <c r="O96" s="11">
        <v>336.96</v>
      </c>
      <c r="P96" s="11">
        <v>324.48</v>
      </c>
      <c r="Q96" s="11">
        <v>350.33</v>
      </c>
      <c r="R96" s="11"/>
      <c r="S96" s="11"/>
      <c r="T96" s="11"/>
      <c r="U96" s="12"/>
      <c r="Y96" s="7" t="s">
        <v>22</v>
      </c>
      <c r="Z96" s="10"/>
      <c r="AA96" s="11"/>
      <c r="AB96" s="11"/>
      <c r="AC96" s="11"/>
      <c r="AD96" s="11"/>
      <c r="AE96" s="12"/>
      <c r="AH96" s="7" t="s">
        <v>22</v>
      </c>
      <c r="AI96" s="10"/>
      <c r="AJ96" s="11"/>
      <c r="AK96" s="11"/>
      <c r="AL96" s="11"/>
      <c r="AM96" s="11"/>
      <c r="AN96" s="12"/>
    </row>
    <row r="97" spans="1:40" x14ac:dyDescent="0.25">
      <c r="J97" s="8"/>
      <c r="T97" s="8" t="s">
        <v>23</v>
      </c>
      <c r="U97" s="13">
        <f t="shared" ref="U97" si="37">SUM(K96:U96)</f>
        <v>2069.4299999999998</v>
      </c>
      <c r="AD97" s="8" t="s">
        <v>23</v>
      </c>
      <c r="AE97" s="13">
        <f t="shared" ref="AE97" si="38">SUM(Z96:AE96)</f>
        <v>0</v>
      </c>
      <c r="AM97" s="8" t="s">
        <v>23</v>
      </c>
      <c r="AN97" s="13">
        <f t="shared" ref="AN97" si="39">SUM(AI96:AN96)</f>
        <v>0</v>
      </c>
    </row>
    <row r="98" spans="1:40" ht="15.75" thickBot="1" x14ac:dyDescent="0.3">
      <c r="A98" s="19"/>
      <c r="B98" s="97" t="s">
        <v>21</v>
      </c>
      <c r="C98" s="97"/>
      <c r="D98" s="97"/>
      <c r="E98" s="97"/>
      <c r="F98" s="97"/>
      <c r="G98" s="97"/>
      <c r="H98" s="97"/>
      <c r="J98" s="98" t="s">
        <v>21</v>
      </c>
      <c r="K98" s="98"/>
      <c r="L98" s="98"/>
      <c r="M98" s="98"/>
      <c r="N98" s="98"/>
      <c r="O98" s="98"/>
      <c r="P98" s="98"/>
      <c r="Q98" s="98"/>
      <c r="R98" s="98"/>
      <c r="S98" s="98"/>
      <c r="T98" s="98"/>
      <c r="U98" s="98"/>
      <c r="Y98" s="95" t="str">
        <f>J98</f>
        <v>Dezembro</v>
      </c>
      <c r="Z98" s="95"/>
      <c r="AA98" s="95"/>
      <c r="AB98" s="95"/>
      <c r="AC98" s="95"/>
      <c r="AD98" s="95"/>
      <c r="AE98" s="95"/>
      <c r="AH98" s="96" t="str">
        <f>Y98</f>
        <v>Dezembro</v>
      </c>
      <c r="AI98" s="96"/>
      <c r="AJ98" s="96"/>
      <c r="AK98" s="96"/>
      <c r="AL98" s="96"/>
      <c r="AM98" s="96"/>
      <c r="AN98" s="96"/>
    </row>
    <row r="99" spans="1:40" ht="15.75" thickBot="1" x14ac:dyDescent="0.3">
      <c r="A99" s="99" t="s">
        <v>5</v>
      </c>
      <c r="B99" s="34" t="s">
        <v>6</v>
      </c>
      <c r="C99" s="22" t="s">
        <v>7</v>
      </c>
      <c r="D99" s="33" t="s">
        <v>8</v>
      </c>
      <c r="E99" s="22" t="s">
        <v>9</v>
      </c>
      <c r="F99" s="24" t="s">
        <v>10</v>
      </c>
      <c r="G99" s="23" t="s">
        <v>11</v>
      </c>
      <c r="H99" s="25" t="s">
        <v>12</v>
      </c>
      <c r="J99" s="6" t="s">
        <v>4</v>
      </c>
      <c r="K99" s="9"/>
      <c r="L99" s="4"/>
      <c r="M99" s="4"/>
      <c r="N99" s="4"/>
      <c r="O99" s="4"/>
      <c r="P99" s="4"/>
      <c r="Q99" s="4"/>
      <c r="R99" s="4"/>
      <c r="S99" s="4"/>
      <c r="T99" s="4"/>
      <c r="U99" s="5"/>
      <c r="Y99" s="6" t="s">
        <v>4</v>
      </c>
      <c r="Z99" s="9"/>
      <c r="AA99" s="4"/>
      <c r="AB99" s="4"/>
      <c r="AC99" s="4"/>
      <c r="AD99" s="4"/>
      <c r="AE99" s="5"/>
      <c r="AH99" s="6" t="s">
        <v>4</v>
      </c>
      <c r="AI99" s="9"/>
      <c r="AJ99" s="4"/>
      <c r="AK99" s="4"/>
      <c r="AL99" s="4"/>
      <c r="AM99" s="4"/>
      <c r="AN99" s="5"/>
    </row>
    <row r="100" spans="1:40" ht="15.75" thickBot="1" x14ac:dyDescent="0.3">
      <c r="A100" s="99"/>
      <c r="B100" s="27">
        <v>56210</v>
      </c>
      <c r="C100" s="27"/>
      <c r="D100" s="27"/>
      <c r="E100" s="27">
        <v>59408</v>
      </c>
      <c r="F100" s="27">
        <f>SUM(C100-B100)</f>
        <v>-56210</v>
      </c>
      <c r="G100" s="20">
        <f>SUM(E100-D100)</f>
        <v>59408</v>
      </c>
      <c r="H100" s="21">
        <f>SUM(F100:G100)</f>
        <v>3198</v>
      </c>
      <c r="J100" s="7" t="s">
        <v>22</v>
      </c>
      <c r="K100" s="10"/>
      <c r="L100" s="11"/>
      <c r="M100" s="11"/>
      <c r="N100" s="11"/>
      <c r="O100" s="11"/>
      <c r="P100" s="11"/>
      <c r="Q100" s="11"/>
      <c r="R100" s="11"/>
      <c r="S100" s="11"/>
      <c r="T100" s="11"/>
      <c r="U100" s="12"/>
      <c r="Y100" s="7" t="s">
        <v>22</v>
      </c>
      <c r="Z100" s="10"/>
      <c r="AA100" s="11"/>
      <c r="AB100" s="11"/>
      <c r="AC100" s="11"/>
      <c r="AD100" s="11"/>
      <c r="AE100" s="12"/>
      <c r="AH100" s="7" t="s">
        <v>22</v>
      </c>
      <c r="AI100" s="10"/>
      <c r="AJ100" s="11"/>
      <c r="AK100" s="11"/>
      <c r="AL100" s="11"/>
      <c r="AM100" s="11"/>
      <c r="AN100" s="12"/>
    </row>
    <row r="101" spans="1:40" x14ac:dyDescent="0.25">
      <c r="J101" s="8"/>
      <c r="T101" s="8" t="s">
        <v>23</v>
      </c>
      <c r="U101" s="13">
        <f>SUM(K100:U100)</f>
        <v>0</v>
      </c>
      <c r="AD101" s="8" t="s">
        <v>23</v>
      </c>
      <c r="AE101" s="13">
        <f>SUM(Z100:AE100)</f>
        <v>0</v>
      </c>
      <c r="AM101" s="8" t="s">
        <v>23</v>
      </c>
      <c r="AN101" s="13">
        <f>SUM(AI100:AN100)</f>
        <v>0</v>
      </c>
    </row>
    <row r="102" spans="1:40" ht="15.75" thickBot="1" x14ac:dyDescent="0.3">
      <c r="A102" s="19"/>
      <c r="B102" s="97" t="s">
        <v>102</v>
      </c>
      <c r="C102" s="97"/>
      <c r="D102" s="97"/>
      <c r="E102" s="97"/>
      <c r="F102" s="97"/>
      <c r="G102" s="97"/>
      <c r="H102" s="97"/>
      <c r="J102" s="98" t="s">
        <v>102</v>
      </c>
      <c r="K102" s="98"/>
      <c r="L102" s="98"/>
      <c r="M102" s="98"/>
      <c r="N102" s="98"/>
      <c r="O102" s="98"/>
      <c r="P102" s="98"/>
      <c r="Q102" s="98"/>
      <c r="R102" s="98"/>
      <c r="S102" s="98"/>
      <c r="T102" s="98"/>
      <c r="U102" s="98"/>
      <c r="Y102" s="95" t="str">
        <f>J102</f>
        <v>Janeiro</v>
      </c>
      <c r="Z102" s="95"/>
      <c r="AA102" s="95"/>
      <c r="AB102" s="95"/>
      <c r="AC102" s="95"/>
      <c r="AD102" s="95"/>
      <c r="AE102" s="95"/>
      <c r="AH102" s="96" t="str">
        <f>Y102</f>
        <v>Janeiro</v>
      </c>
      <c r="AI102" s="96"/>
      <c r="AJ102" s="96"/>
      <c r="AK102" s="96"/>
      <c r="AL102" s="96"/>
      <c r="AM102" s="96"/>
      <c r="AN102" s="96"/>
    </row>
    <row r="103" spans="1:40" ht="15.75" thickBot="1" x14ac:dyDescent="0.3">
      <c r="A103" s="99" t="s">
        <v>5</v>
      </c>
      <c r="B103" s="34" t="s">
        <v>6</v>
      </c>
      <c r="C103" s="22" t="s">
        <v>7</v>
      </c>
      <c r="D103" s="33" t="s">
        <v>8</v>
      </c>
      <c r="E103" s="22" t="s">
        <v>9</v>
      </c>
      <c r="F103" s="24" t="s">
        <v>10</v>
      </c>
      <c r="G103" s="23" t="s">
        <v>11</v>
      </c>
      <c r="H103" s="25" t="s">
        <v>12</v>
      </c>
      <c r="J103" s="6" t="s">
        <v>4</v>
      </c>
      <c r="K103" s="9"/>
      <c r="L103" s="4"/>
      <c r="M103" s="4"/>
      <c r="N103" s="4"/>
      <c r="O103" s="4"/>
      <c r="P103" s="4"/>
      <c r="Q103" s="4"/>
      <c r="R103" s="4"/>
      <c r="S103" s="4"/>
      <c r="T103" s="4"/>
      <c r="U103" s="5"/>
      <c r="Y103" s="6" t="s">
        <v>4</v>
      </c>
      <c r="Z103" s="9"/>
      <c r="AA103" s="4"/>
      <c r="AB103" s="4"/>
      <c r="AC103" s="4"/>
      <c r="AD103" s="4"/>
      <c r="AE103" s="5"/>
      <c r="AH103" s="6" t="s">
        <v>4</v>
      </c>
      <c r="AI103" s="9"/>
      <c r="AJ103" s="4"/>
      <c r="AK103" s="4"/>
      <c r="AL103" s="4"/>
      <c r="AM103" s="4"/>
      <c r="AN103" s="5"/>
    </row>
    <row r="104" spans="1:40" ht="15.75" thickBot="1" x14ac:dyDescent="0.3">
      <c r="A104" s="99"/>
      <c r="B104" s="26">
        <v>59408</v>
      </c>
      <c r="C104" s="27"/>
      <c r="D104" s="27"/>
      <c r="E104" s="27">
        <v>64249</v>
      </c>
      <c r="F104" s="27">
        <f>SUM(C104-B104)</f>
        <v>-59408</v>
      </c>
      <c r="G104" s="20">
        <f>SUM(E104-D104)</f>
        <v>64249</v>
      </c>
      <c r="H104" s="21">
        <f>SUM(F104:G104)</f>
        <v>4841</v>
      </c>
      <c r="J104" s="7" t="s">
        <v>22</v>
      </c>
      <c r="K104" s="10"/>
      <c r="L104" s="11"/>
      <c r="M104" s="11"/>
      <c r="N104" s="11"/>
      <c r="O104" s="11"/>
      <c r="P104" s="11"/>
      <c r="Q104" s="11"/>
      <c r="R104" s="11"/>
      <c r="S104" s="11"/>
      <c r="T104" s="11"/>
      <c r="U104" s="12"/>
      <c r="Y104" s="7" t="s">
        <v>22</v>
      </c>
      <c r="Z104" s="10"/>
      <c r="AA104" s="11"/>
      <c r="AB104" s="11"/>
      <c r="AC104" s="11"/>
      <c r="AD104" s="11"/>
      <c r="AE104" s="12"/>
      <c r="AH104" s="7" t="s">
        <v>22</v>
      </c>
      <c r="AI104" s="10"/>
      <c r="AJ104" s="11"/>
      <c r="AK104" s="11"/>
      <c r="AL104" s="11"/>
      <c r="AM104" s="11"/>
      <c r="AN104" s="12"/>
    </row>
    <row r="105" spans="1:40" x14ac:dyDescent="0.25">
      <c r="J105" s="8"/>
      <c r="T105" s="8" t="s">
        <v>23</v>
      </c>
      <c r="U105" s="13">
        <f>SUM(K104:U104)</f>
        <v>0</v>
      </c>
      <c r="AD105" s="8" t="s">
        <v>23</v>
      </c>
      <c r="AE105" s="13">
        <f>SUM(Z104:AE104)</f>
        <v>0</v>
      </c>
      <c r="AM105" s="8" t="s">
        <v>23</v>
      </c>
      <c r="AN105" s="13">
        <f>SUM(AI104:AN104)</f>
        <v>0</v>
      </c>
    </row>
    <row r="106" spans="1:40" ht="15.75" thickBot="1" x14ac:dyDescent="0.3">
      <c r="A106" s="19"/>
      <c r="B106" s="97" t="s">
        <v>3</v>
      </c>
      <c r="C106" s="97"/>
      <c r="D106" s="97"/>
      <c r="E106" s="97"/>
      <c r="F106" s="97"/>
      <c r="G106" s="97"/>
      <c r="H106" s="97"/>
      <c r="J106" s="98" t="s">
        <v>3</v>
      </c>
      <c r="K106" s="98"/>
      <c r="L106" s="98"/>
      <c r="M106" s="98"/>
      <c r="N106" s="98"/>
      <c r="O106" s="98"/>
      <c r="P106" s="98"/>
      <c r="Q106" s="98"/>
      <c r="R106" s="98"/>
      <c r="S106" s="98"/>
      <c r="T106" s="98"/>
      <c r="U106" s="98"/>
      <c r="Y106" s="95" t="s">
        <v>3</v>
      </c>
      <c r="Z106" s="95"/>
      <c r="AA106" s="95"/>
      <c r="AB106" s="95"/>
      <c r="AC106" s="95"/>
      <c r="AD106" s="95"/>
      <c r="AE106" s="95"/>
      <c r="AH106" s="96" t="s">
        <v>3</v>
      </c>
      <c r="AI106" s="96"/>
      <c r="AJ106" s="96"/>
      <c r="AK106" s="96"/>
      <c r="AL106" s="96"/>
      <c r="AM106" s="96"/>
      <c r="AN106" s="96"/>
    </row>
    <row r="107" spans="1:40" ht="15.75" thickBot="1" x14ac:dyDescent="0.3">
      <c r="A107" s="99" t="s">
        <v>5</v>
      </c>
      <c r="B107" s="34" t="s">
        <v>6</v>
      </c>
      <c r="C107" s="22" t="s">
        <v>7</v>
      </c>
      <c r="D107" s="33" t="s">
        <v>8</v>
      </c>
      <c r="E107" s="22" t="s">
        <v>9</v>
      </c>
      <c r="F107" s="24" t="s">
        <v>10</v>
      </c>
      <c r="G107" s="23" t="s">
        <v>11</v>
      </c>
      <c r="H107" s="25" t="s">
        <v>12</v>
      </c>
      <c r="J107" s="28" t="s">
        <v>4</v>
      </c>
      <c r="K107" s="9"/>
      <c r="L107" s="4"/>
      <c r="M107" s="4"/>
      <c r="N107" s="4"/>
      <c r="O107" s="4"/>
      <c r="P107" s="4"/>
      <c r="Q107" s="4"/>
      <c r="R107" s="4"/>
      <c r="S107" s="4"/>
      <c r="T107" s="4"/>
      <c r="U107" s="5"/>
      <c r="Y107" s="6" t="s">
        <v>4</v>
      </c>
      <c r="Z107" s="9"/>
      <c r="AA107" s="4"/>
      <c r="AB107" s="4"/>
      <c r="AC107" s="4"/>
      <c r="AD107" s="4"/>
      <c r="AE107" s="5"/>
      <c r="AH107" s="6" t="s">
        <v>4</v>
      </c>
      <c r="AI107" s="9"/>
      <c r="AJ107" s="4"/>
      <c r="AK107" s="4"/>
      <c r="AL107" s="4"/>
      <c r="AM107" s="4"/>
      <c r="AN107" s="5"/>
    </row>
    <row r="108" spans="1:40" ht="15.75" thickBot="1" x14ac:dyDescent="0.3">
      <c r="A108" s="99"/>
      <c r="B108" s="26">
        <v>64249</v>
      </c>
      <c r="C108" s="27"/>
      <c r="D108" s="27"/>
      <c r="E108" s="27">
        <v>69700</v>
      </c>
      <c r="F108" s="27">
        <f>SUM(C108-B108)</f>
        <v>-64249</v>
      </c>
      <c r="G108" s="20">
        <f>SUM(E108-D108)</f>
        <v>69700</v>
      </c>
      <c r="H108" s="21">
        <f>SUM(F108:G108)</f>
        <v>5451</v>
      </c>
      <c r="J108" s="29" t="s">
        <v>22</v>
      </c>
      <c r="K108" s="10"/>
      <c r="L108" s="11"/>
      <c r="M108" s="11"/>
      <c r="N108" s="11"/>
      <c r="O108" s="11"/>
      <c r="P108" s="11"/>
      <c r="Q108" s="11"/>
      <c r="R108" s="11"/>
      <c r="S108" s="11"/>
      <c r="T108" s="11"/>
      <c r="U108" s="12"/>
      <c r="Y108" s="7" t="s">
        <v>22</v>
      </c>
      <c r="Z108" s="10"/>
      <c r="AA108" s="11"/>
      <c r="AB108" s="11"/>
      <c r="AC108" s="11"/>
      <c r="AD108" s="11"/>
      <c r="AE108" s="12"/>
      <c r="AH108" s="7" t="s">
        <v>22</v>
      </c>
      <c r="AI108" s="10"/>
      <c r="AJ108" s="11"/>
      <c r="AK108" s="11"/>
      <c r="AL108" s="11"/>
      <c r="AM108" s="11"/>
      <c r="AN108" s="12"/>
    </row>
    <row r="109" spans="1:40" x14ac:dyDescent="0.25">
      <c r="J109" s="8"/>
      <c r="T109" s="8" t="s">
        <v>23</v>
      </c>
      <c r="U109" s="13">
        <f>SUM(K108:U108)</f>
        <v>0</v>
      </c>
      <c r="AD109" s="8" t="s">
        <v>23</v>
      </c>
      <c r="AE109" s="13">
        <f>SUM(Z108:AE108)</f>
        <v>0</v>
      </c>
      <c r="AM109" s="8" t="s">
        <v>23</v>
      </c>
      <c r="AN109" s="13">
        <f>SUM(AI108:AN108)</f>
        <v>0</v>
      </c>
    </row>
    <row r="110" spans="1:40" ht="15.75" thickBot="1" x14ac:dyDescent="0.3">
      <c r="A110" s="19"/>
      <c r="B110" s="97" t="s">
        <v>13</v>
      </c>
      <c r="C110" s="97"/>
      <c r="D110" s="97"/>
      <c r="E110" s="97"/>
      <c r="F110" s="97"/>
      <c r="G110" s="97"/>
      <c r="H110" s="97"/>
      <c r="J110" s="98" t="s">
        <v>13</v>
      </c>
      <c r="K110" s="98"/>
      <c r="L110" s="98"/>
      <c r="M110" s="98"/>
      <c r="N110" s="98"/>
      <c r="O110" s="98"/>
      <c r="P110" s="98"/>
      <c r="Q110" s="98"/>
      <c r="R110" s="98"/>
      <c r="S110" s="98"/>
      <c r="T110" s="98"/>
      <c r="U110" s="98"/>
      <c r="Y110" s="95" t="str">
        <f>J110</f>
        <v>Março</v>
      </c>
      <c r="Z110" s="95"/>
      <c r="AA110" s="95"/>
      <c r="AB110" s="95"/>
      <c r="AC110" s="95"/>
      <c r="AD110" s="95"/>
      <c r="AE110" s="95"/>
      <c r="AH110" s="96" t="str">
        <f>Y110</f>
        <v>Março</v>
      </c>
      <c r="AI110" s="96"/>
      <c r="AJ110" s="96"/>
      <c r="AK110" s="96"/>
      <c r="AL110" s="96"/>
      <c r="AM110" s="96"/>
      <c r="AN110" s="96"/>
    </row>
    <row r="111" spans="1:40" ht="15.75" thickBot="1" x14ac:dyDescent="0.3">
      <c r="A111" s="99" t="s">
        <v>5</v>
      </c>
      <c r="B111" s="34" t="s">
        <v>6</v>
      </c>
      <c r="C111" s="22" t="s">
        <v>7</v>
      </c>
      <c r="D111" s="33" t="s">
        <v>8</v>
      </c>
      <c r="E111" s="22" t="s">
        <v>9</v>
      </c>
      <c r="F111" s="24" t="s">
        <v>10</v>
      </c>
      <c r="G111" s="23" t="s">
        <v>11</v>
      </c>
      <c r="H111" s="25" t="s">
        <v>12</v>
      </c>
      <c r="J111" s="6" t="s">
        <v>4</v>
      </c>
      <c r="K111" s="9"/>
      <c r="L111" s="4"/>
      <c r="M111" s="4"/>
      <c r="N111" s="4"/>
      <c r="O111" s="4"/>
      <c r="P111" s="4"/>
      <c r="Q111" s="4"/>
      <c r="R111" s="4"/>
      <c r="S111" s="4"/>
      <c r="T111" s="4"/>
      <c r="U111" s="5"/>
      <c r="Y111" s="6" t="s">
        <v>4</v>
      </c>
      <c r="Z111" s="9"/>
      <c r="AA111" s="4"/>
      <c r="AB111" s="4"/>
      <c r="AC111" s="4"/>
      <c r="AD111" s="4"/>
      <c r="AE111" s="5"/>
      <c r="AH111" s="6" t="s">
        <v>4</v>
      </c>
      <c r="AI111" s="9"/>
      <c r="AJ111" s="4"/>
      <c r="AK111" s="4"/>
      <c r="AL111" s="4"/>
      <c r="AM111" s="4"/>
      <c r="AN111" s="5"/>
    </row>
    <row r="112" spans="1:40" ht="15.75" thickBot="1" x14ac:dyDescent="0.3">
      <c r="A112" s="99"/>
      <c r="B112" s="27">
        <v>69700</v>
      </c>
      <c r="C112" s="27"/>
      <c r="D112" s="27"/>
      <c r="E112" s="27">
        <v>77804</v>
      </c>
      <c r="F112" s="27">
        <f>SUM(C112-B112)</f>
        <v>-69700</v>
      </c>
      <c r="G112" s="20">
        <f>SUM(E112-D112)</f>
        <v>77804</v>
      </c>
      <c r="H112" s="21">
        <f>SUM(F112:G112)</f>
        <v>8104</v>
      </c>
      <c r="J112" s="7" t="s">
        <v>22</v>
      </c>
      <c r="K112" s="10"/>
      <c r="L112" s="11"/>
      <c r="M112" s="11"/>
      <c r="N112" s="11"/>
      <c r="O112" s="11"/>
      <c r="P112" s="11"/>
      <c r="Q112" s="11"/>
      <c r="R112" s="11"/>
      <c r="S112" s="11"/>
      <c r="T112" s="11"/>
      <c r="U112" s="12"/>
      <c r="Y112" s="7" t="s">
        <v>22</v>
      </c>
      <c r="Z112" s="10"/>
      <c r="AA112" s="11"/>
      <c r="AB112" s="11"/>
      <c r="AC112" s="11"/>
      <c r="AD112" s="11"/>
      <c r="AE112" s="12"/>
      <c r="AH112" s="7" t="s">
        <v>22</v>
      </c>
      <c r="AI112" s="10"/>
      <c r="AJ112" s="11"/>
      <c r="AK112" s="11"/>
      <c r="AL112" s="11"/>
      <c r="AM112" s="11"/>
      <c r="AN112" s="12"/>
    </row>
    <row r="113" spans="1:40" x14ac:dyDescent="0.25">
      <c r="J113" s="8"/>
      <c r="T113" s="8" t="s">
        <v>23</v>
      </c>
      <c r="U113" s="13">
        <f>SUM(K112:U112)</f>
        <v>0</v>
      </c>
      <c r="AD113" s="8" t="s">
        <v>23</v>
      </c>
      <c r="AE113" s="13">
        <f>SUM(Z112:AE112)</f>
        <v>0</v>
      </c>
      <c r="AM113" s="8" t="s">
        <v>23</v>
      </c>
      <c r="AN113" s="13">
        <f>SUM(AI112:AN112)</f>
        <v>0</v>
      </c>
    </row>
    <row r="114" spans="1:40" ht="15.75" thickBot="1" x14ac:dyDescent="0.3">
      <c r="A114" s="84" t="s">
        <v>103</v>
      </c>
      <c r="B114" s="97" t="s">
        <v>14</v>
      </c>
      <c r="C114" s="97"/>
      <c r="D114" s="97"/>
      <c r="E114" s="97"/>
      <c r="F114" s="97"/>
      <c r="G114" s="97"/>
      <c r="H114" s="97"/>
      <c r="J114" s="98" t="s">
        <v>14</v>
      </c>
      <c r="K114" s="98"/>
      <c r="L114" s="98"/>
      <c r="M114" s="98"/>
      <c r="N114" s="98"/>
      <c r="O114" s="98"/>
      <c r="P114" s="98"/>
      <c r="Q114" s="98"/>
      <c r="R114" s="98"/>
      <c r="S114" s="98"/>
      <c r="T114" s="98"/>
      <c r="U114" s="98"/>
      <c r="Y114" s="95" t="str">
        <f>J114</f>
        <v>Abril</v>
      </c>
      <c r="Z114" s="95"/>
      <c r="AA114" s="95"/>
      <c r="AB114" s="95"/>
      <c r="AC114" s="95"/>
      <c r="AD114" s="95"/>
      <c r="AE114" s="95"/>
      <c r="AH114" s="96" t="str">
        <f>Y114</f>
        <v>Abril</v>
      </c>
      <c r="AI114" s="96"/>
      <c r="AJ114" s="96"/>
      <c r="AK114" s="96"/>
      <c r="AL114" s="96"/>
      <c r="AM114" s="96"/>
      <c r="AN114" s="96"/>
    </row>
    <row r="115" spans="1:40" ht="15.75" thickBot="1" x14ac:dyDescent="0.3">
      <c r="A115" s="99" t="s">
        <v>5</v>
      </c>
      <c r="B115" s="34" t="s">
        <v>6</v>
      </c>
      <c r="C115" s="22" t="s">
        <v>7</v>
      </c>
      <c r="D115" s="33" t="s">
        <v>8</v>
      </c>
      <c r="E115" s="22" t="s">
        <v>9</v>
      </c>
      <c r="F115" s="24" t="s">
        <v>10</v>
      </c>
      <c r="G115" s="23" t="s">
        <v>11</v>
      </c>
      <c r="H115" s="25" t="s">
        <v>12</v>
      </c>
      <c r="J115" s="6" t="s">
        <v>4</v>
      </c>
      <c r="K115" s="9">
        <v>46113</v>
      </c>
      <c r="L115" s="66">
        <v>46116</v>
      </c>
      <c r="M115" s="66">
        <v>46120</v>
      </c>
      <c r="N115" s="66">
        <v>46123</v>
      </c>
      <c r="O115" s="66">
        <v>46127</v>
      </c>
      <c r="P115" s="66">
        <v>46130</v>
      </c>
      <c r="Q115" s="66">
        <v>46132</v>
      </c>
      <c r="R115" s="66">
        <v>46135</v>
      </c>
      <c r="S115" s="66"/>
      <c r="T115" s="66"/>
      <c r="U115" s="71"/>
      <c r="Y115" s="6" t="s">
        <v>4</v>
      </c>
      <c r="Z115" s="9"/>
      <c r="AA115" s="4"/>
      <c r="AB115" s="4"/>
      <c r="AC115" s="4"/>
      <c r="AD115" s="4"/>
      <c r="AE115" s="5"/>
      <c r="AH115" s="6" t="s">
        <v>4</v>
      </c>
      <c r="AI115" s="9"/>
      <c r="AJ115" s="4"/>
      <c r="AK115" s="4"/>
      <c r="AL115" s="4"/>
      <c r="AM115" s="4"/>
      <c r="AN115" s="5"/>
    </row>
    <row r="116" spans="1:40" ht="15.75" thickBot="1" x14ac:dyDescent="0.3">
      <c r="A116" s="99"/>
      <c r="B116" s="26">
        <v>77804</v>
      </c>
      <c r="C116" s="27"/>
      <c r="D116" s="27"/>
      <c r="E116" s="27">
        <v>80896</v>
      </c>
      <c r="F116" s="27">
        <f>SUM(C116-B116)</f>
        <v>-77804</v>
      </c>
      <c r="G116" s="20">
        <f>SUM(E116-D116)</f>
        <v>80896</v>
      </c>
      <c r="H116" s="21">
        <f>SUM(F116:G116)</f>
        <v>3092</v>
      </c>
      <c r="J116" s="7" t="s">
        <v>22</v>
      </c>
      <c r="K116" s="30">
        <v>320.04000000000002</v>
      </c>
      <c r="L116" s="31">
        <v>318.08</v>
      </c>
      <c r="M116" s="31">
        <v>305.02999999999997</v>
      </c>
      <c r="N116" s="31">
        <v>255</v>
      </c>
      <c r="O116" s="31">
        <v>324.81</v>
      </c>
      <c r="P116" s="31">
        <v>451.95</v>
      </c>
      <c r="Q116" s="31">
        <v>417.04</v>
      </c>
      <c r="R116" s="31">
        <v>366.07</v>
      </c>
      <c r="S116" s="31"/>
      <c r="T116" s="31"/>
      <c r="U116" s="32"/>
      <c r="Y116" s="7" t="s">
        <v>22</v>
      </c>
      <c r="Z116" s="10"/>
      <c r="AA116" s="11"/>
      <c r="AB116" s="11"/>
      <c r="AC116" s="11"/>
      <c r="AD116" s="11"/>
      <c r="AE116" s="12"/>
      <c r="AH116" s="7" t="s">
        <v>22</v>
      </c>
      <c r="AI116" s="10"/>
      <c r="AJ116" s="11"/>
      <c r="AK116" s="11"/>
      <c r="AL116" s="11"/>
      <c r="AM116" s="11"/>
      <c r="AN116" s="12"/>
    </row>
    <row r="117" spans="1:40" x14ac:dyDescent="0.25">
      <c r="A117" s="93"/>
      <c r="F117" s="1"/>
      <c r="J117" s="8"/>
      <c r="K117" s="94"/>
      <c r="L117" s="94"/>
      <c r="M117" s="94"/>
      <c r="N117" s="94"/>
      <c r="O117" s="94"/>
      <c r="P117" s="94"/>
      <c r="Q117" s="94"/>
      <c r="R117" s="94"/>
      <c r="S117" s="94"/>
      <c r="T117" s="94"/>
      <c r="U117" s="94"/>
      <c r="Y117" s="8"/>
      <c r="Z117" s="13"/>
      <c r="AA117" s="13"/>
      <c r="AB117" s="13"/>
      <c r="AC117" s="13"/>
      <c r="AD117" s="13"/>
      <c r="AE117" s="13"/>
      <c r="AH117" s="8"/>
      <c r="AI117" s="13"/>
      <c r="AJ117" s="13"/>
      <c r="AK117" s="13"/>
      <c r="AL117" s="13"/>
      <c r="AM117" s="13"/>
      <c r="AN117" s="13"/>
    </row>
    <row r="118" spans="1:40" ht="15.75" thickBot="1" x14ac:dyDescent="0.3">
      <c r="A118" s="84" t="s">
        <v>133</v>
      </c>
      <c r="B118" s="97" t="s">
        <v>14</v>
      </c>
      <c r="C118" s="97"/>
      <c r="D118" s="97"/>
      <c r="E118" s="97"/>
      <c r="F118" s="97"/>
      <c r="G118" s="97"/>
      <c r="H118" s="97"/>
      <c r="J118" s="98" t="s">
        <v>14</v>
      </c>
      <c r="K118" s="98"/>
      <c r="L118" s="98"/>
      <c r="M118" s="98"/>
      <c r="N118" s="98"/>
      <c r="O118" s="98"/>
      <c r="P118" s="98"/>
      <c r="Q118" s="98"/>
      <c r="R118" s="98"/>
      <c r="S118" s="98"/>
      <c r="T118" s="98"/>
      <c r="U118" s="98"/>
      <c r="Y118" s="95" t="str">
        <f>J118</f>
        <v>Abril</v>
      </c>
      <c r="Z118" s="95"/>
      <c r="AA118" s="95"/>
      <c r="AB118" s="95"/>
      <c r="AC118" s="95"/>
      <c r="AD118" s="95"/>
      <c r="AE118" s="95"/>
      <c r="AH118" s="96" t="str">
        <f>Y118</f>
        <v>Abril</v>
      </c>
      <c r="AI118" s="96"/>
      <c r="AJ118" s="96"/>
      <c r="AK118" s="96"/>
      <c r="AL118" s="96"/>
      <c r="AM118" s="96"/>
      <c r="AN118" s="96"/>
    </row>
    <row r="119" spans="1:40" ht="15.75" thickBot="1" x14ac:dyDescent="0.3">
      <c r="A119" s="99" t="s">
        <v>5</v>
      </c>
      <c r="B119" s="34" t="s">
        <v>6</v>
      </c>
      <c r="C119" s="22" t="s">
        <v>7</v>
      </c>
      <c r="D119" s="33" t="s">
        <v>8</v>
      </c>
      <c r="E119" s="22" t="s">
        <v>9</v>
      </c>
      <c r="F119" s="24" t="s">
        <v>10</v>
      </c>
      <c r="G119" s="23" t="s">
        <v>11</v>
      </c>
      <c r="H119" s="25" t="s">
        <v>12</v>
      </c>
      <c r="J119" s="6" t="s">
        <v>4</v>
      </c>
      <c r="K119" s="9"/>
      <c r="L119" s="4"/>
      <c r="M119" s="4"/>
      <c r="N119" s="4"/>
      <c r="O119" s="4"/>
      <c r="P119" s="4"/>
      <c r="Q119" s="4"/>
      <c r="R119" s="4"/>
      <c r="S119" s="4"/>
      <c r="T119" s="4"/>
      <c r="U119" s="5"/>
      <c r="Y119" s="6" t="s">
        <v>4</v>
      </c>
      <c r="Z119" s="9"/>
      <c r="AA119" s="4"/>
      <c r="AB119" s="4"/>
      <c r="AC119" s="4"/>
      <c r="AD119" s="4"/>
      <c r="AE119" s="5"/>
      <c r="AH119" s="6" t="s">
        <v>4</v>
      </c>
      <c r="AI119" s="9"/>
      <c r="AJ119" s="4"/>
      <c r="AK119" s="4"/>
      <c r="AL119" s="4"/>
      <c r="AM119" s="4"/>
      <c r="AN119" s="5"/>
    </row>
    <row r="120" spans="1:40" ht="15.75" thickBot="1" x14ac:dyDescent="0.3">
      <c r="A120" s="99"/>
      <c r="B120" s="26"/>
      <c r="C120" s="27"/>
      <c r="D120" s="27">
        <v>34695</v>
      </c>
      <c r="E120" s="27">
        <v>36582</v>
      </c>
      <c r="F120" s="27">
        <f>SUM(C120-B120)</f>
        <v>0</v>
      </c>
      <c r="G120" s="20">
        <f>SUM(E120-D120)</f>
        <v>1887</v>
      </c>
      <c r="H120" s="21">
        <f>SUM(F120:G120)</f>
        <v>1887</v>
      </c>
      <c r="J120" s="7" t="s">
        <v>22</v>
      </c>
      <c r="K120" s="30"/>
      <c r="L120" s="31"/>
      <c r="M120" s="31"/>
      <c r="N120" s="31"/>
      <c r="O120" s="31"/>
      <c r="P120" s="31"/>
      <c r="Q120" s="31"/>
      <c r="R120" s="31"/>
      <c r="S120" s="31"/>
      <c r="T120" s="31"/>
      <c r="U120" s="32"/>
      <c r="Y120" s="7" t="s">
        <v>22</v>
      </c>
      <c r="Z120" s="10"/>
      <c r="AA120" s="11"/>
      <c r="AB120" s="11"/>
      <c r="AC120" s="11"/>
      <c r="AD120" s="11"/>
      <c r="AE120" s="12"/>
      <c r="AH120" s="7" t="s">
        <v>22</v>
      </c>
      <c r="AI120" s="10"/>
      <c r="AJ120" s="11"/>
      <c r="AK120" s="11"/>
      <c r="AL120" s="11"/>
      <c r="AM120" s="11"/>
      <c r="AN120" s="12"/>
    </row>
    <row r="121" spans="1:40" x14ac:dyDescent="0.25">
      <c r="A121" s="93"/>
      <c r="F121" s="1"/>
      <c r="J121" s="8"/>
      <c r="K121" s="94"/>
      <c r="L121" s="94"/>
      <c r="M121" s="94"/>
      <c r="N121" s="94"/>
      <c r="O121" s="94"/>
      <c r="P121" s="94"/>
      <c r="Q121" s="94"/>
      <c r="R121" s="94"/>
      <c r="S121" s="94"/>
      <c r="T121" s="94"/>
      <c r="U121" s="94"/>
      <c r="Y121" s="8"/>
      <c r="Z121" s="13"/>
      <c r="AA121" s="13"/>
      <c r="AB121" s="13"/>
      <c r="AC121" s="13"/>
      <c r="AD121" s="13"/>
      <c r="AE121" s="13"/>
      <c r="AH121" s="8"/>
      <c r="AI121" s="13"/>
      <c r="AJ121" s="13"/>
      <c r="AK121" s="13"/>
      <c r="AL121" s="13"/>
      <c r="AM121" s="13"/>
      <c r="AN121" s="13"/>
    </row>
    <row r="122" spans="1:40" ht="15.75" thickBot="1" x14ac:dyDescent="0.3">
      <c r="A122" s="19"/>
      <c r="B122" s="97" t="s">
        <v>15</v>
      </c>
      <c r="C122" s="97"/>
      <c r="D122" s="97"/>
      <c r="E122" s="97"/>
      <c r="F122" s="97"/>
      <c r="G122" s="97"/>
      <c r="H122" s="97"/>
      <c r="J122" s="98" t="s">
        <v>15</v>
      </c>
      <c r="K122" s="98"/>
      <c r="L122" s="98"/>
      <c r="M122" s="98"/>
      <c r="N122" s="98"/>
      <c r="O122" s="98"/>
      <c r="P122" s="98"/>
      <c r="Q122" s="98"/>
      <c r="R122" s="98"/>
      <c r="S122" s="98"/>
      <c r="T122" s="98"/>
      <c r="U122" s="98"/>
      <c r="Y122" s="95" t="str">
        <f>J122</f>
        <v>Maio</v>
      </c>
      <c r="Z122" s="95"/>
      <c r="AA122" s="95"/>
      <c r="AB122" s="95"/>
      <c r="AC122" s="95"/>
      <c r="AD122" s="95"/>
      <c r="AE122" s="95"/>
      <c r="AH122" s="96" t="str">
        <f>Y122</f>
        <v>Maio</v>
      </c>
      <c r="AI122" s="96"/>
      <c r="AJ122" s="96"/>
      <c r="AK122" s="96"/>
      <c r="AL122" s="96"/>
      <c r="AM122" s="96"/>
      <c r="AN122" s="96"/>
    </row>
    <row r="123" spans="1:40" ht="15.75" thickBot="1" x14ac:dyDescent="0.3">
      <c r="A123" s="99" t="s">
        <v>5</v>
      </c>
      <c r="B123" s="34" t="s">
        <v>6</v>
      </c>
      <c r="C123" s="22" t="s">
        <v>7</v>
      </c>
      <c r="D123" s="33" t="s">
        <v>8</v>
      </c>
      <c r="E123" s="22" t="s">
        <v>9</v>
      </c>
      <c r="F123" s="24" t="s">
        <v>10</v>
      </c>
      <c r="G123" s="23" t="s">
        <v>11</v>
      </c>
      <c r="H123" s="25" t="s">
        <v>12</v>
      </c>
      <c r="J123" s="6" t="s">
        <v>4</v>
      </c>
      <c r="K123" s="9"/>
      <c r="L123" s="4"/>
      <c r="M123" s="4"/>
      <c r="N123" s="4"/>
      <c r="O123" s="4"/>
      <c r="P123" s="4"/>
      <c r="Q123" s="4"/>
      <c r="R123" s="4"/>
      <c r="S123" s="4"/>
      <c r="T123" s="4"/>
      <c r="U123" s="5"/>
      <c r="Y123" s="6" t="s">
        <v>4</v>
      </c>
      <c r="Z123" s="9"/>
      <c r="AA123" s="4"/>
      <c r="AB123" s="4"/>
      <c r="AC123" s="4"/>
      <c r="AD123" s="4"/>
      <c r="AE123" s="5"/>
      <c r="AH123" s="6" t="s">
        <v>4</v>
      </c>
      <c r="AI123" s="9"/>
      <c r="AJ123" s="4"/>
      <c r="AK123" s="4"/>
      <c r="AL123" s="4"/>
      <c r="AM123" s="4"/>
      <c r="AN123" s="5"/>
    </row>
    <row r="124" spans="1:40" ht="15.75" thickBot="1" x14ac:dyDescent="0.3">
      <c r="A124" s="99"/>
      <c r="B124" s="27">
        <v>36582</v>
      </c>
      <c r="C124" s="27"/>
      <c r="D124" s="27"/>
      <c r="E124" s="27">
        <v>41066</v>
      </c>
      <c r="F124" s="27">
        <f>SUM(C124-B124)</f>
        <v>-36582</v>
      </c>
      <c r="G124" s="20">
        <f>SUM(E124-D124)</f>
        <v>41066</v>
      </c>
      <c r="H124" s="21">
        <f>SUM(F124:G124)</f>
        <v>4484</v>
      </c>
      <c r="J124" s="7" t="s">
        <v>22</v>
      </c>
      <c r="K124" s="10"/>
      <c r="L124" s="11"/>
      <c r="M124" s="11"/>
      <c r="N124" s="11"/>
      <c r="O124" s="11"/>
      <c r="P124" s="11"/>
      <c r="Q124" s="11"/>
      <c r="R124" s="11"/>
      <c r="S124" s="11"/>
      <c r="T124" s="11"/>
      <c r="U124" s="12"/>
      <c r="Y124" s="7" t="s">
        <v>22</v>
      </c>
      <c r="Z124" s="10"/>
      <c r="AA124" s="11"/>
      <c r="AB124" s="11"/>
      <c r="AC124" s="11"/>
      <c r="AD124" s="11"/>
      <c r="AE124" s="12"/>
      <c r="AH124" s="7" t="s">
        <v>22</v>
      </c>
      <c r="AI124" s="10"/>
      <c r="AJ124" s="11"/>
      <c r="AK124" s="11"/>
      <c r="AL124" s="11"/>
      <c r="AM124" s="11"/>
      <c r="AN124" s="12"/>
    </row>
    <row r="125" spans="1:40" x14ac:dyDescent="0.25">
      <c r="J125" s="8"/>
      <c r="T125" s="8" t="s">
        <v>23</v>
      </c>
      <c r="U125" s="13">
        <f>SUM(K124:U124)</f>
        <v>0</v>
      </c>
      <c r="AD125" s="8" t="s">
        <v>23</v>
      </c>
      <c r="AE125" s="13">
        <f>SUM(Z124:AE124)</f>
        <v>0</v>
      </c>
      <c r="AM125" s="8" t="s">
        <v>23</v>
      </c>
      <c r="AN125" s="13">
        <f>SUM(AI124:AN124)</f>
        <v>0</v>
      </c>
    </row>
    <row r="126" spans="1:40" ht="15.75" thickBot="1" x14ac:dyDescent="0.3">
      <c r="A126" s="19"/>
      <c r="B126" s="97" t="s">
        <v>24</v>
      </c>
      <c r="C126" s="97"/>
      <c r="D126" s="97"/>
      <c r="E126" s="97"/>
      <c r="F126" s="97"/>
      <c r="G126" s="97"/>
      <c r="H126" s="97"/>
      <c r="J126" s="98" t="s">
        <v>24</v>
      </c>
      <c r="K126" s="98"/>
      <c r="L126" s="98"/>
      <c r="M126" s="98"/>
      <c r="N126" s="98"/>
      <c r="O126" s="98"/>
      <c r="P126" s="98"/>
      <c r="Q126" s="98"/>
      <c r="R126" s="98"/>
      <c r="S126" s="98"/>
      <c r="T126" s="98"/>
      <c r="U126" s="98"/>
      <c r="Y126" s="95" t="str">
        <f>J126</f>
        <v>Junho</v>
      </c>
      <c r="Z126" s="95"/>
      <c r="AA126" s="95"/>
      <c r="AB126" s="95"/>
      <c r="AC126" s="95"/>
      <c r="AD126" s="95"/>
      <c r="AE126" s="95"/>
      <c r="AH126" s="96" t="str">
        <f>Y126</f>
        <v>Junho</v>
      </c>
      <c r="AI126" s="96"/>
      <c r="AJ126" s="96"/>
      <c r="AK126" s="96"/>
      <c r="AL126" s="96"/>
      <c r="AM126" s="96"/>
      <c r="AN126" s="96"/>
    </row>
    <row r="127" spans="1:40" ht="15.75" thickBot="1" x14ac:dyDescent="0.3">
      <c r="A127" s="99" t="s">
        <v>5</v>
      </c>
      <c r="B127" s="34" t="s">
        <v>6</v>
      </c>
      <c r="C127" s="22" t="s">
        <v>7</v>
      </c>
      <c r="D127" s="33" t="s">
        <v>8</v>
      </c>
      <c r="E127" s="22" t="s">
        <v>9</v>
      </c>
      <c r="F127" s="24" t="s">
        <v>10</v>
      </c>
      <c r="G127" s="23" t="s">
        <v>11</v>
      </c>
      <c r="H127" s="25" t="s">
        <v>12</v>
      </c>
      <c r="J127" s="6" t="s">
        <v>4</v>
      </c>
      <c r="K127" s="9"/>
      <c r="L127" s="4"/>
      <c r="M127" s="4"/>
      <c r="N127" s="4"/>
      <c r="O127" s="4"/>
      <c r="P127" s="4"/>
      <c r="Q127" s="4"/>
      <c r="R127" s="4"/>
      <c r="S127" s="4"/>
      <c r="T127" s="4"/>
      <c r="U127" s="5"/>
      <c r="Y127" s="6" t="s">
        <v>4</v>
      </c>
      <c r="Z127" s="9"/>
      <c r="AA127" s="4"/>
      <c r="AB127" s="4"/>
      <c r="AC127" s="4"/>
      <c r="AD127" s="4"/>
      <c r="AE127" s="5"/>
      <c r="AH127" s="6" t="s">
        <v>4</v>
      </c>
      <c r="AI127" s="9"/>
      <c r="AJ127" s="4"/>
      <c r="AK127" s="4"/>
      <c r="AL127" s="4"/>
      <c r="AM127" s="4"/>
      <c r="AN127" s="5"/>
    </row>
    <row r="128" spans="1:40" ht="15.75" thickBot="1" x14ac:dyDescent="0.3">
      <c r="A128" s="99"/>
      <c r="B128" s="26"/>
      <c r="C128" s="27"/>
      <c r="D128" s="27"/>
      <c r="E128" s="27"/>
      <c r="F128" s="27">
        <f>SUM(C128-B128)</f>
        <v>0</v>
      </c>
      <c r="G128" s="20">
        <f>SUM(E128-D128)</f>
        <v>0</v>
      </c>
      <c r="H128" s="21">
        <f>SUM(F128:G128)</f>
        <v>0</v>
      </c>
      <c r="J128" s="7" t="s">
        <v>22</v>
      </c>
      <c r="K128" s="10"/>
      <c r="L128" s="11"/>
      <c r="M128" s="11"/>
      <c r="N128" s="11"/>
      <c r="O128" s="11"/>
      <c r="P128" s="11"/>
      <c r="Q128" s="11"/>
      <c r="R128" s="11"/>
      <c r="S128" s="11"/>
      <c r="T128" s="11"/>
      <c r="U128" s="12"/>
      <c r="Y128" s="7" t="s">
        <v>22</v>
      </c>
      <c r="Z128" s="10"/>
      <c r="AA128" s="11"/>
      <c r="AB128" s="11"/>
      <c r="AC128" s="11"/>
      <c r="AD128" s="11"/>
      <c r="AE128" s="12"/>
      <c r="AH128" s="7" t="s">
        <v>22</v>
      </c>
      <c r="AI128" s="10"/>
      <c r="AJ128" s="11"/>
      <c r="AK128" s="11"/>
      <c r="AL128" s="11"/>
      <c r="AM128" s="11"/>
      <c r="AN128" s="12"/>
    </row>
    <row r="129" spans="1:40" x14ac:dyDescent="0.25">
      <c r="J129" s="8"/>
      <c r="T129" s="8" t="s">
        <v>23</v>
      </c>
      <c r="U129" s="13">
        <f>SUM(K128:U128)</f>
        <v>0</v>
      </c>
      <c r="AD129" s="8" t="s">
        <v>23</v>
      </c>
      <c r="AE129" s="13">
        <f>SUM(Z128:AE128)</f>
        <v>0</v>
      </c>
      <c r="AM129" s="8" t="s">
        <v>23</v>
      </c>
      <c r="AN129" s="13">
        <f>SUM(AI128:AN128)</f>
        <v>0</v>
      </c>
    </row>
    <row r="130" spans="1:40" ht="15.75" thickBot="1" x14ac:dyDescent="0.3">
      <c r="A130" s="19"/>
      <c r="B130" s="97" t="s">
        <v>16</v>
      </c>
      <c r="C130" s="97"/>
      <c r="D130" s="97"/>
      <c r="E130" s="97"/>
      <c r="F130" s="97"/>
      <c r="G130" s="97"/>
      <c r="H130" s="97"/>
      <c r="J130" s="98" t="s">
        <v>16</v>
      </c>
      <c r="K130" s="98"/>
      <c r="L130" s="98"/>
      <c r="M130" s="98"/>
      <c r="N130" s="98"/>
      <c r="O130" s="98"/>
      <c r="P130" s="98"/>
      <c r="Q130" s="98"/>
      <c r="R130" s="98"/>
      <c r="S130" s="98"/>
      <c r="T130" s="98"/>
      <c r="U130" s="98"/>
      <c r="Y130" s="95" t="str">
        <f>J130</f>
        <v>Julho</v>
      </c>
      <c r="Z130" s="95"/>
      <c r="AA130" s="95"/>
      <c r="AB130" s="95"/>
      <c r="AC130" s="95"/>
      <c r="AD130" s="95"/>
      <c r="AE130" s="95"/>
      <c r="AH130" s="96" t="str">
        <f>Y130</f>
        <v>Julho</v>
      </c>
      <c r="AI130" s="96"/>
      <c r="AJ130" s="96"/>
      <c r="AK130" s="96"/>
      <c r="AL130" s="96"/>
      <c r="AM130" s="96"/>
      <c r="AN130" s="96"/>
    </row>
    <row r="131" spans="1:40" ht="15.75" thickBot="1" x14ac:dyDescent="0.3">
      <c r="A131" s="99" t="s">
        <v>5</v>
      </c>
      <c r="B131" s="34" t="s">
        <v>6</v>
      </c>
      <c r="C131" s="22" t="s">
        <v>7</v>
      </c>
      <c r="D131" s="33" t="s">
        <v>8</v>
      </c>
      <c r="E131" s="22" t="s">
        <v>9</v>
      </c>
      <c r="F131" s="24" t="s">
        <v>10</v>
      </c>
      <c r="G131" s="23" t="s">
        <v>11</v>
      </c>
      <c r="H131" s="25" t="s">
        <v>12</v>
      </c>
      <c r="J131" s="6" t="s">
        <v>4</v>
      </c>
      <c r="K131" s="9"/>
      <c r="L131" s="4"/>
      <c r="M131" s="4"/>
      <c r="N131" s="4"/>
      <c r="O131" s="4"/>
      <c r="P131" s="4"/>
      <c r="Q131" s="4"/>
      <c r="R131" s="4"/>
      <c r="S131" s="4"/>
      <c r="T131" s="4"/>
      <c r="U131" s="5"/>
      <c r="Y131" s="6" t="s">
        <v>4</v>
      </c>
      <c r="Z131" s="9"/>
      <c r="AA131" s="4"/>
      <c r="AB131" s="4"/>
      <c r="AC131" s="4"/>
      <c r="AD131" s="4"/>
      <c r="AE131" s="5"/>
      <c r="AH131" s="6" t="s">
        <v>4</v>
      </c>
      <c r="AI131" s="9"/>
      <c r="AJ131" s="4"/>
      <c r="AK131" s="4"/>
      <c r="AL131" s="4"/>
      <c r="AM131" s="4"/>
      <c r="AN131" s="5"/>
    </row>
    <row r="132" spans="1:40" ht="15.75" thickBot="1" x14ac:dyDescent="0.3">
      <c r="A132" s="99"/>
      <c r="B132" s="26"/>
      <c r="C132" s="27"/>
      <c r="D132" s="27"/>
      <c r="E132" s="27"/>
      <c r="F132" s="27">
        <f>SUM(C132-B132)</f>
        <v>0</v>
      </c>
      <c r="G132" s="20">
        <f>SUM(E132-D132)</f>
        <v>0</v>
      </c>
      <c r="H132" s="21">
        <f>SUM(F132:G132)</f>
        <v>0</v>
      </c>
      <c r="J132" s="7" t="s">
        <v>22</v>
      </c>
      <c r="K132" s="10"/>
      <c r="L132" s="11"/>
      <c r="M132" s="11"/>
      <c r="N132" s="11"/>
      <c r="O132" s="11"/>
      <c r="P132" s="11"/>
      <c r="Q132" s="11"/>
      <c r="R132" s="11"/>
      <c r="S132" s="11"/>
      <c r="T132" s="11"/>
      <c r="U132" s="12"/>
      <c r="Y132" s="7" t="s">
        <v>22</v>
      </c>
      <c r="Z132" s="10"/>
      <c r="AA132" s="11"/>
      <c r="AB132" s="11"/>
      <c r="AC132" s="11"/>
      <c r="AD132" s="11"/>
      <c r="AE132" s="12"/>
      <c r="AH132" s="7" t="s">
        <v>22</v>
      </c>
      <c r="AI132" s="10"/>
      <c r="AJ132" s="11"/>
      <c r="AK132" s="11"/>
      <c r="AL132" s="11"/>
      <c r="AM132" s="11"/>
      <c r="AN132" s="12"/>
    </row>
    <row r="133" spans="1:40" x14ac:dyDescent="0.25">
      <c r="J133" s="8"/>
      <c r="T133" s="8" t="s">
        <v>23</v>
      </c>
      <c r="U133" s="13">
        <f>SUM(K132:U132)</f>
        <v>0</v>
      </c>
      <c r="AD133" s="8" t="s">
        <v>23</v>
      </c>
      <c r="AE133" s="13">
        <f>SUM(Z132:AE132)</f>
        <v>0</v>
      </c>
      <c r="AM133" s="8" t="s">
        <v>23</v>
      </c>
      <c r="AN133" s="13">
        <f>SUM(AI132:AN132)</f>
        <v>0</v>
      </c>
    </row>
    <row r="134" spans="1:40" ht="15.75" thickBot="1" x14ac:dyDescent="0.3">
      <c r="A134" s="19"/>
      <c r="B134" s="97" t="s">
        <v>17</v>
      </c>
      <c r="C134" s="97"/>
      <c r="D134" s="97"/>
      <c r="E134" s="97"/>
      <c r="F134" s="97"/>
      <c r="G134" s="97"/>
      <c r="H134" s="97"/>
      <c r="J134" s="98" t="s">
        <v>17</v>
      </c>
      <c r="K134" s="98"/>
      <c r="L134" s="98"/>
      <c r="M134" s="98"/>
      <c r="N134" s="98"/>
      <c r="O134" s="98"/>
      <c r="P134" s="98"/>
      <c r="Q134" s="98"/>
      <c r="R134" s="98"/>
      <c r="S134" s="98"/>
      <c r="T134" s="98"/>
      <c r="U134" s="98"/>
      <c r="Y134" s="95" t="str">
        <f>J134</f>
        <v>Agosto</v>
      </c>
      <c r="Z134" s="95"/>
      <c r="AA134" s="95"/>
      <c r="AB134" s="95"/>
      <c r="AC134" s="95"/>
      <c r="AD134" s="95"/>
      <c r="AE134" s="95"/>
      <c r="AH134" s="96" t="str">
        <f>Y134</f>
        <v>Agosto</v>
      </c>
      <c r="AI134" s="96"/>
      <c r="AJ134" s="96"/>
      <c r="AK134" s="96"/>
      <c r="AL134" s="96"/>
      <c r="AM134" s="96"/>
      <c r="AN134" s="96"/>
    </row>
    <row r="135" spans="1:40" ht="15.75" thickBot="1" x14ac:dyDescent="0.3">
      <c r="A135" s="99" t="s">
        <v>5</v>
      </c>
      <c r="B135" s="34" t="s">
        <v>6</v>
      </c>
      <c r="C135" s="22" t="s">
        <v>7</v>
      </c>
      <c r="D135" s="33" t="s">
        <v>8</v>
      </c>
      <c r="E135" s="22" t="s">
        <v>9</v>
      </c>
      <c r="F135" s="24" t="s">
        <v>10</v>
      </c>
      <c r="G135" s="23" t="s">
        <v>11</v>
      </c>
      <c r="H135" s="25" t="s">
        <v>12</v>
      </c>
      <c r="J135" s="6" t="s">
        <v>4</v>
      </c>
      <c r="K135" s="9"/>
      <c r="L135" s="4"/>
      <c r="M135" s="4"/>
      <c r="N135" s="4"/>
      <c r="O135" s="4"/>
      <c r="P135" s="4"/>
      <c r="Q135" s="4"/>
      <c r="R135" s="4"/>
      <c r="S135" s="4"/>
      <c r="T135" s="4"/>
      <c r="U135" s="5"/>
      <c r="Y135" s="6" t="s">
        <v>4</v>
      </c>
      <c r="Z135" s="9"/>
      <c r="AA135" s="4"/>
      <c r="AB135" s="4"/>
      <c r="AC135" s="4"/>
      <c r="AD135" s="4"/>
      <c r="AE135" s="5"/>
      <c r="AH135" s="6" t="s">
        <v>4</v>
      </c>
      <c r="AI135" s="9"/>
      <c r="AJ135" s="4"/>
      <c r="AK135" s="4"/>
      <c r="AL135" s="4"/>
      <c r="AM135" s="4"/>
      <c r="AN135" s="5"/>
    </row>
    <row r="136" spans="1:40" ht="15.75" thickBot="1" x14ac:dyDescent="0.3">
      <c r="A136" s="99"/>
      <c r="B136" s="26"/>
      <c r="C136" s="27"/>
      <c r="D136" s="27"/>
      <c r="E136" s="27"/>
      <c r="F136" s="27">
        <f>SUM(C136-B136)</f>
        <v>0</v>
      </c>
      <c r="G136" s="20">
        <f>SUM(E136-D136)</f>
        <v>0</v>
      </c>
      <c r="H136" s="21">
        <f>SUM(F136:G136)</f>
        <v>0</v>
      </c>
      <c r="J136" s="7" t="s">
        <v>22</v>
      </c>
      <c r="K136" s="10"/>
      <c r="L136" s="11"/>
      <c r="M136" s="11"/>
      <c r="N136" s="11"/>
      <c r="O136" s="11"/>
      <c r="P136" s="11"/>
      <c r="Q136" s="11"/>
      <c r="R136" s="11"/>
      <c r="S136" s="11"/>
      <c r="T136" s="11"/>
      <c r="U136" s="12"/>
      <c r="Y136" s="7" t="s">
        <v>22</v>
      </c>
      <c r="Z136" s="10"/>
      <c r="AA136" s="11"/>
      <c r="AB136" s="11"/>
      <c r="AC136" s="11"/>
      <c r="AD136" s="11"/>
      <c r="AE136" s="12"/>
      <c r="AH136" s="7" t="s">
        <v>22</v>
      </c>
      <c r="AI136" s="10"/>
      <c r="AJ136" s="11"/>
      <c r="AK136" s="11"/>
      <c r="AL136" s="11"/>
      <c r="AM136" s="11"/>
      <c r="AN136" s="12"/>
    </row>
    <row r="137" spans="1:40" x14ac:dyDescent="0.25">
      <c r="J137" s="8"/>
      <c r="T137" s="8" t="s">
        <v>23</v>
      </c>
      <c r="U137" s="13">
        <f>SUM(K136:U136)</f>
        <v>0</v>
      </c>
      <c r="AD137" s="8" t="s">
        <v>23</v>
      </c>
      <c r="AE137" s="13">
        <f>SUM(Z136:AE136)</f>
        <v>0</v>
      </c>
      <c r="AM137" s="8" t="s">
        <v>23</v>
      </c>
      <c r="AN137" s="13">
        <f>SUM(AI136:AN136)</f>
        <v>0</v>
      </c>
    </row>
    <row r="138" spans="1:40" ht="15.75" thickBot="1" x14ac:dyDescent="0.3">
      <c r="A138" s="19"/>
      <c r="B138" s="97" t="s">
        <v>18</v>
      </c>
      <c r="C138" s="97"/>
      <c r="D138" s="97"/>
      <c r="E138" s="97"/>
      <c r="F138" s="97"/>
      <c r="G138" s="97"/>
      <c r="H138" s="97"/>
      <c r="J138" s="98" t="s">
        <v>18</v>
      </c>
      <c r="K138" s="98"/>
      <c r="L138" s="98"/>
      <c r="M138" s="98"/>
      <c r="N138" s="98"/>
      <c r="O138" s="98"/>
      <c r="P138" s="98"/>
      <c r="Q138" s="98"/>
      <c r="R138" s="98"/>
      <c r="S138" s="98"/>
      <c r="T138" s="98"/>
      <c r="U138" s="98"/>
      <c r="Y138" s="95" t="str">
        <f>J138</f>
        <v>Setembro</v>
      </c>
      <c r="Z138" s="95"/>
      <c r="AA138" s="95"/>
      <c r="AB138" s="95"/>
      <c r="AC138" s="95"/>
      <c r="AD138" s="95"/>
      <c r="AE138" s="95"/>
      <c r="AH138" s="96" t="str">
        <f>Y138</f>
        <v>Setembro</v>
      </c>
      <c r="AI138" s="96"/>
      <c r="AJ138" s="96"/>
      <c r="AK138" s="96"/>
      <c r="AL138" s="96"/>
      <c r="AM138" s="96"/>
      <c r="AN138" s="96"/>
    </row>
    <row r="139" spans="1:40" ht="15.75" thickBot="1" x14ac:dyDescent="0.3">
      <c r="A139" s="99" t="s">
        <v>5</v>
      </c>
      <c r="B139" s="34" t="s">
        <v>6</v>
      </c>
      <c r="C139" s="22" t="s">
        <v>7</v>
      </c>
      <c r="D139" s="33" t="s">
        <v>8</v>
      </c>
      <c r="E139" s="22" t="s">
        <v>9</v>
      </c>
      <c r="F139" s="24" t="s">
        <v>10</v>
      </c>
      <c r="G139" s="23" t="s">
        <v>11</v>
      </c>
      <c r="H139" s="25" t="s">
        <v>12</v>
      </c>
      <c r="J139" s="6" t="s">
        <v>4</v>
      </c>
      <c r="K139" s="9"/>
      <c r="L139" s="4"/>
      <c r="M139" s="4"/>
      <c r="N139" s="4"/>
      <c r="O139" s="4"/>
      <c r="P139" s="4"/>
      <c r="Q139" s="4"/>
      <c r="R139" s="4"/>
      <c r="S139" s="4"/>
      <c r="T139" s="4"/>
      <c r="U139" s="5"/>
      <c r="Y139" s="6" t="s">
        <v>4</v>
      </c>
      <c r="Z139" s="9"/>
      <c r="AA139" s="4"/>
      <c r="AB139" s="4"/>
      <c r="AC139" s="4"/>
      <c r="AD139" s="4"/>
      <c r="AE139" s="5"/>
      <c r="AH139" s="6" t="s">
        <v>4</v>
      </c>
      <c r="AI139" s="9"/>
      <c r="AJ139" s="4"/>
      <c r="AK139" s="4"/>
      <c r="AL139" s="4"/>
      <c r="AM139" s="4"/>
      <c r="AN139" s="5"/>
    </row>
    <row r="140" spans="1:40" ht="15.75" thickBot="1" x14ac:dyDescent="0.3">
      <c r="A140" s="99"/>
      <c r="B140" s="26"/>
      <c r="C140" s="27"/>
      <c r="D140" s="27"/>
      <c r="E140" s="27"/>
      <c r="F140" s="27">
        <f>SUM(C140-B140)</f>
        <v>0</v>
      </c>
      <c r="G140" s="20">
        <f>SUM(E140-D140)</f>
        <v>0</v>
      </c>
      <c r="H140" s="21">
        <f>SUM(F140:G140)</f>
        <v>0</v>
      </c>
      <c r="J140" s="7" t="s">
        <v>22</v>
      </c>
      <c r="K140" s="10"/>
      <c r="L140" s="11"/>
      <c r="M140" s="11"/>
      <c r="N140" s="11"/>
      <c r="O140" s="11"/>
      <c r="P140" s="11"/>
      <c r="Q140" s="11"/>
      <c r="R140" s="11"/>
      <c r="S140" s="11"/>
      <c r="T140" s="11"/>
      <c r="U140" s="12"/>
      <c r="Y140" s="7" t="s">
        <v>22</v>
      </c>
      <c r="Z140" s="10"/>
      <c r="AA140" s="11"/>
      <c r="AB140" s="11"/>
      <c r="AC140" s="11"/>
      <c r="AD140" s="11"/>
      <c r="AE140" s="12"/>
      <c r="AH140" s="7" t="s">
        <v>22</v>
      </c>
      <c r="AI140" s="10"/>
      <c r="AJ140" s="11"/>
      <c r="AK140" s="11"/>
      <c r="AL140" s="11"/>
      <c r="AM140" s="11"/>
      <c r="AN140" s="12"/>
    </row>
    <row r="141" spans="1:40" x14ac:dyDescent="0.25">
      <c r="J141" s="8"/>
      <c r="T141" s="8" t="s">
        <v>23</v>
      </c>
      <c r="U141" s="13">
        <f>SUM(K140:U140)</f>
        <v>0</v>
      </c>
      <c r="AD141" s="8" t="s">
        <v>23</v>
      </c>
      <c r="AE141" s="13">
        <f>SUM(Z140:AE140)</f>
        <v>0</v>
      </c>
      <c r="AM141" s="8" t="s">
        <v>23</v>
      </c>
      <c r="AN141" s="13">
        <f>SUM(AI140:AN140)</f>
        <v>0</v>
      </c>
    </row>
    <row r="142" spans="1:40" ht="15.75" thickBot="1" x14ac:dyDescent="0.3">
      <c r="A142" s="19"/>
      <c r="B142" s="97" t="s">
        <v>19</v>
      </c>
      <c r="C142" s="97"/>
      <c r="D142" s="97"/>
      <c r="E142" s="97"/>
      <c r="F142" s="97"/>
      <c r="G142" s="97"/>
      <c r="H142" s="97"/>
      <c r="J142" s="98" t="s">
        <v>19</v>
      </c>
      <c r="K142" s="98"/>
      <c r="L142" s="98"/>
      <c r="M142" s="98"/>
      <c r="N142" s="98"/>
      <c r="O142" s="98"/>
      <c r="P142" s="98"/>
      <c r="Q142" s="98"/>
      <c r="R142" s="98"/>
      <c r="S142" s="98"/>
      <c r="T142" s="98"/>
      <c r="U142" s="98"/>
      <c r="Y142" s="95" t="str">
        <f>J142</f>
        <v>Outubro</v>
      </c>
      <c r="Z142" s="95"/>
      <c r="AA142" s="95"/>
      <c r="AB142" s="95"/>
      <c r="AC142" s="95"/>
      <c r="AD142" s="95"/>
      <c r="AE142" s="95"/>
      <c r="AH142" s="96" t="str">
        <f>Y142</f>
        <v>Outubro</v>
      </c>
      <c r="AI142" s="96"/>
      <c r="AJ142" s="96"/>
      <c r="AK142" s="96"/>
      <c r="AL142" s="96"/>
      <c r="AM142" s="96"/>
      <c r="AN142" s="96"/>
    </row>
    <row r="143" spans="1:40" ht="15.75" thickBot="1" x14ac:dyDescent="0.3">
      <c r="A143" s="99" t="s">
        <v>5</v>
      </c>
      <c r="B143" s="34" t="s">
        <v>6</v>
      </c>
      <c r="C143" s="22" t="s">
        <v>7</v>
      </c>
      <c r="D143" s="33" t="s">
        <v>8</v>
      </c>
      <c r="E143" s="22" t="s">
        <v>9</v>
      </c>
      <c r="F143" s="24" t="s">
        <v>10</v>
      </c>
      <c r="G143" s="23" t="s">
        <v>11</v>
      </c>
      <c r="H143" s="25" t="s">
        <v>12</v>
      </c>
      <c r="J143" s="6" t="s">
        <v>4</v>
      </c>
      <c r="K143" s="9"/>
      <c r="L143" s="4"/>
      <c r="M143" s="4"/>
      <c r="N143" s="4"/>
      <c r="O143" s="4"/>
      <c r="P143" s="4"/>
      <c r="Q143" s="4"/>
      <c r="R143" s="4"/>
      <c r="S143" s="4"/>
      <c r="T143" s="4"/>
      <c r="U143" s="5"/>
      <c r="Y143" s="6" t="s">
        <v>4</v>
      </c>
      <c r="Z143" s="9"/>
      <c r="AA143" s="4"/>
      <c r="AB143" s="4"/>
      <c r="AC143" s="4"/>
      <c r="AD143" s="4"/>
      <c r="AE143" s="5"/>
      <c r="AH143" s="6" t="s">
        <v>4</v>
      </c>
      <c r="AI143" s="9"/>
      <c r="AJ143" s="4"/>
      <c r="AK143" s="4"/>
      <c r="AL143" s="4"/>
      <c r="AM143" s="4"/>
      <c r="AN143" s="5"/>
    </row>
    <row r="144" spans="1:40" ht="15.75" thickBot="1" x14ac:dyDescent="0.3">
      <c r="A144" s="99"/>
      <c r="B144" s="26"/>
      <c r="C144" s="27"/>
      <c r="D144" s="27"/>
      <c r="E144" s="27"/>
      <c r="F144" s="27">
        <f>SUM(C144-B144)</f>
        <v>0</v>
      </c>
      <c r="G144" s="20">
        <f>SUM(E144-D144)</f>
        <v>0</v>
      </c>
      <c r="H144" s="21">
        <f>SUM(F144:G144)</f>
        <v>0</v>
      </c>
      <c r="J144" s="7" t="s">
        <v>22</v>
      </c>
      <c r="K144" s="10"/>
      <c r="L144" s="11"/>
      <c r="M144" s="11"/>
      <c r="N144" s="11"/>
      <c r="O144" s="11"/>
      <c r="P144" s="11"/>
      <c r="Q144" s="11"/>
      <c r="R144" s="11"/>
      <c r="S144" s="11"/>
      <c r="T144" s="11"/>
      <c r="U144" s="12"/>
      <c r="Y144" s="7" t="s">
        <v>22</v>
      </c>
      <c r="Z144" s="10"/>
      <c r="AA144" s="11"/>
      <c r="AB144" s="11"/>
      <c r="AC144" s="11"/>
      <c r="AD144" s="11"/>
      <c r="AE144" s="12"/>
      <c r="AH144" s="7" t="s">
        <v>22</v>
      </c>
      <c r="AI144" s="10"/>
      <c r="AJ144" s="11"/>
      <c r="AK144" s="11"/>
      <c r="AL144" s="11"/>
      <c r="AM144" s="11"/>
      <c r="AN144" s="12"/>
    </row>
    <row r="145" spans="1:40" x14ac:dyDescent="0.25">
      <c r="J145" s="8"/>
      <c r="T145" s="8" t="s">
        <v>23</v>
      </c>
      <c r="U145" s="13">
        <f>SUM(K144:U144)</f>
        <v>0</v>
      </c>
      <c r="AD145" s="8" t="s">
        <v>23</v>
      </c>
      <c r="AE145" s="13">
        <f>SUM(Z144:AE144)</f>
        <v>0</v>
      </c>
      <c r="AM145" s="8" t="s">
        <v>23</v>
      </c>
      <c r="AN145" s="13">
        <f>SUM(AI144:AN144)</f>
        <v>0</v>
      </c>
    </row>
    <row r="146" spans="1:40" ht="15.75" thickBot="1" x14ac:dyDescent="0.3">
      <c r="A146" s="19"/>
      <c r="B146" s="97" t="s">
        <v>20</v>
      </c>
      <c r="C146" s="97"/>
      <c r="D146" s="97"/>
      <c r="E146" s="97"/>
      <c r="F146" s="97"/>
      <c r="G146" s="97"/>
      <c r="H146" s="97"/>
      <c r="J146" s="98" t="s">
        <v>20</v>
      </c>
      <c r="K146" s="98"/>
      <c r="L146" s="98"/>
      <c r="M146" s="98"/>
      <c r="N146" s="98"/>
      <c r="O146" s="98"/>
      <c r="P146" s="98"/>
      <c r="Q146" s="98"/>
      <c r="R146" s="98"/>
      <c r="S146" s="98"/>
      <c r="T146" s="98"/>
      <c r="U146" s="98"/>
      <c r="Y146" s="95" t="str">
        <f>J146</f>
        <v>Novembro</v>
      </c>
      <c r="Z146" s="95"/>
      <c r="AA146" s="95"/>
      <c r="AB146" s="95"/>
      <c r="AC146" s="95"/>
      <c r="AD146" s="95"/>
      <c r="AE146" s="95"/>
      <c r="AH146" s="96" t="str">
        <f>Y146</f>
        <v>Novembro</v>
      </c>
      <c r="AI146" s="96"/>
      <c r="AJ146" s="96"/>
      <c r="AK146" s="96"/>
      <c r="AL146" s="96"/>
      <c r="AM146" s="96"/>
      <c r="AN146" s="96"/>
    </row>
    <row r="147" spans="1:40" ht="15.75" thickBot="1" x14ac:dyDescent="0.3">
      <c r="A147" s="99" t="s">
        <v>5</v>
      </c>
      <c r="B147" s="34" t="s">
        <v>6</v>
      </c>
      <c r="C147" s="22" t="s">
        <v>7</v>
      </c>
      <c r="D147" s="33" t="s">
        <v>8</v>
      </c>
      <c r="E147" s="22" t="s">
        <v>9</v>
      </c>
      <c r="F147" s="24" t="s">
        <v>10</v>
      </c>
      <c r="G147" s="23" t="s">
        <v>11</v>
      </c>
      <c r="H147" s="25" t="s">
        <v>12</v>
      </c>
      <c r="J147" s="6" t="s">
        <v>4</v>
      </c>
      <c r="K147" s="9"/>
      <c r="L147" s="4"/>
      <c r="M147" s="4"/>
      <c r="N147" s="4"/>
      <c r="O147" s="4"/>
      <c r="P147" s="4"/>
      <c r="Q147" s="4"/>
      <c r="R147" s="4"/>
      <c r="S147" s="4"/>
      <c r="T147" s="4"/>
      <c r="U147" s="5"/>
      <c r="Y147" s="6" t="s">
        <v>4</v>
      </c>
      <c r="Z147" s="9"/>
      <c r="AA147" s="4"/>
      <c r="AB147" s="4"/>
      <c r="AC147" s="4"/>
      <c r="AD147" s="4"/>
      <c r="AE147" s="5"/>
      <c r="AH147" s="6" t="s">
        <v>4</v>
      </c>
      <c r="AI147" s="9"/>
      <c r="AJ147" s="4"/>
      <c r="AK147" s="4"/>
      <c r="AL147" s="4"/>
      <c r="AM147" s="4"/>
      <c r="AN147" s="5"/>
    </row>
    <row r="148" spans="1:40" ht="15.75" thickBot="1" x14ac:dyDescent="0.3">
      <c r="A148" s="99"/>
      <c r="B148" s="26"/>
      <c r="C148" s="27"/>
      <c r="D148" s="27"/>
      <c r="E148" s="27"/>
      <c r="F148" s="27">
        <f>SUM(C148-B148)</f>
        <v>0</v>
      </c>
      <c r="G148" s="20">
        <f>SUM(E148-D148)</f>
        <v>0</v>
      </c>
      <c r="H148" s="21">
        <f>SUM(F148:G148)</f>
        <v>0</v>
      </c>
      <c r="J148" s="7" t="s">
        <v>22</v>
      </c>
      <c r="K148" s="10"/>
      <c r="L148" s="11"/>
      <c r="M148" s="11"/>
      <c r="N148" s="11"/>
      <c r="O148" s="11"/>
      <c r="P148" s="11"/>
      <c r="Q148" s="11"/>
      <c r="R148" s="11"/>
      <c r="S148" s="11"/>
      <c r="T148" s="11"/>
      <c r="U148" s="12"/>
      <c r="Y148" s="7" t="s">
        <v>22</v>
      </c>
      <c r="Z148" s="10"/>
      <c r="AA148" s="11"/>
      <c r="AB148" s="11"/>
      <c r="AC148" s="11"/>
      <c r="AD148" s="11"/>
      <c r="AE148" s="12"/>
      <c r="AH148" s="7" t="s">
        <v>22</v>
      </c>
      <c r="AI148" s="10"/>
      <c r="AJ148" s="11"/>
      <c r="AK148" s="11"/>
      <c r="AL148" s="11"/>
      <c r="AM148" s="11"/>
      <c r="AN148" s="12"/>
    </row>
    <row r="149" spans="1:40" x14ac:dyDescent="0.25">
      <c r="J149" s="8"/>
      <c r="T149" s="8" t="s">
        <v>23</v>
      </c>
      <c r="U149" s="13">
        <f>SUM(K148:U148)</f>
        <v>0</v>
      </c>
      <c r="AD149" s="8" t="s">
        <v>23</v>
      </c>
      <c r="AE149" s="13">
        <f>SUM(Z148:AE148)</f>
        <v>0</v>
      </c>
      <c r="AM149" s="8" t="s">
        <v>23</v>
      </c>
      <c r="AN149" s="13">
        <f>SUM(AI148:AN148)</f>
        <v>0</v>
      </c>
    </row>
    <row r="150" spans="1:40" ht="15.75" thickBot="1" x14ac:dyDescent="0.3">
      <c r="A150" s="19"/>
      <c r="B150" s="97" t="s">
        <v>21</v>
      </c>
      <c r="C150" s="97"/>
      <c r="D150" s="97"/>
      <c r="E150" s="97"/>
      <c r="F150" s="97"/>
      <c r="G150" s="97"/>
      <c r="H150" s="97"/>
      <c r="J150" s="98" t="s">
        <v>21</v>
      </c>
      <c r="K150" s="98"/>
      <c r="L150" s="98"/>
      <c r="M150" s="98"/>
      <c r="N150" s="98"/>
      <c r="O150" s="98"/>
      <c r="P150" s="98"/>
      <c r="Q150" s="98"/>
      <c r="R150" s="98"/>
      <c r="S150" s="98"/>
      <c r="T150" s="98"/>
      <c r="U150" s="98"/>
      <c r="Y150" s="95" t="str">
        <f>J150</f>
        <v>Dezembro</v>
      </c>
      <c r="Z150" s="95"/>
      <c r="AA150" s="95"/>
      <c r="AB150" s="95"/>
      <c r="AC150" s="95"/>
      <c r="AD150" s="95"/>
      <c r="AE150" s="95"/>
      <c r="AH150" s="96" t="str">
        <f>Y150</f>
        <v>Dezembro</v>
      </c>
      <c r="AI150" s="96"/>
      <c r="AJ150" s="96"/>
      <c r="AK150" s="96"/>
      <c r="AL150" s="96"/>
      <c r="AM150" s="96"/>
      <c r="AN150" s="96"/>
    </row>
    <row r="151" spans="1:40" ht="15.75" thickBot="1" x14ac:dyDescent="0.3">
      <c r="A151" s="99" t="s">
        <v>5</v>
      </c>
      <c r="B151" s="34" t="s">
        <v>6</v>
      </c>
      <c r="C151" s="22" t="s">
        <v>7</v>
      </c>
      <c r="D151" s="33" t="s">
        <v>8</v>
      </c>
      <c r="E151" s="22" t="s">
        <v>9</v>
      </c>
      <c r="F151" s="24" t="s">
        <v>10</v>
      </c>
      <c r="G151" s="23" t="s">
        <v>11</v>
      </c>
      <c r="H151" s="25" t="s">
        <v>12</v>
      </c>
      <c r="J151" s="6" t="s">
        <v>4</v>
      </c>
      <c r="K151" s="9"/>
      <c r="L151" s="4"/>
      <c r="M151" s="4"/>
      <c r="N151" s="4"/>
      <c r="O151" s="4"/>
      <c r="P151" s="4"/>
      <c r="Q151" s="4"/>
      <c r="R151" s="4"/>
      <c r="S151" s="4"/>
      <c r="T151" s="4"/>
      <c r="U151" s="5"/>
      <c r="Y151" s="6" t="s">
        <v>4</v>
      </c>
      <c r="Z151" s="9"/>
      <c r="AA151" s="4"/>
      <c r="AB151" s="4"/>
      <c r="AC151" s="4"/>
      <c r="AD151" s="4"/>
      <c r="AE151" s="5"/>
      <c r="AH151" s="6" t="s">
        <v>4</v>
      </c>
      <c r="AI151" s="9"/>
      <c r="AJ151" s="4"/>
      <c r="AK151" s="4"/>
      <c r="AL151" s="4"/>
      <c r="AM151" s="4"/>
      <c r="AN151" s="5"/>
    </row>
    <row r="152" spans="1:40" ht="15.75" thickBot="1" x14ac:dyDescent="0.3">
      <c r="A152" s="99"/>
      <c r="B152" s="26"/>
      <c r="C152" s="27"/>
      <c r="D152" s="27"/>
      <c r="E152" s="27"/>
      <c r="F152" s="27">
        <f>SUM(C152-B152)</f>
        <v>0</v>
      </c>
      <c r="G152" s="20">
        <f>SUM(E152-D152)</f>
        <v>0</v>
      </c>
      <c r="H152" s="21">
        <f>SUM(F152:G152)</f>
        <v>0</v>
      </c>
      <c r="J152" s="7" t="s">
        <v>22</v>
      </c>
      <c r="K152" s="10"/>
      <c r="L152" s="11"/>
      <c r="M152" s="11"/>
      <c r="N152" s="11"/>
      <c r="O152" s="11"/>
      <c r="P152" s="11"/>
      <c r="Q152" s="11"/>
      <c r="R152" s="11"/>
      <c r="S152" s="11"/>
      <c r="T152" s="11"/>
      <c r="U152" s="12"/>
      <c r="Y152" s="7" t="s">
        <v>22</v>
      </c>
      <c r="Z152" s="10"/>
      <c r="AA152" s="11"/>
      <c r="AB152" s="11"/>
      <c r="AC152" s="11"/>
      <c r="AD152" s="11"/>
      <c r="AE152" s="12"/>
      <c r="AH152" s="7" t="s">
        <v>22</v>
      </c>
      <c r="AI152" s="10"/>
      <c r="AJ152" s="11"/>
      <c r="AK152" s="11"/>
      <c r="AL152" s="11"/>
      <c r="AM152" s="11"/>
      <c r="AN152" s="12"/>
    </row>
    <row r="153" spans="1:40" x14ac:dyDescent="0.25">
      <c r="J153" s="8"/>
      <c r="T153" s="8" t="s">
        <v>23</v>
      </c>
      <c r="U153" s="13">
        <f>SUM(K152:U152)</f>
        <v>0</v>
      </c>
      <c r="AD153" s="8" t="s">
        <v>23</v>
      </c>
      <c r="AE153" s="13">
        <f>SUM(Z152:AE152)</f>
        <v>0</v>
      </c>
      <c r="AM153" s="8" t="s">
        <v>23</v>
      </c>
      <c r="AN153" s="13">
        <f>SUM(AI152:AN152)</f>
        <v>0</v>
      </c>
    </row>
  </sheetData>
  <mergeCells count="195">
    <mergeCell ref="Y118:AE118"/>
    <mergeCell ref="AH118:AN118"/>
    <mergeCell ref="A119:A120"/>
    <mergeCell ref="B38:H38"/>
    <mergeCell ref="A27:A28"/>
    <mergeCell ref="AH18:AN18"/>
    <mergeCell ref="A19:A20"/>
    <mergeCell ref="B22:H22"/>
    <mergeCell ref="J22:U22"/>
    <mergeCell ref="Y22:AE22"/>
    <mergeCell ref="A67:A68"/>
    <mergeCell ref="A59:A60"/>
    <mergeCell ref="B62:H62"/>
    <mergeCell ref="J62:U62"/>
    <mergeCell ref="Y62:AE62"/>
    <mergeCell ref="A51:A52"/>
    <mergeCell ref="B42:H42"/>
    <mergeCell ref="J42:U42"/>
    <mergeCell ref="Y42:AE42"/>
    <mergeCell ref="B46:H46"/>
    <mergeCell ref="J46:U46"/>
    <mergeCell ref="Y46:AE46"/>
    <mergeCell ref="B50:H50"/>
    <mergeCell ref="J50:U50"/>
    <mergeCell ref="AH62:AN62"/>
    <mergeCell ref="Y50:AE50"/>
    <mergeCell ref="A43:A44"/>
    <mergeCell ref="AH66:AN66"/>
    <mergeCell ref="I3:J3"/>
    <mergeCell ref="E3:F3"/>
    <mergeCell ref="B3:C3"/>
    <mergeCell ref="I5:J5"/>
    <mergeCell ref="A23:A24"/>
    <mergeCell ref="B26:H26"/>
    <mergeCell ref="J26:U26"/>
    <mergeCell ref="Y26:AE26"/>
    <mergeCell ref="B18:H18"/>
    <mergeCell ref="J18:U18"/>
    <mergeCell ref="Y18:AE18"/>
    <mergeCell ref="B4:C4"/>
    <mergeCell ref="E4:F4"/>
    <mergeCell ref="I4:J4"/>
    <mergeCell ref="B54:H54"/>
    <mergeCell ref="J54:U54"/>
    <mergeCell ref="Y54:AE54"/>
    <mergeCell ref="AH54:AN54"/>
    <mergeCell ref="A55:A56"/>
    <mergeCell ref="B58:H58"/>
    <mergeCell ref="A31:A32"/>
    <mergeCell ref="B34:H34"/>
    <mergeCell ref="J34:U34"/>
    <mergeCell ref="Y34:AE34"/>
    <mergeCell ref="AH34:AN34"/>
    <mergeCell ref="A35:A36"/>
    <mergeCell ref="Y58:AE58"/>
    <mergeCell ref="AH58:AN58"/>
    <mergeCell ref="J38:U38"/>
    <mergeCell ref="Y38:AE38"/>
    <mergeCell ref="AH38:AN38"/>
    <mergeCell ref="AH42:AN42"/>
    <mergeCell ref="J58:U58"/>
    <mergeCell ref="B2:C2"/>
    <mergeCell ref="E2:F2"/>
    <mergeCell ref="B5:C5"/>
    <mergeCell ref="E5:F5"/>
    <mergeCell ref="A8:H8"/>
    <mergeCell ref="A15:A16"/>
    <mergeCell ref="Y8:AE8"/>
    <mergeCell ref="AH8:AN8"/>
    <mergeCell ref="B10:H10"/>
    <mergeCell ref="J10:U10"/>
    <mergeCell ref="Y10:AE10"/>
    <mergeCell ref="AH10:AN10"/>
    <mergeCell ref="J8:U8"/>
    <mergeCell ref="A11:A12"/>
    <mergeCell ref="B14:H14"/>
    <mergeCell ref="J14:U14"/>
    <mergeCell ref="Y14:AE14"/>
    <mergeCell ref="AH14:AN14"/>
    <mergeCell ref="AH22:AN22"/>
    <mergeCell ref="AH46:AN46"/>
    <mergeCell ref="A47:A48"/>
    <mergeCell ref="A87:A88"/>
    <mergeCell ref="B82:H82"/>
    <mergeCell ref="J82:U82"/>
    <mergeCell ref="Y82:AE82"/>
    <mergeCell ref="AH82:AN82"/>
    <mergeCell ref="A83:A84"/>
    <mergeCell ref="A63:A64"/>
    <mergeCell ref="B66:H66"/>
    <mergeCell ref="J66:U66"/>
    <mergeCell ref="Y66:AE66"/>
    <mergeCell ref="J78:U78"/>
    <mergeCell ref="Y78:AE78"/>
    <mergeCell ref="AH78:AN78"/>
    <mergeCell ref="A71:A72"/>
    <mergeCell ref="AH50:AN50"/>
    <mergeCell ref="AH26:AN26"/>
    <mergeCell ref="A39:A40"/>
    <mergeCell ref="B30:H30"/>
    <mergeCell ref="J30:U30"/>
    <mergeCell ref="Y30:AE30"/>
    <mergeCell ref="AH30:AN30"/>
    <mergeCell ref="B70:H70"/>
    <mergeCell ref="A79:A80"/>
    <mergeCell ref="B74:H74"/>
    <mergeCell ref="J74:U74"/>
    <mergeCell ref="Y74:AE74"/>
    <mergeCell ref="AH74:AN74"/>
    <mergeCell ref="A75:A76"/>
    <mergeCell ref="B86:H86"/>
    <mergeCell ref="J86:U86"/>
    <mergeCell ref="Y86:AE86"/>
    <mergeCell ref="AH86:AN86"/>
    <mergeCell ref="B78:H78"/>
    <mergeCell ref="J70:U70"/>
    <mergeCell ref="Y70:AE70"/>
    <mergeCell ref="AH70:AN70"/>
    <mergeCell ref="A95:A96"/>
    <mergeCell ref="B90:H90"/>
    <mergeCell ref="J90:U90"/>
    <mergeCell ref="Y90:AE90"/>
    <mergeCell ref="AH90:AN90"/>
    <mergeCell ref="A91:A92"/>
    <mergeCell ref="B98:H98"/>
    <mergeCell ref="J98:U98"/>
    <mergeCell ref="A99:A100"/>
    <mergeCell ref="B94:H94"/>
    <mergeCell ref="J94:U94"/>
    <mergeCell ref="Y94:AE94"/>
    <mergeCell ref="AH94:AN94"/>
    <mergeCell ref="B102:H102"/>
    <mergeCell ref="J102:U102"/>
    <mergeCell ref="A103:A104"/>
    <mergeCell ref="B106:H106"/>
    <mergeCell ref="J106:U106"/>
    <mergeCell ref="A107:A108"/>
    <mergeCell ref="B110:H110"/>
    <mergeCell ref="J110:U110"/>
    <mergeCell ref="A111:A112"/>
    <mergeCell ref="B114:H114"/>
    <mergeCell ref="J114:U114"/>
    <mergeCell ref="A115:A116"/>
    <mergeCell ref="B122:H122"/>
    <mergeCell ref="J122:U122"/>
    <mergeCell ref="A123:A124"/>
    <mergeCell ref="A143:A144"/>
    <mergeCell ref="B146:H146"/>
    <mergeCell ref="J146:U146"/>
    <mergeCell ref="B118:H118"/>
    <mergeCell ref="J118:U118"/>
    <mergeCell ref="A147:A148"/>
    <mergeCell ref="B126:H126"/>
    <mergeCell ref="J126:U126"/>
    <mergeCell ref="A127:A128"/>
    <mergeCell ref="B130:H130"/>
    <mergeCell ref="J130:U130"/>
    <mergeCell ref="A131:A132"/>
    <mergeCell ref="B134:H134"/>
    <mergeCell ref="J134:U134"/>
    <mergeCell ref="A135:A136"/>
    <mergeCell ref="AH134:AN134"/>
    <mergeCell ref="Y138:AE138"/>
    <mergeCell ref="AH138:AN138"/>
    <mergeCell ref="Y142:AE142"/>
    <mergeCell ref="B138:H138"/>
    <mergeCell ref="J138:U138"/>
    <mergeCell ref="A139:A140"/>
    <mergeCell ref="B142:H142"/>
    <mergeCell ref="J142:U142"/>
    <mergeCell ref="AH142:AN142"/>
    <mergeCell ref="Y146:AE146"/>
    <mergeCell ref="AH146:AN146"/>
    <mergeCell ref="Y150:AE150"/>
    <mergeCell ref="AH150:AN150"/>
    <mergeCell ref="B150:H150"/>
    <mergeCell ref="J150:U150"/>
    <mergeCell ref="A151:A152"/>
    <mergeCell ref="Y98:AE98"/>
    <mergeCell ref="AH98:AN98"/>
    <mergeCell ref="Y102:AE102"/>
    <mergeCell ref="AH102:AN102"/>
    <mergeCell ref="Y106:AE106"/>
    <mergeCell ref="AH106:AN106"/>
    <mergeCell ref="Y110:AE110"/>
    <mergeCell ref="AH110:AN110"/>
    <mergeCell ref="Y114:AE114"/>
    <mergeCell ref="AH114:AN114"/>
    <mergeCell ref="Y122:AE122"/>
    <mergeCell ref="AH122:AN122"/>
    <mergeCell ref="Y126:AE126"/>
    <mergeCell ref="AH126:AN126"/>
    <mergeCell ref="Y130:AE130"/>
    <mergeCell ref="AH130:AN130"/>
    <mergeCell ref="Y134:AE134"/>
  </mergeCells>
  <phoneticPr fontId="3" type="noConversion"/>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N148"/>
  <sheetViews>
    <sheetView showGridLines="0" topLeftCell="A87" workbookViewId="0">
      <selection activeCell="M5" sqref="M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13.85546875" customWidth="1"/>
    <col min="11" max="11" width="12.140625" bestFit="1" customWidth="1"/>
    <col min="12" max="13" width="10.42578125" bestFit="1" customWidth="1"/>
    <col min="14" max="14" width="13.28515625" bestFit="1" customWidth="1"/>
    <col min="15" max="17" width="10.5703125" bestFit="1" customWidth="1"/>
    <col min="18" max="18" width="10.42578125" bestFit="1" customWidth="1"/>
    <col min="21" max="21" width="13.28515625" bestFit="1" customWidth="1"/>
    <col min="24" max="25" width="10.42578125" bestFit="1" customWidth="1"/>
    <col min="26" max="26" width="10.5703125" bestFit="1" customWidth="1"/>
    <col min="27" max="27" width="12.140625" bestFit="1" customWidth="1"/>
    <col min="29" max="29" width="12.140625" bestFit="1" customWidth="1"/>
    <col min="31" max="31" width="9.5703125" bestFit="1" customWidth="1"/>
    <col min="34" max="36" width="10.140625" bestFit="1" customWidth="1"/>
    <col min="37" max="37" width="12.140625" bestFit="1" customWidth="1"/>
  </cols>
  <sheetData>
    <row r="2" spans="1:37" x14ac:dyDescent="0.25">
      <c r="A2" t="s">
        <v>0</v>
      </c>
      <c r="B2" s="100" t="s">
        <v>70</v>
      </c>
      <c r="C2" s="100"/>
      <c r="D2" s="1" t="s">
        <v>1</v>
      </c>
      <c r="E2" s="100" t="s">
        <v>69</v>
      </c>
      <c r="F2" s="100"/>
      <c r="H2" t="s">
        <v>127</v>
      </c>
      <c r="I2" s="92">
        <v>5000</v>
      </c>
    </row>
    <row r="3" spans="1:37" x14ac:dyDescent="0.25">
      <c r="F3" s="1"/>
    </row>
    <row r="4" spans="1:37" x14ac:dyDescent="0.25">
      <c r="A4" t="s">
        <v>2</v>
      </c>
      <c r="B4" s="101">
        <v>4335.99</v>
      </c>
      <c r="C4" s="101"/>
      <c r="D4" s="1" t="s">
        <v>29</v>
      </c>
      <c r="E4" s="111">
        <v>50</v>
      </c>
      <c r="F4" s="100"/>
      <c r="H4" t="s">
        <v>65</v>
      </c>
      <c r="I4" s="67">
        <v>45390</v>
      </c>
      <c r="J4" t="s">
        <v>128</v>
      </c>
      <c r="K4" s="67">
        <v>46090</v>
      </c>
    </row>
    <row r="7" spans="1:37"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104" t="s">
        <v>25</v>
      </c>
      <c r="X7" s="104"/>
      <c r="Y7" s="104"/>
      <c r="Z7" s="104"/>
      <c r="AA7" s="104"/>
      <c r="AB7" s="104"/>
      <c r="AC7" s="104"/>
      <c r="AD7" s="2"/>
      <c r="AE7" s="104" t="s">
        <v>27</v>
      </c>
      <c r="AF7" s="104"/>
      <c r="AG7" s="104"/>
      <c r="AH7" s="104"/>
      <c r="AI7" s="104"/>
      <c r="AJ7" s="104"/>
      <c r="AK7" s="104"/>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7" t="s">
        <v>3</v>
      </c>
      <c r="C9" s="97"/>
      <c r="D9" s="97"/>
      <c r="E9" s="97"/>
      <c r="F9" s="97"/>
      <c r="G9" s="97"/>
      <c r="H9" s="97"/>
      <c r="J9" s="98" t="s">
        <v>3</v>
      </c>
      <c r="K9" s="98"/>
      <c r="L9" s="98"/>
      <c r="M9" s="98"/>
      <c r="N9" s="98"/>
      <c r="O9" s="98"/>
      <c r="P9" s="98"/>
      <c r="Q9" s="98"/>
      <c r="R9" s="98"/>
      <c r="S9" s="98"/>
      <c r="T9" s="98"/>
      <c r="U9" s="98"/>
      <c r="W9" s="95" t="s">
        <v>3</v>
      </c>
      <c r="X9" s="95"/>
      <c r="Y9" s="95"/>
      <c r="Z9" s="95"/>
      <c r="AA9" s="95"/>
      <c r="AB9" s="95"/>
      <c r="AC9" s="95"/>
      <c r="AE9" s="96" t="s">
        <v>3</v>
      </c>
      <c r="AF9" s="96"/>
      <c r="AG9" s="96"/>
      <c r="AH9" s="96"/>
      <c r="AI9" s="96"/>
      <c r="AJ9" s="96"/>
      <c r="AK9" s="96"/>
    </row>
    <row r="10" spans="1:37" ht="15.75" thickBot="1" x14ac:dyDescent="0.3">
      <c r="A10" s="99"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7" t="s">
        <v>13</v>
      </c>
      <c r="C13" s="97"/>
      <c r="D13" s="97"/>
      <c r="E13" s="97"/>
      <c r="F13" s="97"/>
      <c r="G13" s="97"/>
      <c r="H13" s="97"/>
      <c r="J13" s="98" t="s">
        <v>13</v>
      </c>
      <c r="K13" s="98"/>
      <c r="L13" s="98"/>
      <c r="M13" s="98"/>
      <c r="N13" s="98"/>
      <c r="O13" s="98"/>
      <c r="P13" s="98"/>
      <c r="Q13" s="98"/>
      <c r="R13" s="98"/>
      <c r="S13" s="98"/>
      <c r="T13" s="98"/>
      <c r="U13" s="98"/>
      <c r="W13" s="95" t="str">
        <f>J13</f>
        <v>Março</v>
      </c>
      <c r="X13" s="95"/>
      <c r="Y13" s="95"/>
      <c r="Z13" s="95"/>
      <c r="AA13" s="95"/>
      <c r="AB13" s="95"/>
      <c r="AC13" s="95"/>
      <c r="AE13" s="96" t="str">
        <f>W13</f>
        <v>Março</v>
      </c>
      <c r="AF13" s="96"/>
      <c r="AG13" s="96"/>
      <c r="AH13" s="96"/>
      <c r="AI13" s="96"/>
      <c r="AJ13" s="96"/>
      <c r="AK13" s="96"/>
    </row>
    <row r="14" spans="1:37" ht="15.75" thickBot="1" x14ac:dyDescent="0.3">
      <c r="A14" s="99"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97" t="s">
        <v>14</v>
      </c>
      <c r="C17" s="97"/>
      <c r="D17" s="97"/>
      <c r="E17" s="97"/>
      <c r="F17" s="97"/>
      <c r="G17" s="97"/>
      <c r="H17" s="97"/>
      <c r="J17" s="98" t="s">
        <v>14</v>
      </c>
      <c r="K17" s="98"/>
      <c r="L17" s="98"/>
      <c r="M17" s="98"/>
      <c r="N17" s="98"/>
      <c r="O17" s="98"/>
      <c r="P17" s="98"/>
      <c r="Q17" s="98"/>
      <c r="R17" s="98"/>
      <c r="S17" s="98"/>
      <c r="T17" s="98"/>
      <c r="U17" s="98"/>
      <c r="W17" s="95" t="str">
        <f>J17</f>
        <v>Abril</v>
      </c>
      <c r="X17" s="95"/>
      <c r="Y17" s="95"/>
      <c r="Z17" s="95"/>
      <c r="AA17" s="95"/>
      <c r="AB17" s="95"/>
      <c r="AC17" s="95"/>
      <c r="AE17" s="96" t="str">
        <f>W17</f>
        <v>Abril</v>
      </c>
      <c r="AF17" s="96"/>
      <c r="AG17" s="96"/>
      <c r="AH17" s="96"/>
      <c r="AI17" s="96"/>
      <c r="AJ17" s="96"/>
      <c r="AK17" s="96"/>
    </row>
    <row r="18" spans="1:37" ht="15.75" thickBot="1" x14ac:dyDescent="0.3">
      <c r="A18" s="99" t="s">
        <v>5</v>
      </c>
      <c r="B18" s="34" t="s">
        <v>6</v>
      </c>
      <c r="C18" s="22" t="s">
        <v>7</v>
      </c>
      <c r="D18" s="33" t="s">
        <v>8</v>
      </c>
      <c r="E18" s="22" t="s">
        <v>9</v>
      </c>
      <c r="F18" s="24" t="s">
        <v>10</v>
      </c>
      <c r="G18" s="23" t="s">
        <v>11</v>
      </c>
      <c r="H18" s="25" t="s">
        <v>12</v>
      </c>
      <c r="J18" s="6" t="s">
        <v>4</v>
      </c>
      <c r="K18" s="9">
        <v>45394</v>
      </c>
      <c r="L18" s="66">
        <v>45412</v>
      </c>
      <c r="M18" s="66">
        <v>45401</v>
      </c>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9"/>
      <c r="B19" s="26">
        <v>9319</v>
      </c>
      <c r="C19" s="27"/>
      <c r="D19" s="27"/>
      <c r="E19" s="27">
        <v>10768</v>
      </c>
      <c r="F19" s="27">
        <f>SUM(C19-B19)</f>
        <v>-9319</v>
      </c>
      <c r="G19" s="20">
        <f>SUM(E19-D19)</f>
        <v>10768</v>
      </c>
      <c r="H19" s="21">
        <f>SUM(F19:G19)</f>
        <v>1449</v>
      </c>
      <c r="J19" s="7" t="s">
        <v>22</v>
      </c>
      <c r="K19" s="30">
        <v>291.35000000000002</v>
      </c>
      <c r="L19" s="31">
        <v>311.02</v>
      </c>
      <c r="M19" s="31">
        <v>291.35000000000002</v>
      </c>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893.72</v>
      </c>
      <c r="AB20" s="8" t="s">
        <v>23</v>
      </c>
      <c r="AC20" s="13">
        <f>SUM(X19:AC19)</f>
        <v>0</v>
      </c>
      <c r="AJ20" s="8" t="s">
        <v>23</v>
      </c>
      <c r="AK20" s="13">
        <f>SUM(AF19:AK19)</f>
        <v>0</v>
      </c>
    </row>
    <row r="21" spans="1:37" ht="15.75" thickBot="1" x14ac:dyDescent="0.3">
      <c r="A21" s="19"/>
      <c r="B21" s="97" t="s">
        <v>15</v>
      </c>
      <c r="C21" s="97"/>
      <c r="D21" s="97"/>
      <c r="E21" s="97"/>
      <c r="F21" s="97"/>
      <c r="G21" s="97"/>
      <c r="H21" s="97"/>
      <c r="J21" s="98" t="s">
        <v>15</v>
      </c>
      <c r="K21" s="98"/>
      <c r="L21" s="98"/>
      <c r="M21" s="98"/>
      <c r="N21" s="98"/>
      <c r="O21" s="98"/>
      <c r="P21" s="98"/>
      <c r="Q21" s="98"/>
      <c r="R21" s="98"/>
      <c r="S21" s="98"/>
      <c r="T21" s="98"/>
      <c r="U21" s="98"/>
      <c r="W21" s="95" t="str">
        <f>J21</f>
        <v>Maio</v>
      </c>
      <c r="X21" s="95"/>
      <c r="Y21" s="95"/>
      <c r="Z21" s="95"/>
      <c r="AA21" s="95"/>
      <c r="AB21" s="95"/>
      <c r="AC21" s="95"/>
      <c r="AE21" s="96" t="str">
        <f>W21</f>
        <v>Maio</v>
      </c>
      <c r="AF21" s="96"/>
      <c r="AG21" s="96"/>
      <c r="AH21" s="96"/>
      <c r="AI21" s="96"/>
      <c r="AJ21" s="96"/>
      <c r="AK21" s="96"/>
    </row>
    <row r="22" spans="1:37" ht="15.75" thickBot="1" x14ac:dyDescent="0.3">
      <c r="A22" s="99" t="s">
        <v>5</v>
      </c>
      <c r="B22" s="34" t="s">
        <v>6</v>
      </c>
      <c r="C22" s="22" t="s">
        <v>7</v>
      </c>
      <c r="D22" s="33" t="s">
        <v>8</v>
      </c>
      <c r="E22" s="22" t="s">
        <v>9</v>
      </c>
      <c r="F22" s="24" t="s">
        <v>10</v>
      </c>
      <c r="G22" s="23" t="s">
        <v>11</v>
      </c>
      <c r="H22" s="25" t="s">
        <v>12</v>
      </c>
      <c r="J22" s="6" t="s">
        <v>4</v>
      </c>
      <c r="K22" s="9">
        <v>45421</v>
      </c>
      <c r="L22" s="66">
        <v>45433</v>
      </c>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99"/>
      <c r="B23" s="26">
        <v>10768</v>
      </c>
      <c r="C23" s="27"/>
      <c r="D23" s="27"/>
      <c r="E23" s="27">
        <v>11842</v>
      </c>
      <c r="F23" s="27">
        <f>SUM(C23-B23)</f>
        <v>-10768</v>
      </c>
      <c r="G23" s="20">
        <f>SUM(E23-D23)</f>
        <v>11842</v>
      </c>
      <c r="H23" s="21">
        <f>SUM(F23:G23)</f>
        <v>1074</v>
      </c>
      <c r="J23" s="7" t="s">
        <v>22</v>
      </c>
      <c r="K23" s="10">
        <v>293.76</v>
      </c>
      <c r="L23" s="11">
        <v>306</v>
      </c>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599.76</v>
      </c>
      <c r="AB24" s="8" t="s">
        <v>23</v>
      </c>
      <c r="AC24" s="13">
        <f>SUM(X23:AC23)</f>
        <v>0</v>
      </c>
      <c r="AJ24" s="8" t="s">
        <v>23</v>
      </c>
      <c r="AK24" s="13">
        <f>SUM(AF23:AK23)</f>
        <v>0</v>
      </c>
    </row>
    <row r="25" spans="1:37" ht="15.75" thickBot="1" x14ac:dyDescent="0.3">
      <c r="A25" s="19"/>
      <c r="B25" s="97" t="s">
        <v>24</v>
      </c>
      <c r="C25" s="97"/>
      <c r="D25" s="97"/>
      <c r="E25" s="97"/>
      <c r="F25" s="97"/>
      <c r="G25" s="97"/>
      <c r="H25" s="97"/>
      <c r="J25" s="98" t="s">
        <v>24</v>
      </c>
      <c r="K25" s="98"/>
      <c r="L25" s="98"/>
      <c r="M25" s="98"/>
      <c r="N25" s="98"/>
      <c r="O25" s="98"/>
      <c r="P25" s="98"/>
      <c r="Q25" s="98"/>
      <c r="R25" s="98"/>
      <c r="S25" s="98"/>
      <c r="T25" s="98"/>
      <c r="U25" s="98"/>
      <c r="W25" s="95" t="str">
        <f>J25</f>
        <v>Junho</v>
      </c>
      <c r="X25" s="95"/>
      <c r="Y25" s="95"/>
      <c r="Z25" s="95"/>
      <c r="AA25" s="95"/>
      <c r="AB25" s="95"/>
      <c r="AC25" s="95"/>
      <c r="AE25" s="96" t="str">
        <f>W25</f>
        <v>Junho</v>
      </c>
      <c r="AF25" s="96"/>
      <c r="AG25" s="96"/>
      <c r="AH25" s="96"/>
      <c r="AI25" s="96"/>
      <c r="AJ25" s="96"/>
      <c r="AK25" s="96"/>
    </row>
    <row r="26" spans="1:37" ht="15.75" thickBot="1" x14ac:dyDescent="0.3">
      <c r="A26" s="99" t="s">
        <v>5</v>
      </c>
      <c r="B26" s="34" t="s">
        <v>6</v>
      </c>
      <c r="C26" s="22" t="s">
        <v>7</v>
      </c>
      <c r="D26" s="33" t="s">
        <v>8</v>
      </c>
      <c r="E26" s="22" t="s">
        <v>9</v>
      </c>
      <c r="F26" s="24" t="s">
        <v>10</v>
      </c>
      <c r="G26" s="23" t="s">
        <v>11</v>
      </c>
      <c r="H26" s="25" t="s">
        <v>12</v>
      </c>
      <c r="J26" s="6" t="s">
        <v>4</v>
      </c>
      <c r="K26" s="9">
        <v>45454</v>
      </c>
      <c r="L26" s="66">
        <v>45463</v>
      </c>
      <c r="M26" s="66">
        <v>45470</v>
      </c>
      <c r="N26" s="4"/>
      <c r="O26" s="4"/>
      <c r="P26" s="4"/>
      <c r="Q26" s="4"/>
      <c r="R26" s="4"/>
      <c r="S26" s="4"/>
      <c r="T26" s="4"/>
      <c r="U26" s="5"/>
      <c r="W26" s="6" t="s">
        <v>4</v>
      </c>
      <c r="X26" s="9">
        <v>45457</v>
      </c>
      <c r="Y26" s="4"/>
      <c r="Z26" s="4"/>
      <c r="AA26" s="4"/>
      <c r="AB26" s="4"/>
      <c r="AC26" s="5"/>
      <c r="AE26" s="6" t="s">
        <v>4</v>
      </c>
      <c r="AF26" s="9"/>
      <c r="AG26" s="4"/>
      <c r="AH26" s="4"/>
      <c r="AI26" s="4"/>
      <c r="AJ26" s="4"/>
      <c r="AK26" s="5"/>
    </row>
    <row r="27" spans="1:37" ht="15.75" thickBot="1" x14ac:dyDescent="0.3">
      <c r="A27" s="99"/>
      <c r="B27" s="26">
        <v>11842</v>
      </c>
      <c r="C27" s="27"/>
      <c r="D27" s="27"/>
      <c r="E27" s="27">
        <v>13482</v>
      </c>
      <c r="F27" s="27">
        <f>SUM(C27-B27)</f>
        <v>-11842</v>
      </c>
      <c r="G27" s="20">
        <f>SUM(E27-D27)</f>
        <v>13482</v>
      </c>
      <c r="H27" s="21">
        <f>SUM(F27:G27)</f>
        <v>1640</v>
      </c>
      <c r="J27" s="7" t="s">
        <v>22</v>
      </c>
      <c r="K27" s="10">
        <v>304.04000000000002</v>
      </c>
      <c r="L27" s="11">
        <v>312.12</v>
      </c>
      <c r="M27" s="11">
        <v>187.09</v>
      </c>
      <c r="N27" s="11"/>
      <c r="O27" s="11"/>
      <c r="P27" s="11"/>
      <c r="Q27" s="11"/>
      <c r="R27" s="11"/>
      <c r="S27" s="11"/>
      <c r="T27" s="11"/>
      <c r="U27" s="12"/>
      <c r="W27" s="7" t="s">
        <v>22</v>
      </c>
      <c r="X27" s="10">
        <v>50</v>
      </c>
      <c r="Y27" s="11"/>
      <c r="Z27" s="11"/>
      <c r="AA27" s="11"/>
      <c r="AB27" s="11"/>
      <c r="AC27" s="12"/>
      <c r="AE27" s="7" t="s">
        <v>22</v>
      </c>
      <c r="AF27" s="10"/>
      <c r="AG27" s="11"/>
      <c r="AH27" s="11"/>
      <c r="AI27" s="11"/>
      <c r="AJ27" s="11"/>
      <c r="AK27" s="12"/>
    </row>
    <row r="28" spans="1:37" x14ac:dyDescent="0.25">
      <c r="J28" s="8"/>
      <c r="T28" s="8" t="s">
        <v>23</v>
      </c>
      <c r="U28" s="13">
        <f>SUM(K27:U27)</f>
        <v>803.25000000000011</v>
      </c>
      <c r="AB28" s="8" t="s">
        <v>23</v>
      </c>
      <c r="AC28" s="13">
        <f>SUM(X27:AC27)</f>
        <v>50</v>
      </c>
      <c r="AJ28" s="8" t="s">
        <v>23</v>
      </c>
      <c r="AK28" s="13">
        <f>SUM(AF27:AK27)</f>
        <v>0</v>
      </c>
    </row>
    <row r="29" spans="1:37" ht="15.75" thickBot="1" x14ac:dyDescent="0.3">
      <c r="A29" s="19"/>
      <c r="B29" s="97" t="s">
        <v>16</v>
      </c>
      <c r="C29" s="97"/>
      <c r="D29" s="97"/>
      <c r="E29" s="97"/>
      <c r="F29" s="97"/>
      <c r="G29" s="97"/>
      <c r="H29" s="97"/>
      <c r="J29" s="98" t="s">
        <v>16</v>
      </c>
      <c r="K29" s="98"/>
      <c r="L29" s="98"/>
      <c r="M29" s="98"/>
      <c r="N29" s="98"/>
      <c r="O29" s="98"/>
      <c r="P29" s="98"/>
      <c r="Q29" s="98"/>
      <c r="R29" s="98"/>
      <c r="S29" s="98"/>
      <c r="T29" s="98"/>
      <c r="U29" s="98"/>
      <c r="W29" s="95" t="str">
        <f>J29</f>
        <v>Julho</v>
      </c>
      <c r="X29" s="95"/>
      <c r="Y29" s="95"/>
      <c r="Z29" s="95"/>
      <c r="AA29" s="95"/>
      <c r="AB29" s="95"/>
      <c r="AC29" s="95"/>
      <c r="AE29" s="96" t="str">
        <f>W29</f>
        <v>Julho</v>
      </c>
      <c r="AF29" s="96"/>
      <c r="AG29" s="96"/>
      <c r="AH29" s="96"/>
      <c r="AI29" s="96"/>
      <c r="AJ29" s="96"/>
      <c r="AK29" s="96"/>
    </row>
    <row r="30" spans="1:37" ht="15.75" thickBot="1" x14ac:dyDescent="0.3">
      <c r="A30" s="99" t="s">
        <v>5</v>
      </c>
      <c r="B30" s="34" t="s">
        <v>6</v>
      </c>
      <c r="C30" s="22" t="s">
        <v>7</v>
      </c>
      <c r="D30" s="33" t="s">
        <v>8</v>
      </c>
      <c r="E30" s="22" t="s">
        <v>9</v>
      </c>
      <c r="F30" s="24" t="s">
        <v>10</v>
      </c>
      <c r="G30" s="23" t="s">
        <v>11</v>
      </c>
      <c r="H30" s="25" t="s">
        <v>12</v>
      </c>
      <c r="J30" s="6" t="s">
        <v>4</v>
      </c>
      <c r="K30" s="9">
        <v>45482</v>
      </c>
      <c r="L30" s="66">
        <v>45497</v>
      </c>
      <c r="M30" s="4"/>
      <c r="N30" s="4"/>
      <c r="O30" s="4"/>
      <c r="P30" s="4"/>
      <c r="Q30" s="4"/>
      <c r="R30" s="4"/>
      <c r="S30" s="4"/>
      <c r="T30" s="4"/>
      <c r="U30" s="5"/>
      <c r="W30" s="6" t="s">
        <v>4</v>
      </c>
      <c r="X30" s="9">
        <v>45485</v>
      </c>
      <c r="Y30" s="66">
        <v>45504</v>
      </c>
      <c r="Z30" s="4"/>
      <c r="AA30" s="4"/>
      <c r="AB30" s="4"/>
      <c r="AC30" s="5"/>
      <c r="AE30" s="6" t="s">
        <v>4</v>
      </c>
      <c r="AF30" s="9"/>
      <c r="AG30" s="4"/>
      <c r="AH30" s="4"/>
      <c r="AI30" s="4"/>
      <c r="AJ30" s="4"/>
      <c r="AK30" s="5"/>
    </row>
    <row r="31" spans="1:37" ht="15.75" thickBot="1" x14ac:dyDescent="0.3">
      <c r="A31" s="99"/>
      <c r="B31" s="26">
        <v>13482</v>
      </c>
      <c r="C31" s="27"/>
      <c r="D31" s="27"/>
      <c r="E31" s="27">
        <v>14358</v>
      </c>
      <c r="F31" s="27">
        <f>SUM(C31-B31)</f>
        <v>-13482</v>
      </c>
      <c r="G31" s="20">
        <f>SUM(E31-D31)</f>
        <v>14358</v>
      </c>
      <c r="H31" s="21">
        <f>SUM(F31:G31)</f>
        <v>876</v>
      </c>
      <c r="J31" s="7" t="s">
        <v>22</v>
      </c>
      <c r="K31" s="10">
        <v>278.87</v>
      </c>
      <c r="L31" s="11">
        <v>305.87</v>
      </c>
      <c r="M31" s="11"/>
      <c r="N31" s="11"/>
      <c r="O31" s="11"/>
      <c r="P31" s="11"/>
      <c r="Q31" s="11"/>
      <c r="R31" s="11"/>
      <c r="S31" s="11"/>
      <c r="T31" s="11"/>
      <c r="U31" s="12"/>
      <c r="W31" s="7" t="s">
        <v>22</v>
      </c>
      <c r="X31" s="10">
        <v>50</v>
      </c>
      <c r="Y31" s="11">
        <v>50</v>
      </c>
      <c r="Z31" s="11"/>
      <c r="AA31" s="11"/>
      <c r="AB31" s="11"/>
      <c r="AC31" s="12"/>
      <c r="AE31" s="7" t="s">
        <v>22</v>
      </c>
      <c r="AF31" s="10"/>
      <c r="AG31" s="11"/>
      <c r="AH31" s="11"/>
      <c r="AI31" s="11"/>
      <c r="AJ31" s="11"/>
      <c r="AK31" s="12"/>
    </row>
    <row r="32" spans="1:37" x14ac:dyDescent="0.25">
      <c r="J32" s="8"/>
      <c r="T32" s="8" t="s">
        <v>23</v>
      </c>
      <c r="U32" s="13">
        <f>SUM(K31:U31)</f>
        <v>584.74</v>
      </c>
      <c r="AB32" s="8" t="s">
        <v>23</v>
      </c>
      <c r="AC32" s="13">
        <f>SUM(X31:AC31)</f>
        <v>100</v>
      </c>
      <c r="AJ32" s="8" t="s">
        <v>23</v>
      </c>
      <c r="AK32" s="13">
        <f>SUM(AF31:AK31)</f>
        <v>0</v>
      </c>
    </row>
    <row r="33" spans="1:37" ht="15.75" thickBot="1" x14ac:dyDescent="0.3">
      <c r="A33" s="19"/>
      <c r="B33" s="97" t="s">
        <v>17</v>
      </c>
      <c r="C33" s="97"/>
      <c r="D33" s="97"/>
      <c r="E33" s="97"/>
      <c r="F33" s="97"/>
      <c r="G33" s="97"/>
      <c r="H33" s="97"/>
      <c r="J33" s="98" t="s">
        <v>17</v>
      </c>
      <c r="K33" s="98"/>
      <c r="L33" s="98"/>
      <c r="M33" s="98"/>
      <c r="N33" s="98"/>
      <c r="O33" s="98"/>
      <c r="P33" s="98"/>
      <c r="Q33" s="98"/>
      <c r="R33" s="98"/>
      <c r="S33" s="98"/>
      <c r="T33" s="98"/>
      <c r="U33" s="98"/>
      <c r="W33" s="95" t="str">
        <f>J33</f>
        <v>Agosto</v>
      </c>
      <c r="X33" s="95"/>
      <c r="Y33" s="95"/>
      <c r="Z33" s="95"/>
      <c r="AA33" s="95"/>
      <c r="AB33" s="95"/>
      <c r="AC33" s="95"/>
      <c r="AE33" s="96" t="str">
        <f>W33</f>
        <v>Agosto</v>
      </c>
      <c r="AF33" s="96"/>
      <c r="AG33" s="96"/>
      <c r="AH33" s="96"/>
      <c r="AI33" s="96"/>
      <c r="AJ33" s="96"/>
      <c r="AK33" s="96"/>
    </row>
    <row r="34" spans="1:37" ht="15.75" thickBot="1" x14ac:dyDescent="0.3">
      <c r="A34" s="99" t="s">
        <v>5</v>
      </c>
      <c r="B34" s="34" t="s">
        <v>6</v>
      </c>
      <c r="C34" s="22" t="s">
        <v>7</v>
      </c>
      <c r="D34" s="33" t="s">
        <v>8</v>
      </c>
      <c r="E34" s="22" t="s">
        <v>9</v>
      </c>
      <c r="F34" s="24" t="s">
        <v>10</v>
      </c>
      <c r="G34" s="23" t="s">
        <v>11</v>
      </c>
      <c r="H34" s="25" t="s">
        <v>12</v>
      </c>
      <c r="J34" s="6" t="s">
        <v>4</v>
      </c>
      <c r="K34" s="9">
        <v>45510</v>
      </c>
      <c r="L34" s="66">
        <v>45526</v>
      </c>
      <c r="M34" s="66">
        <v>45533</v>
      </c>
      <c r="N34" s="4"/>
      <c r="O34" s="4"/>
      <c r="P34" s="4"/>
      <c r="Q34" s="4"/>
      <c r="R34" s="4"/>
      <c r="S34" s="4"/>
      <c r="T34" s="4"/>
      <c r="U34" s="5"/>
      <c r="W34" s="6" t="s">
        <v>4</v>
      </c>
      <c r="X34" s="9">
        <v>45520</v>
      </c>
      <c r="Y34" s="66">
        <v>45528</v>
      </c>
      <c r="Z34" s="4"/>
      <c r="AA34" s="4"/>
      <c r="AB34" s="4"/>
      <c r="AC34" s="5"/>
      <c r="AE34" s="6" t="s">
        <v>4</v>
      </c>
      <c r="AF34" s="9"/>
      <c r="AG34" s="4"/>
      <c r="AH34" s="4"/>
      <c r="AI34" s="4"/>
      <c r="AJ34" s="4"/>
      <c r="AK34" s="5"/>
    </row>
    <row r="35" spans="1:37" ht="15.75" thickBot="1" x14ac:dyDescent="0.3">
      <c r="A35" s="99"/>
      <c r="B35" s="26">
        <v>14358</v>
      </c>
      <c r="C35" s="27"/>
      <c r="D35" s="27"/>
      <c r="E35" s="27">
        <v>15764</v>
      </c>
      <c r="F35" s="27">
        <f>SUM(C35-B35)</f>
        <v>-14358</v>
      </c>
      <c r="G35" s="20">
        <f>SUM(E35-D35)</f>
        <v>15764</v>
      </c>
      <c r="H35" s="21">
        <f>SUM(F35:G35)</f>
        <v>1406</v>
      </c>
      <c r="J35" s="7" t="s">
        <v>22</v>
      </c>
      <c r="K35" s="10">
        <v>286.07</v>
      </c>
      <c r="L35" s="11">
        <v>285.45999999999998</v>
      </c>
      <c r="M35" s="11">
        <v>293.58</v>
      </c>
      <c r="N35" s="11"/>
      <c r="O35" s="11"/>
      <c r="P35" s="11"/>
      <c r="Q35" s="11"/>
      <c r="R35" s="11"/>
      <c r="S35" s="11"/>
      <c r="T35" s="11"/>
      <c r="U35" s="12"/>
      <c r="W35" s="7" t="s">
        <v>22</v>
      </c>
      <c r="X35" s="10">
        <v>50</v>
      </c>
      <c r="Y35" s="11">
        <v>50</v>
      </c>
      <c r="Z35" s="11"/>
      <c r="AA35" s="11"/>
      <c r="AB35" s="11"/>
      <c r="AC35" s="12"/>
      <c r="AE35" s="7" t="s">
        <v>22</v>
      </c>
      <c r="AF35" s="10"/>
      <c r="AG35" s="11"/>
      <c r="AH35" s="11"/>
      <c r="AI35" s="11"/>
      <c r="AJ35" s="11"/>
      <c r="AK35" s="12"/>
    </row>
    <row r="36" spans="1:37" x14ac:dyDescent="0.25">
      <c r="J36" s="8"/>
      <c r="T36" s="8" t="s">
        <v>23</v>
      </c>
      <c r="U36" s="13">
        <f>SUM(K35:U35)</f>
        <v>865.1099999999999</v>
      </c>
      <c r="AB36" s="8" t="s">
        <v>23</v>
      </c>
      <c r="AC36" s="13">
        <f>SUM(X35:AC35)</f>
        <v>100</v>
      </c>
      <c r="AJ36" s="8" t="s">
        <v>23</v>
      </c>
      <c r="AK36" s="13">
        <f>SUM(AF35:AK35)</f>
        <v>0</v>
      </c>
    </row>
    <row r="37" spans="1:37" ht="15.75" thickBot="1" x14ac:dyDescent="0.3">
      <c r="A37" s="19"/>
      <c r="B37" s="97" t="s">
        <v>18</v>
      </c>
      <c r="C37" s="97"/>
      <c r="D37" s="97"/>
      <c r="E37" s="97"/>
      <c r="F37" s="97"/>
      <c r="G37" s="97"/>
      <c r="H37" s="97"/>
      <c r="J37" s="98" t="s">
        <v>18</v>
      </c>
      <c r="K37" s="98"/>
      <c r="L37" s="98"/>
      <c r="M37" s="98"/>
      <c r="N37" s="98"/>
      <c r="O37" s="98"/>
      <c r="P37" s="98"/>
      <c r="Q37" s="98"/>
      <c r="R37" s="98"/>
      <c r="S37" s="98"/>
      <c r="T37" s="98"/>
      <c r="U37" s="98"/>
      <c r="W37" s="95" t="str">
        <f>J37</f>
        <v>Setembro</v>
      </c>
      <c r="X37" s="95"/>
      <c r="Y37" s="95"/>
      <c r="Z37" s="95"/>
      <c r="AA37" s="95"/>
      <c r="AB37" s="95"/>
      <c r="AC37" s="95"/>
      <c r="AE37" s="96" t="str">
        <f>W37</f>
        <v>Setembro</v>
      </c>
      <c r="AF37" s="96"/>
      <c r="AG37" s="96"/>
      <c r="AH37" s="96"/>
      <c r="AI37" s="96"/>
      <c r="AJ37" s="96"/>
      <c r="AK37" s="96"/>
    </row>
    <row r="38" spans="1:37" ht="15.75" thickBot="1" x14ac:dyDescent="0.3">
      <c r="A38" s="99" t="s">
        <v>5</v>
      </c>
      <c r="B38" s="34" t="s">
        <v>6</v>
      </c>
      <c r="C38" s="22" t="s">
        <v>7</v>
      </c>
      <c r="D38" s="33" t="s">
        <v>8</v>
      </c>
      <c r="E38" s="22" t="s">
        <v>9</v>
      </c>
      <c r="F38" s="24" t="s">
        <v>10</v>
      </c>
      <c r="G38" s="23" t="s">
        <v>11</v>
      </c>
      <c r="H38" s="25" t="s">
        <v>12</v>
      </c>
      <c r="J38" s="6" t="s">
        <v>4</v>
      </c>
      <c r="K38" s="9">
        <v>45550</v>
      </c>
      <c r="L38" s="66">
        <v>45554</v>
      </c>
      <c r="M38" s="66">
        <v>45559</v>
      </c>
      <c r="N38" s="4"/>
      <c r="O38" s="4"/>
      <c r="P38" s="4"/>
      <c r="Q38" s="4"/>
      <c r="R38" s="4"/>
      <c r="S38" s="4"/>
      <c r="T38" s="4"/>
      <c r="U38" s="5"/>
      <c r="W38" s="6" t="s">
        <v>4</v>
      </c>
      <c r="X38" s="9">
        <v>45542</v>
      </c>
      <c r="Y38" s="66">
        <v>45558</v>
      </c>
      <c r="Z38" s="4"/>
      <c r="AA38" s="4"/>
      <c r="AB38" s="4"/>
      <c r="AC38" s="5"/>
      <c r="AE38" s="6" t="s">
        <v>4</v>
      </c>
      <c r="AF38" s="9"/>
      <c r="AG38" s="4"/>
      <c r="AH38" s="4"/>
      <c r="AI38" s="4"/>
      <c r="AJ38" s="4"/>
      <c r="AK38" s="5"/>
    </row>
    <row r="39" spans="1:37" ht="15.75" thickBot="1" x14ac:dyDescent="0.3">
      <c r="A39" s="99"/>
      <c r="B39" s="26">
        <v>15764</v>
      </c>
      <c r="C39" s="27"/>
      <c r="D39" s="27"/>
      <c r="E39" s="27">
        <v>18191</v>
      </c>
      <c r="F39" s="27">
        <f>SUM(C39-B39)</f>
        <v>-15764</v>
      </c>
      <c r="G39" s="20">
        <f>SUM(E39-D39)</f>
        <v>18191</v>
      </c>
      <c r="H39" s="21">
        <f>SUM(F39:G39)</f>
        <v>2427</v>
      </c>
      <c r="J39" s="7" t="s">
        <v>22</v>
      </c>
      <c r="K39" s="10">
        <v>175</v>
      </c>
      <c r="L39" s="11">
        <v>280.05</v>
      </c>
      <c r="M39" s="11">
        <v>245.96</v>
      </c>
      <c r="N39" s="11"/>
      <c r="O39" s="11"/>
      <c r="P39" s="11"/>
      <c r="Q39" s="11"/>
      <c r="R39" s="11"/>
      <c r="S39" s="11"/>
      <c r="T39" s="11"/>
      <c r="U39" s="12"/>
      <c r="W39" s="7" t="s">
        <v>22</v>
      </c>
      <c r="X39" s="10">
        <v>50</v>
      </c>
      <c r="Y39" s="11">
        <v>50</v>
      </c>
      <c r="Z39" s="11"/>
      <c r="AA39" s="11"/>
      <c r="AB39" s="11"/>
      <c r="AC39" s="12"/>
      <c r="AE39" s="7" t="s">
        <v>22</v>
      </c>
      <c r="AF39" s="10"/>
      <c r="AG39" s="11"/>
      <c r="AH39" s="11"/>
      <c r="AI39" s="11"/>
      <c r="AJ39" s="11"/>
      <c r="AK39" s="12"/>
    </row>
    <row r="40" spans="1:37" x14ac:dyDescent="0.25">
      <c r="J40" s="8"/>
      <c r="T40" s="8" t="s">
        <v>23</v>
      </c>
      <c r="U40" s="13">
        <f>SUM(K39:U39)</f>
        <v>701.01</v>
      </c>
      <c r="AB40" s="8" t="s">
        <v>23</v>
      </c>
      <c r="AC40" s="13">
        <f>SUM(X39:AC39)</f>
        <v>100</v>
      </c>
      <c r="AJ40" s="8" t="s">
        <v>23</v>
      </c>
      <c r="AK40" s="13">
        <f>SUM(AF39:AK39)</f>
        <v>0</v>
      </c>
    </row>
    <row r="41" spans="1:37" ht="15.75" thickBot="1" x14ac:dyDescent="0.3">
      <c r="A41" s="19"/>
      <c r="B41" s="97" t="s">
        <v>19</v>
      </c>
      <c r="C41" s="97"/>
      <c r="D41" s="97"/>
      <c r="E41" s="97"/>
      <c r="F41" s="97"/>
      <c r="G41" s="97"/>
      <c r="H41" s="97"/>
      <c r="J41" s="98" t="s">
        <v>19</v>
      </c>
      <c r="K41" s="98"/>
      <c r="L41" s="98"/>
      <c r="M41" s="98"/>
      <c r="N41" s="98"/>
      <c r="O41" s="98"/>
      <c r="P41" s="98"/>
      <c r="Q41" s="98"/>
      <c r="R41" s="98"/>
      <c r="S41" s="98"/>
      <c r="T41" s="98"/>
      <c r="U41" s="98"/>
      <c r="W41" s="95" t="str">
        <f>J41</f>
        <v>Outubro</v>
      </c>
      <c r="X41" s="95"/>
      <c r="Y41" s="95"/>
      <c r="Z41" s="95"/>
      <c r="AA41" s="95"/>
      <c r="AB41" s="95"/>
      <c r="AC41" s="95"/>
      <c r="AE41" s="96" t="str">
        <f>W41</f>
        <v>Outubro</v>
      </c>
      <c r="AF41" s="96"/>
      <c r="AG41" s="96"/>
      <c r="AH41" s="96"/>
      <c r="AI41" s="96"/>
      <c r="AJ41" s="96"/>
      <c r="AK41" s="96"/>
    </row>
    <row r="42" spans="1:37" ht="15.75" thickBot="1" x14ac:dyDescent="0.3">
      <c r="A42" s="99" t="s">
        <v>5</v>
      </c>
      <c r="B42" s="34" t="s">
        <v>6</v>
      </c>
      <c r="C42" s="22" t="s">
        <v>7</v>
      </c>
      <c r="D42" s="33" t="s">
        <v>8</v>
      </c>
      <c r="E42" s="22" t="s">
        <v>9</v>
      </c>
      <c r="F42" s="24" t="s">
        <v>10</v>
      </c>
      <c r="G42" s="23" t="s">
        <v>11</v>
      </c>
      <c r="H42" s="25" t="s">
        <v>12</v>
      </c>
      <c r="J42" s="6" t="s">
        <v>4</v>
      </c>
      <c r="K42" s="9">
        <v>45566</v>
      </c>
      <c r="L42" s="66">
        <v>45575</v>
      </c>
      <c r="M42" s="66">
        <v>45582</v>
      </c>
      <c r="N42" s="66">
        <v>45594</v>
      </c>
      <c r="O42" s="4"/>
      <c r="P42" s="4"/>
      <c r="Q42" s="4"/>
      <c r="R42" s="4"/>
      <c r="S42" s="4"/>
      <c r="T42" s="4"/>
      <c r="U42" s="5"/>
      <c r="W42" s="6" t="s">
        <v>4</v>
      </c>
      <c r="X42" s="9">
        <v>45570</v>
      </c>
      <c r="Y42" s="4"/>
      <c r="Z42" s="4"/>
      <c r="AA42" s="4"/>
      <c r="AB42" s="4"/>
      <c r="AC42" s="5"/>
      <c r="AE42" s="6" t="s">
        <v>4</v>
      </c>
      <c r="AF42" s="9"/>
      <c r="AG42" s="4"/>
      <c r="AH42" s="4"/>
      <c r="AI42" s="4"/>
      <c r="AJ42" s="4"/>
      <c r="AK42" s="5"/>
    </row>
    <row r="43" spans="1:37" ht="15.75" thickBot="1" x14ac:dyDescent="0.3">
      <c r="A43" s="99"/>
      <c r="B43" s="26">
        <v>18191</v>
      </c>
      <c r="C43" s="27"/>
      <c r="D43" s="27"/>
      <c r="E43" s="27">
        <v>19750</v>
      </c>
      <c r="F43" s="27">
        <f>SUM(C43-B43)</f>
        <v>-18191</v>
      </c>
      <c r="G43" s="20">
        <f>SUM(E43-D43)</f>
        <v>19750</v>
      </c>
      <c r="H43" s="21">
        <f>SUM(F43:G43)</f>
        <v>1559</v>
      </c>
      <c r="J43" s="7" t="s">
        <v>22</v>
      </c>
      <c r="K43" s="10">
        <v>251.03</v>
      </c>
      <c r="L43" s="11">
        <v>269.13</v>
      </c>
      <c r="M43" s="11">
        <v>251.57</v>
      </c>
      <c r="N43" s="11">
        <v>269.44</v>
      </c>
      <c r="O43" s="11"/>
      <c r="P43" s="11"/>
      <c r="Q43" s="11"/>
      <c r="R43" s="11"/>
      <c r="S43" s="11"/>
      <c r="T43" s="11"/>
      <c r="U43" s="12"/>
      <c r="W43" s="7" t="s">
        <v>22</v>
      </c>
      <c r="X43" s="10">
        <v>50</v>
      </c>
      <c r="Y43" s="11"/>
      <c r="Z43" s="11"/>
      <c r="AA43" s="11"/>
      <c r="AB43" s="11"/>
      <c r="AC43" s="12"/>
      <c r="AE43" s="7" t="s">
        <v>22</v>
      </c>
      <c r="AF43" s="10"/>
      <c r="AG43" s="11"/>
      <c r="AH43" s="11"/>
      <c r="AI43" s="11"/>
      <c r="AJ43" s="11"/>
      <c r="AK43" s="12"/>
    </row>
    <row r="44" spans="1:37" x14ac:dyDescent="0.25">
      <c r="J44" s="8"/>
      <c r="T44" s="8" t="s">
        <v>23</v>
      </c>
      <c r="U44" s="13">
        <f>SUM(K43:U43)</f>
        <v>1041.17</v>
      </c>
      <c r="AB44" s="8" t="s">
        <v>23</v>
      </c>
      <c r="AC44" s="13">
        <f>SUM(X43:AC43)</f>
        <v>50</v>
      </c>
      <c r="AJ44" s="8" t="s">
        <v>23</v>
      </c>
      <c r="AK44" s="13">
        <f>SUM(AF43:AK43)</f>
        <v>0</v>
      </c>
    </row>
    <row r="45" spans="1:37" ht="15.75" thickBot="1" x14ac:dyDescent="0.3">
      <c r="A45" s="19"/>
      <c r="B45" s="97" t="s">
        <v>20</v>
      </c>
      <c r="C45" s="97"/>
      <c r="D45" s="97"/>
      <c r="E45" s="97"/>
      <c r="F45" s="97"/>
      <c r="G45" s="97"/>
      <c r="H45" s="97"/>
      <c r="J45" s="98" t="s">
        <v>20</v>
      </c>
      <c r="K45" s="98"/>
      <c r="L45" s="98"/>
      <c r="M45" s="98"/>
      <c r="N45" s="98"/>
      <c r="O45" s="98"/>
      <c r="P45" s="98"/>
      <c r="Q45" s="98"/>
      <c r="R45" s="98"/>
      <c r="S45" s="98"/>
      <c r="T45" s="98"/>
      <c r="U45" s="98"/>
      <c r="W45" s="95" t="str">
        <f>J45</f>
        <v>Novembro</v>
      </c>
      <c r="X45" s="95"/>
      <c r="Y45" s="95"/>
      <c r="Z45" s="95"/>
      <c r="AA45" s="95"/>
      <c r="AB45" s="95"/>
      <c r="AC45" s="95"/>
      <c r="AE45" s="96" t="str">
        <f>W45</f>
        <v>Novembro</v>
      </c>
      <c r="AF45" s="96"/>
      <c r="AG45" s="96"/>
      <c r="AH45" s="96"/>
      <c r="AI45" s="96"/>
      <c r="AJ45" s="96"/>
      <c r="AK45" s="96"/>
    </row>
    <row r="46" spans="1:37" ht="15.75" thickBot="1" x14ac:dyDescent="0.3">
      <c r="A46" s="99" t="s">
        <v>5</v>
      </c>
      <c r="B46" s="34" t="s">
        <v>6</v>
      </c>
      <c r="C46" s="22" t="s">
        <v>7</v>
      </c>
      <c r="D46" s="33" t="s">
        <v>8</v>
      </c>
      <c r="E46" s="22" t="s">
        <v>9</v>
      </c>
      <c r="F46" s="24" t="s">
        <v>10</v>
      </c>
      <c r="G46" s="23" t="s">
        <v>11</v>
      </c>
      <c r="H46" s="25" t="s">
        <v>12</v>
      </c>
      <c r="J46" s="6" t="s">
        <v>4</v>
      </c>
      <c r="K46" s="9">
        <v>45603</v>
      </c>
      <c r="L46" s="4"/>
      <c r="M46" s="66">
        <v>45625</v>
      </c>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9"/>
      <c r="B47" s="27">
        <v>19750</v>
      </c>
      <c r="C47" s="27">
        <v>20904</v>
      </c>
      <c r="D47" s="27">
        <v>20904</v>
      </c>
      <c r="E47" s="27">
        <v>21085</v>
      </c>
      <c r="F47" s="27">
        <f>SUM(C47-B47)</f>
        <v>1154</v>
      </c>
      <c r="G47" s="20">
        <f>SUM(E47-D47)</f>
        <v>181</v>
      </c>
      <c r="H47" s="21">
        <f>SUM(F47:G47)</f>
        <v>1335</v>
      </c>
      <c r="J47" s="7" t="s">
        <v>22</v>
      </c>
      <c r="K47" s="10">
        <v>276.04000000000002</v>
      </c>
      <c r="L47" s="11"/>
      <c r="M47" s="11">
        <v>262.27</v>
      </c>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538.30999999999995</v>
      </c>
      <c r="AB48" s="8" t="s">
        <v>23</v>
      </c>
      <c r="AC48" s="13">
        <f>SUM(X47:AC47)</f>
        <v>0</v>
      </c>
      <c r="AJ48" s="8" t="s">
        <v>23</v>
      </c>
      <c r="AK48" s="13">
        <f>SUM(AF47:AK47)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W49" s="95" t="str">
        <f>J49</f>
        <v>Dezembro</v>
      </c>
      <c r="X49" s="95"/>
      <c r="Y49" s="95"/>
      <c r="Z49" s="95"/>
      <c r="AA49" s="95"/>
      <c r="AB49" s="95"/>
      <c r="AC49" s="95"/>
      <c r="AE49" s="96" t="str">
        <f>W49</f>
        <v>Dezembro</v>
      </c>
      <c r="AF49" s="96"/>
      <c r="AG49" s="96"/>
      <c r="AH49" s="96"/>
      <c r="AI49" s="96"/>
      <c r="AJ49" s="96"/>
      <c r="AK49" s="96"/>
    </row>
    <row r="50" spans="1:40" ht="15.75" thickBot="1" x14ac:dyDescent="0.3">
      <c r="A50" s="99" t="s">
        <v>5</v>
      </c>
      <c r="B50" s="34" t="s">
        <v>6</v>
      </c>
      <c r="C50" s="22" t="s">
        <v>7</v>
      </c>
      <c r="D50" s="33" t="s">
        <v>8</v>
      </c>
      <c r="E50" s="22" t="s">
        <v>9</v>
      </c>
      <c r="F50" s="24" t="s">
        <v>10</v>
      </c>
      <c r="G50" s="23" t="s">
        <v>11</v>
      </c>
      <c r="H50" s="25" t="s">
        <v>12</v>
      </c>
      <c r="J50" s="6" t="s">
        <v>4</v>
      </c>
      <c r="K50" s="9">
        <v>45638</v>
      </c>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40" ht="15.75" thickBot="1" x14ac:dyDescent="0.3">
      <c r="A51" s="99"/>
      <c r="B51" s="26">
        <v>21085</v>
      </c>
      <c r="C51" s="27">
        <v>22076</v>
      </c>
      <c r="D51" s="27">
        <v>22076</v>
      </c>
      <c r="E51" s="27">
        <v>22265</v>
      </c>
      <c r="F51" s="27">
        <f>SUM(C51-B51)</f>
        <v>991</v>
      </c>
      <c r="G51" s="20">
        <f>SUM(E51-D51)</f>
        <v>189</v>
      </c>
      <c r="H51" s="21">
        <f>SUM(F51:G51)</f>
        <v>1180</v>
      </c>
      <c r="J51" s="7" t="s">
        <v>22</v>
      </c>
      <c r="K51" s="10">
        <v>255.84</v>
      </c>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40" x14ac:dyDescent="0.25">
      <c r="J52" s="8"/>
      <c r="T52" s="8" t="s">
        <v>23</v>
      </c>
      <c r="U52" s="13">
        <f>SUM(K51:U51)</f>
        <v>255.84</v>
      </c>
      <c r="AB52" s="8" t="s">
        <v>23</v>
      </c>
      <c r="AC52" s="13">
        <f>SUM(X51:AC51)</f>
        <v>0</v>
      </c>
      <c r="AJ52" s="8" t="s">
        <v>23</v>
      </c>
      <c r="AK52" s="13">
        <f>SUM(AF51:AK51)</f>
        <v>0</v>
      </c>
    </row>
    <row r="53" spans="1:40" ht="15.75" thickBot="1" x14ac:dyDescent="0.3">
      <c r="A53" s="19"/>
      <c r="B53" s="97" t="s">
        <v>102</v>
      </c>
      <c r="C53" s="97"/>
      <c r="D53" s="97"/>
      <c r="E53" s="97"/>
      <c r="F53" s="97"/>
      <c r="G53" s="97"/>
      <c r="H53" s="97"/>
      <c r="J53" s="98" t="s">
        <v>102</v>
      </c>
      <c r="K53" s="98"/>
      <c r="L53" s="98"/>
      <c r="M53" s="98"/>
      <c r="N53" s="98"/>
      <c r="O53" s="98"/>
      <c r="P53" s="98"/>
      <c r="Q53" s="98"/>
      <c r="R53" s="98"/>
      <c r="S53" s="98"/>
      <c r="T53" s="98"/>
      <c r="U53" s="98"/>
      <c r="W53" s="95" t="str">
        <f>J53</f>
        <v>Janeiro</v>
      </c>
      <c r="X53" s="95"/>
      <c r="Y53" s="95"/>
      <c r="Z53" s="95"/>
      <c r="AA53" s="95"/>
      <c r="AB53" s="95"/>
      <c r="AC53" s="95"/>
      <c r="AE53" s="96" t="str">
        <f>W53</f>
        <v>Janeiro</v>
      </c>
      <c r="AF53" s="96"/>
      <c r="AG53" s="96"/>
      <c r="AH53" s="96"/>
      <c r="AI53" s="96"/>
      <c r="AJ53" s="96"/>
      <c r="AK53" s="96"/>
    </row>
    <row r="54" spans="1:40" ht="15.75" thickBot="1" x14ac:dyDescent="0.3">
      <c r="A54" s="99" t="s">
        <v>5</v>
      </c>
      <c r="B54" s="34" t="s">
        <v>6</v>
      </c>
      <c r="C54" s="22" t="s">
        <v>7</v>
      </c>
      <c r="D54" s="33" t="s">
        <v>8</v>
      </c>
      <c r="E54" s="22" t="s">
        <v>9</v>
      </c>
      <c r="F54" s="24" t="s">
        <v>10</v>
      </c>
      <c r="G54" s="23" t="s">
        <v>11</v>
      </c>
      <c r="H54" s="25" t="s">
        <v>12</v>
      </c>
      <c r="J54" s="6" t="s">
        <v>4</v>
      </c>
      <c r="K54" s="66">
        <v>45666</v>
      </c>
      <c r="L54" s="80">
        <v>45673</v>
      </c>
      <c r="M54" s="66">
        <v>45680</v>
      </c>
      <c r="N54" s="80"/>
      <c r="O54" s="4"/>
      <c r="P54" s="4"/>
      <c r="Q54" s="4"/>
      <c r="R54" s="4"/>
      <c r="S54" s="4"/>
      <c r="T54" s="4"/>
      <c r="U54" s="5"/>
      <c r="W54" s="6" t="s">
        <v>4</v>
      </c>
      <c r="X54" s="9"/>
      <c r="Y54" s="4"/>
      <c r="Z54" s="4"/>
      <c r="AA54" s="4"/>
      <c r="AB54" s="4"/>
      <c r="AC54" s="5"/>
      <c r="AE54" s="6" t="s">
        <v>4</v>
      </c>
      <c r="AF54" s="9"/>
      <c r="AG54" s="4"/>
      <c r="AH54" s="4"/>
      <c r="AI54" s="4"/>
      <c r="AJ54" s="4"/>
      <c r="AK54" s="5"/>
    </row>
    <row r="55" spans="1:40" ht="15.75" thickBot="1" x14ac:dyDescent="0.3">
      <c r="A55" s="99"/>
      <c r="B55" s="26">
        <v>22265</v>
      </c>
      <c r="C55" s="27">
        <v>23049</v>
      </c>
      <c r="D55" s="27">
        <v>23049</v>
      </c>
      <c r="E55" s="27">
        <v>23868</v>
      </c>
      <c r="F55" s="27">
        <f>SUM(C55-B55)</f>
        <v>784</v>
      </c>
      <c r="G55" s="20">
        <f>SUM(E55-D55)</f>
        <v>819</v>
      </c>
      <c r="H55" s="21">
        <f>SUM(F55:G55)</f>
        <v>1603</v>
      </c>
      <c r="J55" s="7" t="s">
        <v>22</v>
      </c>
      <c r="K55" s="11">
        <v>235.03</v>
      </c>
      <c r="L55" s="11">
        <v>204.21</v>
      </c>
      <c r="M55" s="11">
        <v>246.84</v>
      </c>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40" x14ac:dyDescent="0.25">
      <c r="J56" s="8"/>
      <c r="T56" s="8" t="s">
        <v>23</v>
      </c>
      <c r="U56" s="13">
        <f>SUM(K55:U55)</f>
        <v>686.08</v>
      </c>
      <c r="AB56" s="8" t="s">
        <v>23</v>
      </c>
      <c r="AC56" s="13">
        <f>SUM(X55:AC55)</f>
        <v>0</v>
      </c>
      <c r="AJ56" s="8" t="s">
        <v>23</v>
      </c>
      <c r="AK56" s="13">
        <f>SUM(AF55:AK55)</f>
        <v>0</v>
      </c>
    </row>
    <row r="57" spans="1:40" ht="15.75" thickBot="1" x14ac:dyDescent="0.3">
      <c r="A57" s="19"/>
      <c r="B57" s="97" t="s">
        <v>3</v>
      </c>
      <c r="C57" s="97"/>
      <c r="D57" s="97"/>
      <c r="E57" s="97"/>
      <c r="F57" s="97"/>
      <c r="G57" s="97"/>
      <c r="H57" s="97"/>
      <c r="J57" s="98" t="s">
        <v>3</v>
      </c>
      <c r="K57" s="98"/>
      <c r="L57" s="98"/>
      <c r="M57" s="98"/>
      <c r="N57" s="98"/>
      <c r="O57" s="98"/>
      <c r="P57" s="98"/>
      <c r="Q57" s="98"/>
      <c r="R57" s="98"/>
      <c r="S57" s="98"/>
      <c r="T57" s="98"/>
      <c r="U57" s="98"/>
      <c r="W57" s="95" t="str">
        <f>J57</f>
        <v>Fevereiro</v>
      </c>
      <c r="X57" s="95"/>
      <c r="Y57" s="95"/>
      <c r="Z57" s="95"/>
      <c r="AA57" s="95"/>
      <c r="AB57" s="95"/>
      <c r="AC57" s="95"/>
      <c r="AE57" s="96" t="str">
        <f>W57</f>
        <v>Fevereiro</v>
      </c>
      <c r="AF57" s="96"/>
      <c r="AG57" s="96"/>
      <c r="AH57" s="96"/>
      <c r="AI57" s="96"/>
      <c r="AJ57" s="96"/>
      <c r="AK57" s="96"/>
    </row>
    <row r="58" spans="1:40" ht="15.75" thickBot="1" x14ac:dyDescent="0.3">
      <c r="A58" s="99" t="s">
        <v>5</v>
      </c>
      <c r="B58" s="34" t="s">
        <v>6</v>
      </c>
      <c r="C58" s="22" t="s">
        <v>7</v>
      </c>
      <c r="D58" s="33" t="s">
        <v>8</v>
      </c>
      <c r="E58" s="22" t="s">
        <v>9</v>
      </c>
      <c r="F58" s="24" t="s">
        <v>10</v>
      </c>
      <c r="G58" s="23" t="s">
        <v>11</v>
      </c>
      <c r="H58" s="25" t="s">
        <v>12</v>
      </c>
      <c r="J58" s="6" t="s">
        <v>4</v>
      </c>
      <c r="K58" s="66">
        <v>45694</v>
      </c>
      <c r="L58" s="66">
        <v>45699</v>
      </c>
      <c r="M58" s="66">
        <v>45708</v>
      </c>
      <c r="N58" s="66" t="s">
        <v>109</v>
      </c>
      <c r="O58" s="66">
        <v>45715</v>
      </c>
      <c r="P58" s="4"/>
      <c r="Q58" s="4"/>
      <c r="R58" s="4"/>
      <c r="S58" s="4"/>
      <c r="T58" s="4"/>
      <c r="U58" s="5"/>
      <c r="W58" s="6" t="s">
        <v>4</v>
      </c>
      <c r="X58" s="9"/>
      <c r="Y58" s="4"/>
      <c r="Z58" s="4"/>
      <c r="AA58" s="4"/>
      <c r="AB58" s="4"/>
      <c r="AC58" s="5"/>
      <c r="AE58" s="6" t="s">
        <v>4</v>
      </c>
      <c r="AF58" s="9"/>
      <c r="AG58" s="4"/>
      <c r="AH58" s="4"/>
      <c r="AI58" s="4"/>
      <c r="AJ58" s="4"/>
      <c r="AK58" s="5"/>
    </row>
    <row r="59" spans="1:40" ht="15.75" thickBot="1" x14ac:dyDescent="0.3">
      <c r="A59" s="99"/>
      <c r="B59" s="26">
        <v>23868</v>
      </c>
      <c r="C59" s="27">
        <v>25164</v>
      </c>
      <c r="D59" s="27">
        <v>25164</v>
      </c>
      <c r="E59" s="27">
        <v>26342</v>
      </c>
      <c r="F59" s="27">
        <f>SUM(C59-B59)</f>
        <v>1296</v>
      </c>
      <c r="G59" s="20">
        <f>SUM(E59-D59)</f>
        <v>1178</v>
      </c>
      <c r="H59" s="21">
        <f>SUM(F59:G59)</f>
        <v>2474</v>
      </c>
      <c r="J59" s="7" t="s">
        <v>22</v>
      </c>
      <c r="K59" s="11">
        <v>306.62</v>
      </c>
      <c r="L59" s="11">
        <v>290.02</v>
      </c>
      <c r="M59" s="11">
        <v>320.83999999999997</v>
      </c>
      <c r="N59" s="11">
        <v>252.92</v>
      </c>
      <c r="O59" s="11">
        <v>167.13</v>
      </c>
      <c r="P59" s="11"/>
      <c r="Q59" s="11"/>
      <c r="R59" s="11"/>
      <c r="S59" s="11"/>
      <c r="T59" s="11"/>
      <c r="U59" s="12"/>
      <c r="W59" s="7" t="s">
        <v>22</v>
      </c>
      <c r="X59" s="10"/>
      <c r="Y59" s="11"/>
      <c r="Z59" s="11"/>
      <c r="AA59" s="11"/>
      <c r="AB59" s="11"/>
      <c r="AC59" s="12"/>
      <c r="AE59" s="7" t="s">
        <v>22</v>
      </c>
      <c r="AF59" s="10"/>
      <c r="AG59" s="11"/>
      <c r="AH59" s="11"/>
      <c r="AI59" s="11"/>
      <c r="AJ59" s="11"/>
      <c r="AK59" s="12"/>
    </row>
    <row r="60" spans="1:40" x14ac:dyDescent="0.25">
      <c r="J60" s="8"/>
      <c r="T60" s="8" t="s">
        <v>23</v>
      </c>
      <c r="U60" s="13">
        <f>SUM(K59:U59)</f>
        <v>1337.5300000000002</v>
      </c>
      <c r="AB60" s="8" t="s">
        <v>23</v>
      </c>
      <c r="AC60" s="13">
        <f>SUM(X59:AC59)</f>
        <v>0</v>
      </c>
      <c r="AJ60" s="8" t="s">
        <v>23</v>
      </c>
      <c r="AK60" s="13">
        <f>SUM(AF59:AK59)</f>
        <v>0</v>
      </c>
    </row>
    <row r="61" spans="1:40" ht="15.75" thickBot="1" x14ac:dyDescent="0.3">
      <c r="A61" s="19"/>
      <c r="B61" s="97" t="s">
        <v>13</v>
      </c>
      <c r="C61" s="97"/>
      <c r="D61" s="97"/>
      <c r="E61" s="97"/>
      <c r="F61" s="97"/>
      <c r="G61" s="97"/>
      <c r="H61" s="97"/>
      <c r="J61" s="98" t="s">
        <v>13</v>
      </c>
      <c r="K61" s="98"/>
      <c r="L61" s="98"/>
      <c r="M61" s="98"/>
      <c r="N61" s="98"/>
      <c r="O61" s="98"/>
      <c r="P61" s="98"/>
      <c r="Q61" s="98"/>
      <c r="R61" s="98"/>
      <c r="S61" s="98"/>
      <c r="T61" s="98"/>
      <c r="U61" s="98"/>
      <c r="Y61" s="95" t="str">
        <f>J61</f>
        <v>Março</v>
      </c>
      <c r="Z61" s="95"/>
      <c r="AA61" s="95"/>
      <c r="AB61" s="95"/>
      <c r="AC61" s="95"/>
      <c r="AD61" s="95"/>
      <c r="AE61" s="95"/>
      <c r="AH61" s="96" t="str">
        <f>Y61</f>
        <v>Março</v>
      </c>
      <c r="AI61" s="96"/>
      <c r="AJ61" s="96"/>
      <c r="AK61" s="96"/>
      <c r="AL61" s="96"/>
      <c r="AM61" s="96"/>
      <c r="AN61" s="96"/>
    </row>
    <row r="62" spans="1:40" ht="15.75" thickBot="1" x14ac:dyDescent="0.3">
      <c r="A62" s="99" t="s">
        <v>5</v>
      </c>
      <c r="B62" s="34" t="s">
        <v>6</v>
      </c>
      <c r="C62" s="22" t="s">
        <v>7</v>
      </c>
      <c r="D62" s="33" t="s">
        <v>8</v>
      </c>
      <c r="E62" s="22" t="s">
        <v>9</v>
      </c>
      <c r="F62" s="24" t="s">
        <v>10</v>
      </c>
      <c r="G62" s="23" t="s">
        <v>11</v>
      </c>
      <c r="H62" s="25" t="s">
        <v>12</v>
      </c>
      <c r="J62" s="6" t="s">
        <v>4</v>
      </c>
      <c r="K62" s="9">
        <v>45721</v>
      </c>
      <c r="L62" s="66">
        <v>45726</v>
      </c>
      <c r="M62" s="66">
        <v>45736</v>
      </c>
      <c r="N62" s="4"/>
      <c r="O62" s="4"/>
      <c r="P62" s="4"/>
      <c r="Q62" s="4"/>
      <c r="R62" s="4"/>
      <c r="S62" s="4"/>
      <c r="T62" s="4"/>
      <c r="U62" s="5"/>
      <c r="Y62" s="6" t="s">
        <v>4</v>
      </c>
      <c r="Z62" s="9">
        <v>45736</v>
      </c>
      <c r="AA62" s="4"/>
      <c r="AB62" s="4"/>
      <c r="AC62" s="4"/>
      <c r="AD62" s="4"/>
      <c r="AE62" s="5"/>
      <c r="AH62" s="6" t="s">
        <v>4</v>
      </c>
      <c r="AI62" s="9"/>
      <c r="AJ62" s="4"/>
      <c r="AK62" s="4"/>
      <c r="AL62" s="4"/>
      <c r="AM62" s="4"/>
      <c r="AN62" s="5"/>
    </row>
    <row r="63" spans="1:40" ht="15.75" thickBot="1" x14ac:dyDescent="0.3">
      <c r="A63" s="99"/>
      <c r="B63" s="27">
        <v>26342</v>
      </c>
      <c r="C63" s="27">
        <v>26883</v>
      </c>
      <c r="D63" s="27">
        <v>26883</v>
      </c>
      <c r="E63" s="27">
        <v>29956</v>
      </c>
      <c r="F63" s="27">
        <f>SUM(C63-B63)</f>
        <v>541</v>
      </c>
      <c r="G63" s="20">
        <f>SUM(E63-D63)</f>
        <v>3073</v>
      </c>
      <c r="H63" s="21">
        <f>SUM(F63:G63)</f>
        <v>3614</v>
      </c>
      <c r="J63" s="7" t="s">
        <v>22</v>
      </c>
      <c r="K63" s="10">
        <v>320.83999999999997</v>
      </c>
      <c r="L63" s="11">
        <v>305.73</v>
      </c>
      <c r="M63" s="11">
        <v>210.09</v>
      </c>
      <c r="N63" s="11"/>
      <c r="O63" s="11"/>
      <c r="P63" s="11"/>
      <c r="Q63" s="11"/>
      <c r="R63" s="11"/>
      <c r="S63" s="11"/>
      <c r="T63" s="11"/>
      <c r="U63" s="12"/>
      <c r="Y63" s="7" t="s">
        <v>22</v>
      </c>
      <c r="Z63" s="10">
        <v>50</v>
      </c>
      <c r="AA63" s="11"/>
      <c r="AB63" s="11"/>
      <c r="AC63" s="11"/>
      <c r="AD63" s="11"/>
      <c r="AE63" s="12"/>
      <c r="AH63" s="7" t="s">
        <v>22</v>
      </c>
      <c r="AI63" s="10"/>
      <c r="AJ63" s="11"/>
      <c r="AK63" s="11"/>
      <c r="AL63" s="11"/>
      <c r="AM63" s="11"/>
      <c r="AN63" s="12"/>
    </row>
    <row r="64" spans="1:40" x14ac:dyDescent="0.25">
      <c r="J64" s="8"/>
      <c r="T64" s="8" t="s">
        <v>23</v>
      </c>
      <c r="U64" s="13">
        <f>SUM(K63:U63)</f>
        <v>836.66</v>
      </c>
      <c r="AD64" s="8" t="s">
        <v>23</v>
      </c>
      <c r="AE64" s="13">
        <f>SUM(Z63:AE63)</f>
        <v>50</v>
      </c>
      <c r="AM64" s="8" t="s">
        <v>23</v>
      </c>
      <c r="AN64" s="13">
        <f>SUM(AI63:AN63)</f>
        <v>0</v>
      </c>
    </row>
    <row r="65" spans="1:40" ht="15.75" thickBot="1" x14ac:dyDescent="0.3">
      <c r="A65" s="19"/>
      <c r="B65" s="97" t="s">
        <v>14</v>
      </c>
      <c r="C65" s="97"/>
      <c r="D65" s="97"/>
      <c r="E65" s="97"/>
      <c r="F65" s="97"/>
      <c r="G65" s="97"/>
      <c r="H65" s="97"/>
      <c r="J65" s="98" t="s">
        <v>14</v>
      </c>
      <c r="K65" s="98"/>
      <c r="L65" s="98"/>
      <c r="M65" s="98"/>
      <c r="N65" s="98"/>
      <c r="O65" s="98"/>
      <c r="P65" s="98"/>
      <c r="Q65" s="98"/>
      <c r="R65" s="98"/>
      <c r="S65" s="98"/>
      <c r="T65" s="98"/>
      <c r="U65" s="98"/>
      <c r="Y65" s="95" t="str">
        <f>J65</f>
        <v>Abril</v>
      </c>
      <c r="Z65" s="95"/>
      <c r="AA65" s="95"/>
      <c r="AB65" s="95"/>
      <c r="AC65" s="95"/>
      <c r="AD65" s="95"/>
      <c r="AE65" s="95"/>
      <c r="AH65" s="96" t="str">
        <f>Y65</f>
        <v>Abril</v>
      </c>
      <c r="AI65" s="96"/>
      <c r="AJ65" s="96"/>
      <c r="AK65" s="96"/>
      <c r="AL65" s="96"/>
      <c r="AM65" s="96"/>
      <c r="AN65" s="96"/>
    </row>
    <row r="66" spans="1:40" ht="15.75" thickBot="1" x14ac:dyDescent="0.3">
      <c r="A66" s="99" t="s">
        <v>5</v>
      </c>
      <c r="B66" s="34" t="s">
        <v>6</v>
      </c>
      <c r="C66" s="22" t="s">
        <v>7</v>
      </c>
      <c r="D66" s="33" t="s">
        <v>8</v>
      </c>
      <c r="E66" s="22" t="s">
        <v>9</v>
      </c>
      <c r="F66" s="24" t="s">
        <v>10</v>
      </c>
      <c r="G66" s="23" t="s">
        <v>11</v>
      </c>
      <c r="H66" s="25" t="s">
        <v>12</v>
      </c>
      <c r="J66" s="6" t="s">
        <v>4</v>
      </c>
      <c r="K66" s="9">
        <v>45755</v>
      </c>
      <c r="L66" s="66">
        <v>45764</v>
      </c>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9"/>
      <c r="B67" s="27">
        <v>29956</v>
      </c>
      <c r="C67" s="27">
        <v>31943</v>
      </c>
      <c r="D67" s="27">
        <v>31943</v>
      </c>
      <c r="E67" s="27">
        <v>32451</v>
      </c>
      <c r="F67" s="27">
        <f>SUM(C67-B67)</f>
        <v>1987</v>
      </c>
      <c r="G67" s="20">
        <f>SUM(E67-D67)</f>
        <v>508</v>
      </c>
      <c r="H67" s="21">
        <f>SUM(F67:G67)</f>
        <v>2495</v>
      </c>
      <c r="J67" s="7" t="s">
        <v>22</v>
      </c>
      <c r="K67" s="30">
        <v>285.79000000000002</v>
      </c>
      <c r="L67" s="31">
        <v>193.98</v>
      </c>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479.77</v>
      </c>
      <c r="AD68" s="8" t="s">
        <v>23</v>
      </c>
      <c r="AE68" s="13">
        <f>SUM(Z67:AE67)</f>
        <v>0</v>
      </c>
      <c r="AM68" s="8" t="s">
        <v>23</v>
      </c>
      <c r="AN68" s="13">
        <f>SUM(AI67:AN67)</f>
        <v>0</v>
      </c>
    </row>
    <row r="69" spans="1:40" ht="15.75" thickBot="1" x14ac:dyDescent="0.3">
      <c r="A69" s="19"/>
      <c r="B69" s="97" t="s">
        <v>15</v>
      </c>
      <c r="C69" s="97"/>
      <c r="D69" s="97"/>
      <c r="E69" s="97"/>
      <c r="F69" s="97"/>
      <c r="G69" s="97"/>
      <c r="H69" s="97"/>
      <c r="J69" s="98" t="s">
        <v>15</v>
      </c>
      <c r="K69" s="98"/>
      <c r="L69" s="98"/>
      <c r="M69" s="98"/>
      <c r="N69" s="98"/>
      <c r="O69" s="98"/>
      <c r="P69" s="98"/>
      <c r="Q69" s="98"/>
      <c r="R69" s="98"/>
      <c r="S69" s="98"/>
      <c r="T69" s="98"/>
      <c r="U69" s="98"/>
      <c r="Y69" s="95" t="str">
        <f>J69</f>
        <v>Maio</v>
      </c>
      <c r="Z69" s="95"/>
      <c r="AA69" s="95"/>
      <c r="AB69" s="95"/>
      <c r="AC69" s="95"/>
      <c r="AD69" s="95"/>
      <c r="AE69" s="95"/>
      <c r="AH69" s="96" t="str">
        <f>Y69</f>
        <v>Maio</v>
      </c>
      <c r="AI69" s="96"/>
      <c r="AJ69" s="96"/>
      <c r="AK69" s="96"/>
      <c r="AL69" s="96"/>
      <c r="AM69" s="96"/>
      <c r="AN69" s="96"/>
    </row>
    <row r="70" spans="1:40" ht="15.75" thickBot="1" x14ac:dyDescent="0.3">
      <c r="A70" s="99" t="s">
        <v>5</v>
      </c>
      <c r="B70" s="34" t="s">
        <v>6</v>
      </c>
      <c r="C70" s="22" t="s">
        <v>7</v>
      </c>
      <c r="D70" s="33" t="s">
        <v>8</v>
      </c>
      <c r="E70" s="22" t="s">
        <v>9</v>
      </c>
      <c r="F70" s="24" t="s">
        <v>10</v>
      </c>
      <c r="G70" s="23" t="s">
        <v>11</v>
      </c>
      <c r="H70" s="25" t="s">
        <v>12</v>
      </c>
      <c r="J70" s="6" t="s">
        <v>4</v>
      </c>
      <c r="K70" s="9">
        <v>45778</v>
      </c>
      <c r="L70" s="66">
        <v>45785</v>
      </c>
      <c r="M70" s="66">
        <v>45792</v>
      </c>
      <c r="N70" s="66">
        <v>45799</v>
      </c>
      <c r="O70" s="66">
        <v>45806</v>
      </c>
      <c r="P70" s="66">
        <v>45807</v>
      </c>
      <c r="Q70" s="66">
        <v>45807</v>
      </c>
      <c r="R70" s="4"/>
      <c r="S70" s="4"/>
      <c r="T70" s="4"/>
      <c r="U70" s="5"/>
      <c r="Y70" s="6" t="s">
        <v>4</v>
      </c>
      <c r="Z70" s="9"/>
      <c r="AA70" s="4"/>
      <c r="AB70" s="4"/>
      <c r="AC70" s="4"/>
      <c r="AD70" s="4"/>
      <c r="AE70" s="5"/>
      <c r="AH70" s="6" t="s">
        <v>4</v>
      </c>
      <c r="AI70" s="9"/>
      <c r="AJ70" s="4"/>
      <c r="AK70" s="4"/>
      <c r="AL70" s="4"/>
      <c r="AM70" s="4"/>
      <c r="AN70" s="5"/>
    </row>
    <row r="71" spans="1:40" ht="15.75" thickBot="1" x14ac:dyDescent="0.3">
      <c r="A71" s="99"/>
      <c r="B71" s="27">
        <v>32451</v>
      </c>
      <c r="C71" s="27">
        <v>33176</v>
      </c>
      <c r="D71" s="27">
        <v>33176</v>
      </c>
      <c r="E71" s="27">
        <v>34997</v>
      </c>
      <c r="F71" s="27">
        <f>SUM(C71-B71)</f>
        <v>725</v>
      </c>
      <c r="G71" s="20">
        <f>SUM(E71-D71)</f>
        <v>1821</v>
      </c>
      <c r="H71" s="21">
        <f>SUM(F71:G71)</f>
        <v>2546</v>
      </c>
      <c r="J71" s="7" t="s">
        <v>22</v>
      </c>
      <c r="K71" s="10">
        <v>229.95</v>
      </c>
      <c r="L71" s="11">
        <v>221.61</v>
      </c>
      <c r="M71" s="11">
        <v>144.09</v>
      </c>
      <c r="N71" s="11">
        <v>133.25</v>
      </c>
      <c r="O71" s="11">
        <v>97.44</v>
      </c>
      <c r="P71" s="11">
        <v>324.72000000000003</v>
      </c>
      <c r="Q71" s="11">
        <v>264.14999999999998</v>
      </c>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1415.21</v>
      </c>
      <c r="AD72" s="8" t="s">
        <v>23</v>
      </c>
      <c r="AE72" s="13">
        <f>SUM(Z71:AE71)</f>
        <v>0</v>
      </c>
      <c r="AM72" s="8" t="s">
        <v>23</v>
      </c>
      <c r="AN72" s="13">
        <f>SUM(AI71:AN71)</f>
        <v>0</v>
      </c>
    </row>
    <row r="73" spans="1:40" ht="15.75" thickBot="1" x14ac:dyDescent="0.3">
      <c r="A73" s="19"/>
      <c r="B73" s="97" t="s">
        <v>24</v>
      </c>
      <c r="C73" s="97"/>
      <c r="D73" s="97"/>
      <c r="E73" s="97"/>
      <c r="F73" s="97"/>
      <c r="G73" s="97"/>
      <c r="H73" s="97"/>
      <c r="J73" s="98" t="s">
        <v>24</v>
      </c>
      <c r="K73" s="98"/>
      <c r="L73" s="98"/>
      <c r="M73" s="98"/>
      <c r="N73" s="98"/>
      <c r="O73" s="98"/>
      <c r="P73" s="98"/>
      <c r="Q73" s="98"/>
      <c r="R73" s="98"/>
      <c r="S73" s="98"/>
      <c r="T73" s="98"/>
      <c r="U73" s="98"/>
      <c r="Y73" s="95" t="str">
        <f>J73</f>
        <v>Junho</v>
      </c>
      <c r="Z73" s="95"/>
      <c r="AA73" s="95"/>
      <c r="AB73" s="95"/>
      <c r="AC73" s="95"/>
      <c r="AD73" s="95"/>
      <c r="AE73" s="95"/>
      <c r="AH73" s="96" t="str">
        <f>Y73</f>
        <v>Junho</v>
      </c>
      <c r="AI73" s="96"/>
      <c r="AJ73" s="96"/>
      <c r="AK73" s="96"/>
      <c r="AL73" s="96"/>
      <c r="AM73" s="96"/>
      <c r="AN73" s="96"/>
    </row>
    <row r="74" spans="1:40" ht="15.75" thickBot="1" x14ac:dyDescent="0.3">
      <c r="A74" s="99" t="s">
        <v>5</v>
      </c>
      <c r="B74" s="34" t="s">
        <v>6</v>
      </c>
      <c r="C74" s="22" t="s">
        <v>7</v>
      </c>
      <c r="D74" s="33" t="s">
        <v>8</v>
      </c>
      <c r="E74" s="22" t="s">
        <v>9</v>
      </c>
      <c r="F74" s="24" t="s">
        <v>10</v>
      </c>
      <c r="G74" s="23" t="s">
        <v>11</v>
      </c>
      <c r="H74" s="25" t="s">
        <v>12</v>
      </c>
      <c r="J74" s="6" t="s">
        <v>4</v>
      </c>
      <c r="K74" s="9">
        <v>45812</v>
      </c>
      <c r="L74" s="66">
        <v>45818</v>
      </c>
      <c r="M74" s="66">
        <v>45820</v>
      </c>
      <c r="N74" s="66">
        <v>45824</v>
      </c>
      <c r="O74" s="66">
        <v>45826</v>
      </c>
      <c r="P74" s="66">
        <v>45834</v>
      </c>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9"/>
      <c r="B75" s="27">
        <v>34997</v>
      </c>
      <c r="C75" s="27">
        <v>36218</v>
      </c>
      <c r="D75" s="27">
        <v>36218</v>
      </c>
      <c r="E75" s="27">
        <v>37500</v>
      </c>
      <c r="F75" s="27">
        <f>SUM(C75-B75)</f>
        <v>1221</v>
      </c>
      <c r="G75" s="20">
        <f>SUM(E75-D75)</f>
        <v>1282</v>
      </c>
      <c r="H75" s="21">
        <f>SUM(F75:G75)</f>
        <v>2503</v>
      </c>
      <c r="J75" s="7" t="s">
        <v>22</v>
      </c>
      <c r="K75" s="10">
        <v>287.20999999999998</v>
      </c>
      <c r="L75" s="11">
        <v>223.45</v>
      </c>
      <c r="M75" s="11">
        <v>274.29000000000002</v>
      </c>
      <c r="N75" s="11">
        <v>260.02999999999997</v>
      </c>
      <c r="O75" s="11">
        <v>270.27999999999997</v>
      </c>
      <c r="P75" s="11">
        <v>301.99</v>
      </c>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1617.25</v>
      </c>
      <c r="AD76" s="8" t="s">
        <v>23</v>
      </c>
      <c r="AE76" s="13">
        <f>SUM(Z75:AE75)</f>
        <v>0</v>
      </c>
      <c r="AM76" s="8" t="s">
        <v>23</v>
      </c>
      <c r="AN76" s="13">
        <f>SUM(AI75:AN75)</f>
        <v>0</v>
      </c>
    </row>
    <row r="77" spans="1:40" ht="15.75" thickBot="1" x14ac:dyDescent="0.3">
      <c r="A77" s="19"/>
      <c r="B77" s="97" t="s">
        <v>16</v>
      </c>
      <c r="C77" s="97"/>
      <c r="D77" s="97"/>
      <c r="E77" s="97"/>
      <c r="F77" s="97"/>
      <c r="G77" s="97"/>
      <c r="H77" s="97"/>
      <c r="J77" s="98" t="s">
        <v>16</v>
      </c>
      <c r="K77" s="98"/>
      <c r="L77" s="98"/>
      <c r="M77" s="98"/>
      <c r="N77" s="98"/>
      <c r="O77" s="98"/>
      <c r="P77" s="98"/>
      <c r="Q77" s="98"/>
      <c r="R77" s="98"/>
      <c r="S77" s="98"/>
      <c r="T77" s="98"/>
      <c r="U77" s="98"/>
      <c r="Y77" s="95" t="str">
        <f t="shared" ref="Y77" si="0">J77</f>
        <v>Julho</v>
      </c>
      <c r="Z77" s="95"/>
      <c r="AA77" s="95"/>
      <c r="AB77" s="95"/>
      <c r="AC77" s="95"/>
      <c r="AD77" s="95"/>
      <c r="AE77" s="95"/>
      <c r="AH77" s="96" t="str">
        <f t="shared" ref="AH77" si="1">Y77</f>
        <v>Julho</v>
      </c>
      <c r="AI77" s="96"/>
      <c r="AJ77" s="96"/>
      <c r="AK77" s="96"/>
      <c r="AL77" s="96"/>
      <c r="AM77" s="96"/>
      <c r="AN77" s="96"/>
    </row>
    <row r="78" spans="1:40" ht="15.75" thickBot="1" x14ac:dyDescent="0.3">
      <c r="A78" s="99" t="s">
        <v>5</v>
      </c>
      <c r="B78" s="34" t="s">
        <v>6</v>
      </c>
      <c r="C78" s="22" t="s">
        <v>7</v>
      </c>
      <c r="D78" s="33" t="s">
        <v>8</v>
      </c>
      <c r="E78" s="22" t="s">
        <v>9</v>
      </c>
      <c r="F78" s="24" t="s">
        <v>10</v>
      </c>
      <c r="G78" s="23" t="s">
        <v>11</v>
      </c>
      <c r="H78" s="25" t="s">
        <v>12</v>
      </c>
      <c r="J78" s="6" t="s">
        <v>4</v>
      </c>
      <c r="K78" s="9">
        <v>45839</v>
      </c>
      <c r="L78" s="66">
        <v>45841</v>
      </c>
      <c r="M78" s="66">
        <v>45846</v>
      </c>
      <c r="N78" s="66">
        <v>45848</v>
      </c>
      <c r="O78" s="66">
        <v>45856</v>
      </c>
      <c r="P78" s="66">
        <v>45861</v>
      </c>
      <c r="Q78" s="66">
        <v>45864</v>
      </c>
      <c r="R78" s="66">
        <v>45866</v>
      </c>
      <c r="S78" s="4"/>
      <c r="T78" s="4"/>
      <c r="U78" s="5"/>
      <c r="Y78" s="6" t="s">
        <v>4</v>
      </c>
      <c r="Z78" s="9"/>
      <c r="AA78" s="4"/>
      <c r="AB78" s="4"/>
      <c r="AC78" s="4"/>
      <c r="AD78" s="4"/>
      <c r="AE78" s="5"/>
      <c r="AH78" s="6" t="s">
        <v>4</v>
      </c>
      <c r="AI78" s="9"/>
      <c r="AJ78" s="4"/>
      <c r="AK78" s="4"/>
      <c r="AL78" s="4"/>
      <c r="AM78" s="4"/>
      <c r="AN78" s="5"/>
    </row>
    <row r="79" spans="1:40" ht="15.75" thickBot="1" x14ac:dyDescent="0.3">
      <c r="A79" s="99"/>
      <c r="B79" s="27">
        <v>37500</v>
      </c>
      <c r="C79" s="27">
        <v>39748</v>
      </c>
      <c r="D79" s="27">
        <v>39748</v>
      </c>
      <c r="E79" s="27">
        <v>41966</v>
      </c>
      <c r="F79" s="27">
        <f t="shared" ref="F79" si="2">SUM(C79-B79)</f>
        <v>2248</v>
      </c>
      <c r="G79" s="20">
        <f t="shared" ref="G79" si="3">SUM(E79-D79)</f>
        <v>2218</v>
      </c>
      <c r="H79" s="21">
        <f t="shared" ref="H79" si="4">SUM(F79:G79)</f>
        <v>4466</v>
      </c>
      <c r="J79" s="7" t="s">
        <v>22</v>
      </c>
      <c r="K79" s="10">
        <v>295.05</v>
      </c>
      <c r="L79" s="11">
        <v>282.2</v>
      </c>
      <c r="M79" s="11">
        <v>328.03</v>
      </c>
      <c r="N79" s="11">
        <v>305.19</v>
      </c>
      <c r="O79" s="11">
        <v>304.93</v>
      </c>
      <c r="P79" s="11">
        <v>236.53</v>
      </c>
      <c r="Q79" s="11">
        <v>290.08</v>
      </c>
      <c r="R79" s="11">
        <v>314.12</v>
      </c>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 t="shared" ref="U80" si="5">SUM(K79:U79)</f>
        <v>2356.13</v>
      </c>
      <c r="AD80" s="8" t="s">
        <v>23</v>
      </c>
      <c r="AE80" s="13">
        <f t="shared" ref="AE80" si="6">SUM(Z79:AE79)</f>
        <v>0</v>
      </c>
      <c r="AM80" s="8" t="s">
        <v>23</v>
      </c>
      <c r="AN80" s="13">
        <f t="shared" ref="AN80" si="7">SUM(AI79:AN79)</f>
        <v>0</v>
      </c>
    </row>
    <row r="81" spans="1:40" ht="15.75" thickBot="1" x14ac:dyDescent="0.3">
      <c r="A81" s="19"/>
      <c r="B81" s="97" t="s">
        <v>17</v>
      </c>
      <c r="C81" s="97"/>
      <c r="D81" s="97"/>
      <c r="E81" s="97"/>
      <c r="F81" s="97"/>
      <c r="G81" s="97"/>
      <c r="H81" s="97"/>
      <c r="J81" s="98" t="s">
        <v>17</v>
      </c>
      <c r="K81" s="98"/>
      <c r="L81" s="98"/>
      <c r="M81" s="98"/>
      <c r="N81" s="98"/>
      <c r="O81" s="98"/>
      <c r="P81" s="98"/>
      <c r="Q81" s="98"/>
      <c r="R81" s="98"/>
      <c r="S81" s="98"/>
      <c r="T81" s="98"/>
      <c r="U81" s="98"/>
      <c r="Y81" s="95" t="str">
        <f t="shared" ref="Y81" si="8">J81</f>
        <v>Agosto</v>
      </c>
      <c r="Z81" s="95"/>
      <c r="AA81" s="95"/>
      <c r="AB81" s="95"/>
      <c r="AC81" s="95"/>
      <c r="AD81" s="95"/>
      <c r="AE81" s="95"/>
      <c r="AH81" s="96" t="str">
        <f t="shared" ref="AH81" si="9">Y81</f>
        <v>Agosto</v>
      </c>
      <c r="AI81" s="96"/>
      <c r="AJ81" s="96"/>
      <c r="AK81" s="96"/>
      <c r="AL81" s="96"/>
      <c r="AM81" s="96"/>
      <c r="AN81" s="96"/>
    </row>
    <row r="82" spans="1:40" ht="15.75" thickBot="1" x14ac:dyDescent="0.3">
      <c r="A82" s="99" t="s">
        <v>5</v>
      </c>
      <c r="B82" s="34" t="s">
        <v>6</v>
      </c>
      <c r="C82" s="22" t="s">
        <v>7</v>
      </c>
      <c r="D82" s="33" t="s">
        <v>8</v>
      </c>
      <c r="E82" s="22" t="s">
        <v>9</v>
      </c>
      <c r="F82" s="24" t="s">
        <v>10</v>
      </c>
      <c r="G82" s="23" t="s">
        <v>11</v>
      </c>
      <c r="H82" s="25" t="s">
        <v>12</v>
      </c>
      <c r="J82" s="6" t="s">
        <v>4</v>
      </c>
      <c r="K82" s="9">
        <v>45874</v>
      </c>
      <c r="L82" s="66">
        <v>45878</v>
      </c>
      <c r="M82" s="66">
        <v>45879</v>
      </c>
      <c r="N82" s="66">
        <v>45880</v>
      </c>
      <c r="O82" s="66">
        <v>45887</v>
      </c>
      <c r="P82" s="66">
        <v>45895</v>
      </c>
      <c r="Q82" s="66"/>
      <c r="R82" s="66"/>
      <c r="S82" s="4"/>
      <c r="T82" s="4"/>
      <c r="U82" s="5"/>
      <c r="Y82" s="6" t="s">
        <v>4</v>
      </c>
      <c r="Z82" s="9"/>
      <c r="AA82" s="4"/>
      <c r="AB82" s="4"/>
      <c r="AC82" s="4"/>
      <c r="AD82" s="4"/>
      <c r="AE82" s="5"/>
      <c r="AH82" s="6" t="s">
        <v>4</v>
      </c>
      <c r="AI82" s="9"/>
      <c r="AJ82" s="4"/>
      <c r="AK82" s="4"/>
      <c r="AL82" s="4"/>
      <c r="AM82" s="4"/>
      <c r="AN82" s="5"/>
    </row>
    <row r="83" spans="1:40" ht="15.75" thickBot="1" x14ac:dyDescent="0.3">
      <c r="A83" s="99"/>
      <c r="B83" s="27">
        <v>41966</v>
      </c>
      <c r="C83" s="27">
        <v>44020</v>
      </c>
      <c r="D83" s="27">
        <v>44020</v>
      </c>
      <c r="E83" s="27">
        <v>45083</v>
      </c>
      <c r="F83" s="27">
        <f t="shared" ref="F83" si="10">SUM(C83-B83)</f>
        <v>2054</v>
      </c>
      <c r="G83" s="20">
        <f t="shared" ref="G83" si="11">SUM(E83-D83)</f>
        <v>1063</v>
      </c>
      <c r="H83" s="21">
        <f t="shared" ref="H83" si="12">SUM(F83:G83)</f>
        <v>3117</v>
      </c>
      <c r="J83" s="7" t="s">
        <v>22</v>
      </c>
      <c r="K83" s="10">
        <v>240.84</v>
      </c>
      <c r="L83" s="11">
        <v>301.05</v>
      </c>
      <c r="M83" s="11">
        <v>262.3</v>
      </c>
      <c r="N83" s="11">
        <v>301.04000000000002</v>
      </c>
      <c r="O83" s="11">
        <v>274.04000000000002</v>
      </c>
      <c r="P83" s="11">
        <v>291.35000000000002</v>
      </c>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 t="shared" ref="U84" si="13">SUM(K83:U83)</f>
        <v>1670.62</v>
      </c>
      <c r="AD84" s="8" t="s">
        <v>23</v>
      </c>
      <c r="AE84" s="13">
        <f t="shared" ref="AE84" si="14">SUM(Z83:AE83)</f>
        <v>0</v>
      </c>
      <c r="AM84" s="8" t="s">
        <v>23</v>
      </c>
      <c r="AN84" s="13">
        <f t="shared" ref="AN84" si="15">SUM(AI83:AN83)</f>
        <v>0</v>
      </c>
    </row>
    <row r="85" spans="1:40" ht="15.75" thickBot="1" x14ac:dyDescent="0.3">
      <c r="A85" s="19"/>
      <c r="B85" s="97" t="s">
        <v>18</v>
      </c>
      <c r="C85" s="97"/>
      <c r="D85" s="97"/>
      <c r="E85" s="97"/>
      <c r="F85" s="97"/>
      <c r="G85" s="97"/>
      <c r="H85" s="97"/>
      <c r="J85" s="98" t="s">
        <v>18</v>
      </c>
      <c r="K85" s="98"/>
      <c r="L85" s="98"/>
      <c r="M85" s="98"/>
      <c r="N85" s="98"/>
      <c r="O85" s="98"/>
      <c r="P85" s="98"/>
      <c r="Q85" s="98"/>
      <c r="R85" s="98"/>
      <c r="S85" s="98"/>
      <c r="T85" s="98"/>
      <c r="U85" s="98"/>
      <c r="Y85" s="95" t="str">
        <f t="shared" ref="Y85" si="16">J85</f>
        <v>Setembro</v>
      </c>
      <c r="Z85" s="95"/>
      <c r="AA85" s="95"/>
      <c r="AB85" s="95"/>
      <c r="AC85" s="95"/>
      <c r="AD85" s="95"/>
      <c r="AE85" s="95"/>
      <c r="AH85" s="96" t="str">
        <f t="shared" ref="AH85" si="17">Y85</f>
        <v>Setembro</v>
      </c>
      <c r="AI85" s="96"/>
      <c r="AJ85" s="96"/>
      <c r="AK85" s="96"/>
      <c r="AL85" s="96"/>
      <c r="AM85" s="96"/>
      <c r="AN85" s="96"/>
    </row>
    <row r="86" spans="1:40" ht="15.75" thickBot="1" x14ac:dyDescent="0.3">
      <c r="A86" s="99" t="s">
        <v>5</v>
      </c>
      <c r="B86" s="34" t="s">
        <v>6</v>
      </c>
      <c r="C86" s="22" t="s">
        <v>7</v>
      </c>
      <c r="D86" s="33" t="s">
        <v>8</v>
      </c>
      <c r="E86" s="22" t="s">
        <v>9</v>
      </c>
      <c r="F86" s="24" t="s">
        <v>10</v>
      </c>
      <c r="G86" s="23" t="s">
        <v>11</v>
      </c>
      <c r="H86" s="25" t="s">
        <v>12</v>
      </c>
      <c r="J86" s="6" t="s">
        <v>4</v>
      </c>
      <c r="K86" s="9">
        <v>45901</v>
      </c>
      <c r="L86" s="66">
        <v>45904</v>
      </c>
      <c r="M86" s="66">
        <v>45911</v>
      </c>
      <c r="N86" s="66">
        <v>45916</v>
      </c>
      <c r="O86" s="66">
        <v>45918</v>
      </c>
      <c r="P86" s="66">
        <v>45925</v>
      </c>
      <c r="Q86" s="66">
        <v>45930</v>
      </c>
      <c r="R86" s="66"/>
      <c r="S86" s="4"/>
      <c r="T86" s="4"/>
      <c r="U86" s="5"/>
      <c r="Y86" s="6" t="s">
        <v>4</v>
      </c>
      <c r="Z86" s="9"/>
      <c r="AA86" s="4"/>
      <c r="AB86" s="4"/>
      <c r="AC86" s="4"/>
      <c r="AD86" s="4"/>
      <c r="AE86" s="5"/>
      <c r="AH86" s="6" t="s">
        <v>4</v>
      </c>
      <c r="AI86" s="9"/>
      <c r="AJ86" s="4"/>
      <c r="AK86" s="4"/>
      <c r="AL86" s="4"/>
      <c r="AM86" s="4"/>
      <c r="AN86" s="5"/>
    </row>
    <row r="87" spans="1:40" ht="15.75" thickBot="1" x14ac:dyDescent="0.3">
      <c r="A87" s="99"/>
      <c r="B87" s="27">
        <v>45083</v>
      </c>
      <c r="C87" s="27">
        <v>46350</v>
      </c>
      <c r="D87" s="27">
        <v>46350</v>
      </c>
      <c r="E87" s="27">
        <v>47578</v>
      </c>
      <c r="F87" s="27">
        <f t="shared" ref="F87" si="18">SUM(C87-B87)</f>
        <v>1267</v>
      </c>
      <c r="G87" s="20">
        <f t="shared" ref="G87" si="19">SUM(E87-D87)</f>
        <v>1228</v>
      </c>
      <c r="H87" s="21">
        <f t="shared" ref="H87" si="20">SUM(F87:G87)</f>
        <v>2495</v>
      </c>
      <c r="J87" s="7" t="s">
        <v>22</v>
      </c>
      <c r="K87" s="10">
        <v>255.41</v>
      </c>
      <c r="L87" s="11">
        <v>200</v>
      </c>
      <c r="M87" s="11">
        <v>269.55</v>
      </c>
      <c r="N87" s="11">
        <v>224.26</v>
      </c>
      <c r="O87" s="11">
        <v>162.68</v>
      </c>
      <c r="P87" s="11">
        <v>271.04000000000002</v>
      </c>
      <c r="Q87" s="11">
        <v>267.69</v>
      </c>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 t="shared" ref="U88" si="21">SUM(K87:U87)</f>
        <v>1650.63</v>
      </c>
      <c r="AD88" s="8" t="s">
        <v>23</v>
      </c>
      <c r="AE88" s="13">
        <f t="shared" ref="AE88" si="22">SUM(Z87:AE87)</f>
        <v>0</v>
      </c>
      <c r="AM88" s="8" t="s">
        <v>23</v>
      </c>
      <c r="AN88" s="13">
        <f t="shared" ref="AN88" si="23">SUM(AI87:AN87)</f>
        <v>0</v>
      </c>
    </row>
    <row r="89" spans="1:40" ht="15.75" thickBot="1" x14ac:dyDescent="0.3">
      <c r="A89" s="19"/>
      <c r="B89" s="97" t="s">
        <v>19</v>
      </c>
      <c r="C89" s="97"/>
      <c r="D89" s="97"/>
      <c r="E89" s="97"/>
      <c r="F89" s="97"/>
      <c r="G89" s="97"/>
      <c r="H89" s="97"/>
      <c r="J89" s="98" t="s">
        <v>19</v>
      </c>
      <c r="K89" s="98"/>
      <c r="L89" s="98"/>
      <c r="M89" s="98"/>
      <c r="N89" s="98"/>
      <c r="O89" s="98"/>
      <c r="P89" s="98"/>
      <c r="Q89" s="98"/>
      <c r="R89" s="98"/>
      <c r="S89" s="98"/>
      <c r="T89" s="98"/>
      <c r="U89" s="98"/>
      <c r="Y89" s="95" t="str">
        <f t="shared" ref="Y89" si="24">J89</f>
        <v>Outubro</v>
      </c>
      <c r="Z89" s="95"/>
      <c r="AA89" s="95"/>
      <c r="AB89" s="95"/>
      <c r="AC89" s="95"/>
      <c r="AD89" s="95"/>
      <c r="AE89" s="95"/>
      <c r="AH89" s="96" t="str">
        <f t="shared" ref="AH89" si="25">Y89</f>
        <v>Outubro</v>
      </c>
      <c r="AI89" s="96"/>
      <c r="AJ89" s="96"/>
      <c r="AK89" s="96"/>
      <c r="AL89" s="96"/>
      <c r="AM89" s="96"/>
      <c r="AN89" s="96"/>
    </row>
    <row r="90" spans="1:40" ht="15.75" thickBot="1" x14ac:dyDescent="0.3">
      <c r="A90" s="99" t="s">
        <v>5</v>
      </c>
      <c r="B90" s="34" t="s">
        <v>6</v>
      </c>
      <c r="C90" s="22" t="s">
        <v>7</v>
      </c>
      <c r="D90" s="33" t="s">
        <v>8</v>
      </c>
      <c r="E90" s="22" t="s">
        <v>9</v>
      </c>
      <c r="F90" s="24" t="s">
        <v>10</v>
      </c>
      <c r="G90" s="23" t="s">
        <v>11</v>
      </c>
      <c r="H90" s="25" t="s">
        <v>12</v>
      </c>
      <c r="J90" s="6" t="s">
        <v>4</v>
      </c>
      <c r="K90" s="9">
        <v>45932</v>
      </c>
      <c r="L90" s="66">
        <v>45937</v>
      </c>
      <c r="M90" s="66">
        <v>45939</v>
      </c>
      <c r="N90" s="66">
        <v>45944</v>
      </c>
      <c r="O90" s="66">
        <v>45946</v>
      </c>
      <c r="P90" s="66">
        <v>45951</v>
      </c>
      <c r="Q90" s="66">
        <v>45955</v>
      </c>
      <c r="R90" s="66">
        <v>45960</v>
      </c>
      <c r="S90" s="4"/>
      <c r="T90" s="4"/>
      <c r="U90" s="5"/>
      <c r="Y90" s="6" t="s">
        <v>4</v>
      </c>
      <c r="Z90" s="9"/>
      <c r="AA90" s="4"/>
      <c r="AB90" s="4"/>
      <c r="AC90" s="4"/>
      <c r="AD90" s="4"/>
      <c r="AE90" s="5"/>
      <c r="AH90" s="6" t="s">
        <v>4</v>
      </c>
      <c r="AI90" s="9"/>
      <c r="AJ90" s="4"/>
      <c r="AK90" s="4"/>
      <c r="AL90" s="4"/>
      <c r="AM90" s="4"/>
      <c r="AN90" s="5"/>
    </row>
    <row r="91" spans="1:40" ht="15.75" thickBot="1" x14ac:dyDescent="0.3">
      <c r="A91" s="99"/>
      <c r="B91" s="27">
        <v>47578</v>
      </c>
      <c r="C91" s="27">
        <v>49548</v>
      </c>
      <c r="D91" s="27">
        <v>49548</v>
      </c>
      <c r="E91" s="27">
        <v>52699</v>
      </c>
      <c r="F91" s="27">
        <f t="shared" ref="F91" si="26">SUM(C91-B91)</f>
        <v>1970</v>
      </c>
      <c r="G91" s="20">
        <f t="shared" ref="G91" si="27">SUM(E91-D91)</f>
        <v>3151</v>
      </c>
      <c r="H91" s="21">
        <f t="shared" ref="H91" si="28">SUM(F91:G91)</f>
        <v>5121</v>
      </c>
      <c r="J91" s="7" t="s">
        <v>22</v>
      </c>
      <c r="K91" s="10">
        <v>234.68</v>
      </c>
      <c r="L91" s="11">
        <v>270.02</v>
      </c>
      <c r="M91" s="11">
        <v>127.34</v>
      </c>
      <c r="N91" s="11">
        <v>265.83</v>
      </c>
      <c r="O91" s="11">
        <v>265.64999999999998</v>
      </c>
      <c r="P91" s="11">
        <v>251.32</v>
      </c>
      <c r="Q91" s="11">
        <v>288.58999999999997</v>
      </c>
      <c r="R91" s="11">
        <v>252.47</v>
      </c>
      <c r="S91" s="11"/>
      <c r="T91" s="11"/>
      <c r="U91" s="12"/>
      <c r="Y91" s="7" t="s">
        <v>22</v>
      </c>
      <c r="Z91" s="10"/>
      <c r="AA91" s="11"/>
      <c r="AB91" s="11"/>
      <c r="AC91" s="11"/>
      <c r="AD91" s="11"/>
      <c r="AE91" s="12"/>
      <c r="AH91" s="7" t="s">
        <v>22</v>
      </c>
      <c r="AI91" s="10"/>
      <c r="AJ91" s="11"/>
      <c r="AK91" s="11"/>
      <c r="AL91" s="11"/>
      <c r="AM91" s="11"/>
      <c r="AN91" s="12"/>
    </row>
    <row r="92" spans="1:40" x14ac:dyDescent="0.25">
      <c r="J92" s="8"/>
      <c r="T92" s="8" t="s">
        <v>23</v>
      </c>
      <c r="U92" s="13">
        <f t="shared" ref="U92" si="29">SUM(K91:U91)</f>
        <v>1955.8999999999999</v>
      </c>
      <c r="AD92" s="8" t="s">
        <v>23</v>
      </c>
      <c r="AE92" s="13">
        <f t="shared" ref="AE92" si="30">SUM(Z91:AE91)</f>
        <v>0</v>
      </c>
      <c r="AM92" s="8" t="s">
        <v>23</v>
      </c>
      <c r="AN92" s="13">
        <f t="shared" ref="AN92" si="31">SUM(AI91:AN91)</f>
        <v>0</v>
      </c>
    </row>
    <row r="93" spans="1:40" ht="15.75" thickBot="1" x14ac:dyDescent="0.3">
      <c r="A93" s="19"/>
      <c r="B93" s="97" t="s">
        <v>20</v>
      </c>
      <c r="C93" s="97"/>
      <c r="D93" s="97"/>
      <c r="E93" s="97"/>
      <c r="F93" s="97"/>
      <c r="G93" s="97"/>
      <c r="H93" s="97"/>
      <c r="J93" s="98" t="s">
        <v>20</v>
      </c>
      <c r="K93" s="98"/>
      <c r="L93" s="98"/>
      <c r="M93" s="98"/>
      <c r="N93" s="98"/>
      <c r="O93" s="98"/>
      <c r="P93" s="98"/>
      <c r="Q93" s="98"/>
      <c r="R93" s="98"/>
      <c r="S93" s="98"/>
      <c r="T93" s="98"/>
      <c r="U93" s="98"/>
      <c r="Y93" s="95" t="str">
        <f t="shared" ref="Y93" si="32">J93</f>
        <v>Novembro</v>
      </c>
      <c r="Z93" s="95"/>
      <c r="AA93" s="95"/>
      <c r="AB93" s="95"/>
      <c r="AC93" s="95"/>
      <c r="AD93" s="95"/>
      <c r="AE93" s="95"/>
      <c r="AH93" s="96" t="str">
        <f t="shared" ref="AH93" si="33">Y93</f>
        <v>Novembro</v>
      </c>
      <c r="AI93" s="96"/>
      <c r="AJ93" s="96"/>
      <c r="AK93" s="96"/>
      <c r="AL93" s="96"/>
      <c r="AM93" s="96"/>
      <c r="AN93" s="96"/>
    </row>
    <row r="94" spans="1:40" ht="15.75" thickBot="1" x14ac:dyDescent="0.3">
      <c r="A94" s="99" t="s">
        <v>5</v>
      </c>
      <c r="B94" s="34" t="s">
        <v>6</v>
      </c>
      <c r="C94" s="22" t="s">
        <v>7</v>
      </c>
      <c r="D94" s="33" t="s">
        <v>8</v>
      </c>
      <c r="E94" s="22" t="s">
        <v>9</v>
      </c>
      <c r="F94" s="24" t="s">
        <v>10</v>
      </c>
      <c r="G94" s="23" t="s">
        <v>11</v>
      </c>
      <c r="H94" s="25" t="s">
        <v>12</v>
      </c>
      <c r="J94" s="6" t="s">
        <v>4</v>
      </c>
      <c r="K94" s="9">
        <v>45972</v>
      </c>
      <c r="L94" s="66">
        <v>45974</v>
      </c>
      <c r="M94" s="66">
        <v>45981</v>
      </c>
      <c r="N94" s="66"/>
      <c r="O94" s="66"/>
      <c r="P94" s="66"/>
      <c r="Q94" s="66"/>
      <c r="R94" s="66"/>
      <c r="S94" s="4"/>
      <c r="T94" s="4"/>
      <c r="U94" s="5"/>
      <c r="Y94" s="6" t="s">
        <v>4</v>
      </c>
      <c r="Z94" s="9"/>
      <c r="AA94" s="4"/>
      <c r="AB94" s="4"/>
      <c r="AC94" s="4"/>
      <c r="AD94" s="4"/>
      <c r="AE94" s="5"/>
      <c r="AH94" s="6" t="s">
        <v>4</v>
      </c>
      <c r="AI94" s="9"/>
      <c r="AJ94" s="4"/>
      <c r="AK94" s="4"/>
      <c r="AL94" s="4"/>
      <c r="AM94" s="4"/>
      <c r="AN94" s="5"/>
    </row>
    <row r="95" spans="1:40" ht="15.75" thickBot="1" x14ac:dyDescent="0.3">
      <c r="A95" s="99"/>
      <c r="B95" s="27">
        <v>52699</v>
      </c>
      <c r="C95" s="27">
        <v>54795</v>
      </c>
      <c r="D95" s="27">
        <v>54795</v>
      </c>
      <c r="E95" s="27">
        <v>55260</v>
      </c>
      <c r="F95" s="27">
        <f t="shared" ref="F95" si="34">SUM(C95-B95)</f>
        <v>2096</v>
      </c>
      <c r="G95" s="20">
        <f t="shared" ref="G95" si="35">SUM(E95-D95)</f>
        <v>465</v>
      </c>
      <c r="H95" s="21">
        <f t="shared" ref="H95" si="36">SUM(F95:G95)</f>
        <v>2561</v>
      </c>
      <c r="J95" s="7" t="s">
        <v>22</v>
      </c>
      <c r="K95" s="10">
        <v>238.12</v>
      </c>
      <c r="L95" s="11">
        <v>181.31</v>
      </c>
      <c r="M95" s="11">
        <v>236.98</v>
      </c>
      <c r="N95" s="11"/>
      <c r="O95" s="11"/>
      <c r="P95" s="11"/>
      <c r="Q95" s="11"/>
      <c r="R95" s="11"/>
      <c r="S95" s="11"/>
      <c r="T95" s="11"/>
      <c r="U95" s="12"/>
      <c r="Y95" s="7" t="s">
        <v>22</v>
      </c>
      <c r="Z95" s="10"/>
      <c r="AA95" s="11"/>
      <c r="AB95" s="11"/>
      <c r="AC95" s="11"/>
      <c r="AD95" s="11"/>
      <c r="AE95" s="12"/>
      <c r="AH95" s="7" t="s">
        <v>22</v>
      </c>
      <c r="AI95" s="10"/>
      <c r="AJ95" s="11"/>
      <c r="AK95" s="11"/>
      <c r="AL95" s="11"/>
      <c r="AM95" s="11"/>
      <c r="AN95" s="12"/>
    </row>
    <row r="96" spans="1:40" x14ac:dyDescent="0.25">
      <c r="J96" s="8"/>
      <c r="T96" s="8" t="s">
        <v>23</v>
      </c>
      <c r="U96" s="13">
        <f t="shared" ref="U96" si="37">SUM(K95:U95)</f>
        <v>656.41</v>
      </c>
      <c r="AD96" s="8" t="s">
        <v>23</v>
      </c>
      <c r="AE96" s="13">
        <f t="shared" ref="AE96" si="38">SUM(Z95:AE95)</f>
        <v>0</v>
      </c>
      <c r="AM96" s="8" t="s">
        <v>23</v>
      </c>
      <c r="AN96" s="13">
        <f t="shared" ref="AN96" si="39">SUM(AI95:AN95)</f>
        <v>0</v>
      </c>
    </row>
    <row r="97" spans="1:40" ht="15.75" thickBot="1" x14ac:dyDescent="0.3">
      <c r="A97" s="19"/>
      <c r="B97" s="97" t="s">
        <v>21</v>
      </c>
      <c r="C97" s="97"/>
      <c r="D97" s="97"/>
      <c r="E97" s="97"/>
      <c r="F97" s="97"/>
      <c r="G97" s="97"/>
      <c r="H97" s="97"/>
      <c r="J97" s="98" t="s">
        <v>21</v>
      </c>
      <c r="K97" s="98"/>
      <c r="L97" s="98"/>
      <c r="M97" s="98"/>
      <c r="N97" s="98"/>
      <c r="O97" s="98"/>
      <c r="P97" s="98"/>
      <c r="Q97" s="98"/>
      <c r="R97" s="98"/>
      <c r="S97" s="98"/>
      <c r="T97" s="98"/>
      <c r="U97" s="98"/>
      <c r="Y97" s="95" t="str">
        <f>J97</f>
        <v>Dezembro</v>
      </c>
      <c r="Z97" s="95"/>
      <c r="AA97" s="95"/>
      <c r="AB97" s="95"/>
      <c r="AC97" s="95"/>
      <c r="AD97" s="95"/>
      <c r="AE97" s="95"/>
      <c r="AH97" s="96" t="str">
        <f>Y97</f>
        <v>Dezembro</v>
      </c>
      <c r="AI97" s="96"/>
      <c r="AJ97" s="96"/>
      <c r="AK97" s="96"/>
      <c r="AL97" s="96"/>
      <c r="AM97" s="96"/>
      <c r="AN97" s="96"/>
    </row>
    <row r="98" spans="1:40" ht="15.75" thickBot="1" x14ac:dyDescent="0.3">
      <c r="A98" s="99" t="s">
        <v>5</v>
      </c>
      <c r="B98" s="34" t="s">
        <v>6</v>
      </c>
      <c r="C98" s="22" t="s">
        <v>7</v>
      </c>
      <c r="D98" s="33" t="s">
        <v>8</v>
      </c>
      <c r="E98" s="22" t="s">
        <v>9</v>
      </c>
      <c r="F98" s="24" t="s">
        <v>10</v>
      </c>
      <c r="G98" s="23" t="s">
        <v>11</v>
      </c>
      <c r="H98" s="25" t="s">
        <v>12</v>
      </c>
      <c r="J98" s="6" t="s">
        <v>4</v>
      </c>
      <c r="K98" s="9">
        <v>45993</v>
      </c>
      <c r="L98" s="66">
        <v>45995</v>
      </c>
      <c r="M98" s="66">
        <v>46000</v>
      </c>
      <c r="N98" s="66">
        <v>46002</v>
      </c>
      <c r="O98" s="4"/>
      <c r="P98" s="4"/>
      <c r="Q98" s="4"/>
      <c r="R98" s="4"/>
      <c r="S98" s="4"/>
      <c r="T98" s="4"/>
      <c r="U98" s="5"/>
      <c r="Y98" s="6" t="s">
        <v>4</v>
      </c>
      <c r="Z98" s="9"/>
      <c r="AA98" s="4"/>
      <c r="AB98" s="4"/>
      <c r="AC98" s="4"/>
      <c r="AD98" s="4"/>
      <c r="AE98" s="5"/>
      <c r="AH98" s="6" t="s">
        <v>4</v>
      </c>
      <c r="AI98" s="9"/>
      <c r="AJ98" s="4"/>
      <c r="AK98" s="4"/>
      <c r="AL98" s="4"/>
      <c r="AM98" s="4"/>
      <c r="AN98" s="5"/>
    </row>
    <row r="99" spans="1:40" ht="15.75" thickBot="1" x14ac:dyDescent="0.3">
      <c r="A99" s="99"/>
      <c r="B99" s="27">
        <v>55260</v>
      </c>
      <c r="C99" s="27">
        <v>57406</v>
      </c>
      <c r="D99" s="27">
        <v>57406</v>
      </c>
      <c r="E99" s="27">
        <v>60592</v>
      </c>
      <c r="F99" s="27">
        <f>SUM(C99-B99)</f>
        <v>2146</v>
      </c>
      <c r="G99" s="20">
        <f>SUM(E99-D99)</f>
        <v>3186</v>
      </c>
      <c r="H99" s="21">
        <f>SUM(F99:G99)</f>
        <v>5332</v>
      </c>
      <c r="J99" s="7" t="s">
        <v>22</v>
      </c>
      <c r="K99" s="10">
        <v>167.44</v>
      </c>
      <c r="L99" s="11">
        <v>166.42</v>
      </c>
      <c r="M99" s="11">
        <v>252.29</v>
      </c>
      <c r="N99" s="11">
        <v>94.06</v>
      </c>
      <c r="O99" s="11"/>
      <c r="P99" s="11"/>
      <c r="Q99" s="11"/>
      <c r="R99" s="11"/>
      <c r="S99" s="11"/>
      <c r="T99" s="11"/>
      <c r="U99" s="12"/>
      <c r="Y99" s="7" t="s">
        <v>22</v>
      </c>
      <c r="Z99" s="10"/>
      <c r="AA99" s="11"/>
      <c r="AB99" s="11"/>
      <c r="AC99" s="11"/>
      <c r="AD99" s="11"/>
      <c r="AE99" s="12"/>
      <c r="AH99" s="7" t="s">
        <v>22</v>
      </c>
      <c r="AI99" s="10"/>
      <c r="AJ99" s="11"/>
      <c r="AK99" s="11"/>
      <c r="AL99" s="11"/>
      <c r="AM99" s="11"/>
      <c r="AN99" s="12"/>
    </row>
    <row r="100" spans="1:40" x14ac:dyDescent="0.25">
      <c r="J100" s="8"/>
      <c r="T100" s="8" t="s">
        <v>23</v>
      </c>
      <c r="U100" s="13">
        <f>SUM(K99:U99)</f>
        <v>680.21</v>
      </c>
      <c r="AD100" s="8" t="s">
        <v>23</v>
      </c>
      <c r="AE100" s="13">
        <f>SUM(Z99:AE99)</f>
        <v>0</v>
      </c>
      <c r="AM100" s="8" t="s">
        <v>23</v>
      </c>
      <c r="AN100" s="13">
        <f>SUM(AI99:AN99)</f>
        <v>0</v>
      </c>
    </row>
    <row r="101" spans="1:40" ht="15.75" thickBot="1" x14ac:dyDescent="0.3">
      <c r="A101" s="19"/>
      <c r="B101" s="97" t="s">
        <v>102</v>
      </c>
      <c r="C101" s="97"/>
      <c r="D101" s="97"/>
      <c r="E101" s="97"/>
      <c r="F101" s="97"/>
      <c r="G101" s="97"/>
      <c r="H101" s="97"/>
      <c r="J101" s="98" t="s">
        <v>102</v>
      </c>
      <c r="K101" s="98"/>
      <c r="L101" s="98"/>
      <c r="M101" s="98"/>
      <c r="N101" s="98"/>
      <c r="O101" s="98"/>
      <c r="P101" s="98"/>
      <c r="Q101" s="98"/>
      <c r="R101" s="98"/>
      <c r="S101" s="98"/>
      <c r="T101" s="98"/>
      <c r="U101" s="98"/>
      <c r="Y101" s="95" t="str">
        <f>J101</f>
        <v>Janeiro</v>
      </c>
      <c r="Z101" s="95"/>
      <c r="AA101" s="95"/>
      <c r="AB101" s="95"/>
      <c r="AC101" s="95"/>
      <c r="AD101" s="95"/>
      <c r="AE101" s="95"/>
      <c r="AH101" s="96" t="str">
        <f>Y101</f>
        <v>Janeiro</v>
      </c>
      <c r="AI101" s="96"/>
      <c r="AJ101" s="96"/>
      <c r="AK101" s="96"/>
      <c r="AL101" s="96"/>
      <c r="AM101" s="96"/>
      <c r="AN101" s="96"/>
    </row>
    <row r="102" spans="1:40" ht="15.75" thickBot="1" x14ac:dyDescent="0.3">
      <c r="A102" s="99" t="s">
        <v>5</v>
      </c>
      <c r="B102" s="34" t="s">
        <v>6</v>
      </c>
      <c r="C102" s="22" t="s">
        <v>7</v>
      </c>
      <c r="D102" s="33" t="s">
        <v>8</v>
      </c>
      <c r="E102" s="22" t="s">
        <v>9</v>
      </c>
      <c r="F102" s="24" t="s">
        <v>10</v>
      </c>
      <c r="G102" s="23" t="s">
        <v>11</v>
      </c>
      <c r="H102" s="25" t="s">
        <v>12</v>
      </c>
      <c r="J102" s="6" t="s">
        <v>4</v>
      </c>
      <c r="K102" s="9"/>
      <c r="L102" s="4"/>
      <c r="M102" s="4"/>
      <c r="N102" s="4"/>
      <c r="O102" s="4"/>
      <c r="P102" s="4"/>
      <c r="Q102" s="4"/>
      <c r="R102" s="4"/>
      <c r="S102" s="4"/>
      <c r="T102" s="4"/>
      <c r="U102" s="5"/>
      <c r="Y102" s="6" t="s">
        <v>4</v>
      </c>
      <c r="Z102" s="9"/>
      <c r="AA102" s="4"/>
      <c r="AB102" s="4"/>
      <c r="AC102" s="4"/>
      <c r="AD102" s="4"/>
      <c r="AE102" s="5"/>
      <c r="AH102" s="6" t="s">
        <v>4</v>
      </c>
      <c r="AI102" s="9"/>
      <c r="AJ102" s="4"/>
      <c r="AK102" s="4"/>
      <c r="AL102" s="4"/>
      <c r="AM102" s="4"/>
      <c r="AN102" s="5"/>
    </row>
    <row r="103" spans="1:40" ht="15.75" thickBot="1" x14ac:dyDescent="0.3">
      <c r="A103" s="99"/>
      <c r="B103" s="27">
        <v>60592</v>
      </c>
      <c r="C103" s="27"/>
      <c r="D103" s="27"/>
      <c r="E103" s="27">
        <v>63258</v>
      </c>
      <c r="F103" s="27">
        <f>SUM(C103-B103)</f>
        <v>-60592</v>
      </c>
      <c r="G103" s="20">
        <f>SUM(E103-D103)</f>
        <v>63258</v>
      </c>
      <c r="H103" s="21">
        <f>SUM(F103:G103)</f>
        <v>2666</v>
      </c>
      <c r="J103" s="7" t="s">
        <v>22</v>
      </c>
      <c r="K103" s="10"/>
      <c r="L103" s="11"/>
      <c r="M103" s="11"/>
      <c r="N103" s="11"/>
      <c r="O103" s="11"/>
      <c r="P103" s="11"/>
      <c r="Q103" s="11"/>
      <c r="R103" s="11"/>
      <c r="S103" s="11"/>
      <c r="T103" s="11"/>
      <c r="U103" s="12"/>
      <c r="Y103" s="7" t="s">
        <v>22</v>
      </c>
      <c r="Z103" s="10"/>
      <c r="AA103" s="11"/>
      <c r="AB103" s="11"/>
      <c r="AC103" s="11"/>
      <c r="AD103" s="11"/>
      <c r="AE103" s="12"/>
      <c r="AH103" s="7" t="s">
        <v>22</v>
      </c>
      <c r="AI103" s="10"/>
      <c r="AJ103" s="11"/>
      <c r="AK103" s="11"/>
      <c r="AL103" s="11"/>
      <c r="AM103" s="11"/>
      <c r="AN103" s="12"/>
    </row>
    <row r="104" spans="1:40" x14ac:dyDescent="0.25">
      <c r="J104" s="8"/>
      <c r="T104" s="8" t="s">
        <v>23</v>
      </c>
      <c r="U104" s="13">
        <f>SUM(K103:U103)</f>
        <v>0</v>
      </c>
      <c r="AD104" s="8" t="s">
        <v>23</v>
      </c>
      <c r="AE104" s="13">
        <f>SUM(Z103:AE103)</f>
        <v>0</v>
      </c>
      <c r="AM104" s="8" t="s">
        <v>23</v>
      </c>
      <c r="AN104" s="13">
        <f>SUM(AI103:AN103)</f>
        <v>0</v>
      </c>
    </row>
    <row r="105" spans="1:40" ht="15.75" thickBot="1" x14ac:dyDescent="0.3">
      <c r="A105" s="19"/>
      <c r="B105" s="97" t="s">
        <v>3</v>
      </c>
      <c r="C105" s="97"/>
      <c r="D105" s="97"/>
      <c r="E105" s="97"/>
      <c r="F105" s="97"/>
      <c r="G105" s="97"/>
      <c r="H105" s="97"/>
      <c r="J105" s="98" t="s">
        <v>3</v>
      </c>
      <c r="K105" s="98"/>
      <c r="L105" s="98"/>
      <c r="M105" s="98"/>
      <c r="N105" s="98"/>
      <c r="O105" s="98"/>
      <c r="P105" s="98"/>
      <c r="Q105" s="98"/>
      <c r="R105" s="98"/>
      <c r="S105" s="98"/>
      <c r="T105" s="98"/>
      <c r="U105" s="98"/>
      <c r="Y105" s="95" t="s">
        <v>3</v>
      </c>
      <c r="Z105" s="95"/>
      <c r="AA105" s="95"/>
      <c r="AB105" s="95"/>
      <c r="AC105" s="95"/>
      <c r="AD105" s="95"/>
      <c r="AE105" s="95"/>
      <c r="AH105" s="96" t="s">
        <v>3</v>
      </c>
      <c r="AI105" s="96"/>
      <c r="AJ105" s="96"/>
      <c r="AK105" s="96"/>
      <c r="AL105" s="96"/>
      <c r="AM105" s="96"/>
      <c r="AN105" s="96"/>
    </row>
    <row r="106" spans="1:40" ht="15.75" thickBot="1" x14ac:dyDescent="0.3">
      <c r="A106" s="99" t="s">
        <v>5</v>
      </c>
      <c r="B106" s="34" t="s">
        <v>6</v>
      </c>
      <c r="C106" s="22" t="s">
        <v>7</v>
      </c>
      <c r="D106" s="33" t="s">
        <v>8</v>
      </c>
      <c r="E106" s="22" t="s">
        <v>9</v>
      </c>
      <c r="F106" s="24" t="s">
        <v>10</v>
      </c>
      <c r="G106" s="23" t="s">
        <v>11</v>
      </c>
      <c r="H106" s="25" t="s">
        <v>12</v>
      </c>
      <c r="J106" s="28" t="s">
        <v>4</v>
      </c>
      <c r="K106" s="9">
        <v>46079</v>
      </c>
      <c r="L106" s="4"/>
      <c r="M106" s="4"/>
      <c r="N106" s="4"/>
      <c r="O106" s="4"/>
      <c r="P106" s="4"/>
      <c r="Q106" s="4"/>
      <c r="R106" s="4"/>
      <c r="S106" s="4"/>
      <c r="T106" s="4"/>
      <c r="U106" s="5"/>
      <c r="Y106" s="6" t="s">
        <v>4</v>
      </c>
      <c r="Z106" s="9"/>
      <c r="AA106" s="4"/>
      <c r="AB106" s="4"/>
      <c r="AC106" s="4"/>
      <c r="AD106" s="4"/>
      <c r="AE106" s="5"/>
      <c r="AH106" s="6" t="s">
        <v>4</v>
      </c>
      <c r="AI106" s="9"/>
      <c r="AJ106" s="4"/>
      <c r="AK106" s="4"/>
      <c r="AL106" s="4"/>
      <c r="AM106" s="4"/>
      <c r="AN106" s="5"/>
    </row>
    <row r="107" spans="1:40" ht="15.75" thickBot="1" x14ac:dyDescent="0.3">
      <c r="A107" s="99"/>
      <c r="B107" s="27">
        <v>63258</v>
      </c>
      <c r="C107" s="27"/>
      <c r="D107" s="27"/>
      <c r="E107" s="27">
        <v>66288</v>
      </c>
      <c r="F107" s="27">
        <f>SUM(C107-B107)</f>
        <v>-63258</v>
      </c>
      <c r="G107" s="20">
        <f>SUM(E107-D107)</f>
        <v>66288</v>
      </c>
      <c r="H107" s="21">
        <f>SUM(F107:G107)</f>
        <v>3030</v>
      </c>
      <c r="J107" s="29" t="s">
        <v>22</v>
      </c>
      <c r="K107" s="10">
        <v>135.25</v>
      </c>
      <c r="L107" s="11"/>
      <c r="M107" s="11"/>
      <c r="N107" s="11"/>
      <c r="O107" s="11"/>
      <c r="P107" s="11"/>
      <c r="Q107" s="11"/>
      <c r="R107" s="11"/>
      <c r="S107" s="11"/>
      <c r="T107" s="11"/>
      <c r="U107" s="12"/>
      <c r="Y107" s="7" t="s">
        <v>22</v>
      </c>
      <c r="Z107" s="10"/>
      <c r="AA107" s="11"/>
      <c r="AB107" s="11"/>
      <c r="AC107" s="11"/>
      <c r="AD107" s="11"/>
      <c r="AE107" s="12"/>
      <c r="AH107" s="7" t="s">
        <v>22</v>
      </c>
      <c r="AI107" s="10"/>
      <c r="AJ107" s="11"/>
      <c r="AK107" s="11"/>
      <c r="AL107" s="11"/>
      <c r="AM107" s="11"/>
      <c r="AN107" s="12"/>
    </row>
    <row r="108" spans="1:40" x14ac:dyDescent="0.25">
      <c r="J108" s="8"/>
      <c r="T108" s="8" t="s">
        <v>23</v>
      </c>
      <c r="U108" s="13">
        <f>SUM(K107:U107)</f>
        <v>135.25</v>
      </c>
      <c r="AD108" s="8" t="s">
        <v>23</v>
      </c>
      <c r="AE108" s="13">
        <f>SUM(Z107:AE107)</f>
        <v>0</v>
      </c>
      <c r="AM108" s="8" t="s">
        <v>23</v>
      </c>
      <c r="AN108" s="13">
        <f>SUM(AI107:AN107)</f>
        <v>0</v>
      </c>
    </row>
    <row r="109" spans="1:40" ht="15.75" thickBot="1" x14ac:dyDescent="0.3">
      <c r="A109" s="19"/>
      <c r="B109" s="97" t="s">
        <v>13</v>
      </c>
      <c r="C109" s="97"/>
      <c r="D109" s="97"/>
      <c r="E109" s="97"/>
      <c r="F109" s="97"/>
      <c r="G109" s="97"/>
      <c r="H109" s="97"/>
      <c r="J109" s="98" t="s">
        <v>13</v>
      </c>
      <c r="K109" s="98"/>
      <c r="L109" s="98"/>
      <c r="M109" s="98"/>
      <c r="N109" s="98"/>
      <c r="O109" s="98"/>
      <c r="P109" s="98"/>
      <c r="Q109" s="98"/>
      <c r="R109" s="98"/>
      <c r="S109" s="98"/>
      <c r="T109" s="98"/>
      <c r="U109" s="98"/>
      <c r="Y109" s="95" t="str">
        <f>J109</f>
        <v>Março</v>
      </c>
      <c r="Z109" s="95"/>
      <c r="AA109" s="95"/>
      <c r="AB109" s="95"/>
      <c r="AC109" s="95"/>
      <c r="AD109" s="95"/>
      <c r="AE109" s="95"/>
      <c r="AH109" s="96" t="str">
        <f>Y109</f>
        <v>Março</v>
      </c>
      <c r="AI109" s="96"/>
      <c r="AJ109" s="96"/>
      <c r="AK109" s="96"/>
      <c r="AL109" s="96"/>
      <c r="AM109" s="96"/>
      <c r="AN109" s="96"/>
    </row>
    <row r="110" spans="1:40" ht="15.75" thickBot="1" x14ac:dyDescent="0.3">
      <c r="A110" s="99" t="s">
        <v>5</v>
      </c>
      <c r="B110" s="34" t="s">
        <v>6</v>
      </c>
      <c r="C110" s="22" t="s">
        <v>7</v>
      </c>
      <c r="D110" s="33" t="s">
        <v>8</v>
      </c>
      <c r="E110" s="22" t="s">
        <v>9</v>
      </c>
      <c r="F110" s="24" t="s">
        <v>10</v>
      </c>
      <c r="G110" s="23" t="s">
        <v>11</v>
      </c>
      <c r="H110" s="25" t="s">
        <v>12</v>
      </c>
      <c r="J110" s="6" t="s">
        <v>4</v>
      </c>
      <c r="K110" s="9"/>
      <c r="L110" s="4"/>
      <c r="M110" s="4"/>
      <c r="N110" s="4"/>
      <c r="O110" s="4"/>
      <c r="P110" s="4"/>
      <c r="Q110" s="4"/>
      <c r="R110" s="4"/>
      <c r="S110" s="4"/>
      <c r="T110" s="4"/>
      <c r="U110" s="5"/>
      <c r="Y110" s="6" t="s">
        <v>4</v>
      </c>
      <c r="Z110" s="9"/>
      <c r="AA110" s="4"/>
      <c r="AB110" s="4"/>
      <c r="AC110" s="4"/>
      <c r="AD110" s="4"/>
      <c r="AE110" s="5"/>
      <c r="AH110" s="6" t="s">
        <v>4</v>
      </c>
      <c r="AI110" s="9"/>
      <c r="AJ110" s="4"/>
      <c r="AK110" s="4"/>
      <c r="AL110" s="4"/>
      <c r="AM110" s="4"/>
      <c r="AN110" s="5"/>
    </row>
    <row r="111" spans="1:40" ht="15.75" thickBot="1" x14ac:dyDescent="0.3">
      <c r="A111" s="99"/>
      <c r="B111" s="27">
        <v>66288</v>
      </c>
      <c r="C111" s="27">
        <v>67420</v>
      </c>
      <c r="D111" s="27"/>
      <c r="E111" s="27"/>
      <c r="F111" s="27">
        <f>SUM(C111-B111)</f>
        <v>1132</v>
      </c>
      <c r="G111" s="20">
        <f>SUM(E111-D111)</f>
        <v>0</v>
      </c>
      <c r="H111" s="21">
        <f>SUM(F111:G111)</f>
        <v>1132</v>
      </c>
      <c r="J111" s="7" t="s">
        <v>22</v>
      </c>
      <c r="K111" s="10"/>
      <c r="L111" s="11"/>
      <c r="M111" s="11"/>
      <c r="N111" s="11"/>
      <c r="O111" s="11"/>
      <c r="P111" s="11"/>
      <c r="Q111" s="11"/>
      <c r="R111" s="11"/>
      <c r="S111" s="11"/>
      <c r="T111" s="11"/>
      <c r="U111" s="12"/>
      <c r="Y111" s="7" t="s">
        <v>22</v>
      </c>
      <c r="Z111" s="10"/>
      <c r="AA111" s="11"/>
      <c r="AB111" s="11"/>
      <c r="AC111" s="11"/>
      <c r="AD111" s="11"/>
      <c r="AE111" s="12"/>
      <c r="AH111" s="7" t="s">
        <v>22</v>
      </c>
      <c r="AI111" s="10"/>
      <c r="AJ111" s="11"/>
      <c r="AK111" s="11"/>
      <c r="AL111" s="11"/>
      <c r="AM111" s="11"/>
      <c r="AN111" s="12"/>
    </row>
    <row r="112" spans="1:40" x14ac:dyDescent="0.25">
      <c r="J112" s="8"/>
      <c r="T112" s="8" t="s">
        <v>23</v>
      </c>
      <c r="U112" s="13">
        <f>SUM(K111:U111)</f>
        <v>0</v>
      </c>
      <c r="AD112" s="8" t="s">
        <v>23</v>
      </c>
      <c r="AE112" s="13">
        <f>SUM(Z111:AE111)</f>
        <v>0</v>
      </c>
      <c r="AM112" s="8" t="s">
        <v>23</v>
      </c>
      <c r="AN112" s="13">
        <f>SUM(AI111:AN111)</f>
        <v>0</v>
      </c>
    </row>
    <row r="113" spans="1:40" ht="15.75" thickBot="1" x14ac:dyDescent="0.3">
      <c r="A113" s="19"/>
      <c r="B113" s="97" t="s">
        <v>14</v>
      </c>
      <c r="C113" s="97"/>
      <c r="D113" s="97"/>
      <c r="E113" s="97"/>
      <c r="F113" s="97"/>
      <c r="G113" s="97"/>
      <c r="H113" s="97"/>
      <c r="J113" s="98" t="s">
        <v>14</v>
      </c>
      <c r="K113" s="98"/>
      <c r="L113" s="98"/>
      <c r="M113" s="98"/>
      <c r="N113" s="98"/>
      <c r="O113" s="98"/>
      <c r="P113" s="98"/>
      <c r="Q113" s="98"/>
      <c r="R113" s="98"/>
      <c r="S113" s="98"/>
      <c r="T113" s="98"/>
      <c r="U113" s="98"/>
      <c r="Y113" s="95" t="str">
        <f>J113</f>
        <v>Abril</v>
      </c>
      <c r="Z113" s="95"/>
      <c r="AA113" s="95"/>
      <c r="AB113" s="95"/>
      <c r="AC113" s="95"/>
      <c r="AD113" s="95"/>
      <c r="AE113" s="95"/>
      <c r="AH113" s="96" t="str">
        <f>Y113</f>
        <v>Abril</v>
      </c>
      <c r="AI113" s="96"/>
      <c r="AJ113" s="96"/>
      <c r="AK113" s="96"/>
      <c r="AL113" s="96"/>
      <c r="AM113" s="96"/>
      <c r="AN113" s="96"/>
    </row>
    <row r="114" spans="1:40" ht="15.75" thickBot="1" x14ac:dyDescent="0.3">
      <c r="A114" s="99" t="s">
        <v>5</v>
      </c>
      <c r="B114" s="34" t="s">
        <v>6</v>
      </c>
      <c r="C114" s="22" t="s">
        <v>7</v>
      </c>
      <c r="D114" s="33" t="s">
        <v>8</v>
      </c>
      <c r="E114" s="22" t="s">
        <v>9</v>
      </c>
      <c r="F114" s="24" t="s">
        <v>10</v>
      </c>
      <c r="G114" s="23" t="s">
        <v>11</v>
      </c>
      <c r="H114" s="25" t="s">
        <v>12</v>
      </c>
      <c r="J114" s="6" t="s">
        <v>4</v>
      </c>
      <c r="K114" s="9"/>
      <c r="L114" s="4"/>
      <c r="M114" s="4"/>
      <c r="N114" s="4"/>
      <c r="O114" s="4"/>
      <c r="P114" s="4"/>
      <c r="Q114" s="4"/>
      <c r="R114" s="4"/>
      <c r="S114" s="4"/>
      <c r="T114" s="4"/>
      <c r="U114" s="5"/>
      <c r="Y114" s="6" t="s">
        <v>4</v>
      </c>
      <c r="Z114" s="9"/>
      <c r="AA114" s="4"/>
      <c r="AB114" s="4"/>
      <c r="AC114" s="4"/>
      <c r="AD114" s="4"/>
      <c r="AE114" s="5"/>
      <c r="AH114" s="6" t="s">
        <v>4</v>
      </c>
      <c r="AI114" s="9"/>
      <c r="AJ114" s="4"/>
      <c r="AK114" s="4"/>
      <c r="AL114" s="4"/>
      <c r="AM114" s="4"/>
      <c r="AN114" s="5"/>
    </row>
    <row r="115" spans="1:40" ht="15.75" thickBot="1" x14ac:dyDescent="0.3">
      <c r="A115" s="99"/>
      <c r="B115" s="26"/>
      <c r="C115" s="27"/>
      <c r="D115" s="27"/>
      <c r="E115" s="27"/>
      <c r="F115" s="27">
        <f>SUM(C115-B115)</f>
        <v>0</v>
      </c>
      <c r="G115" s="20">
        <f>SUM(E115-D115)</f>
        <v>0</v>
      </c>
      <c r="H115" s="21">
        <f>SUM(F115:G115)</f>
        <v>0</v>
      </c>
      <c r="J115" s="7" t="s">
        <v>22</v>
      </c>
      <c r="K115" s="30"/>
      <c r="L115" s="31"/>
      <c r="M115" s="31"/>
      <c r="N115" s="31"/>
      <c r="O115" s="31"/>
      <c r="P115" s="31"/>
      <c r="Q115" s="31"/>
      <c r="R115" s="31"/>
      <c r="S115" s="31"/>
      <c r="T115" s="31"/>
      <c r="U115" s="32"/>
      <c r="Y115" s="7" t="s">
        <v>22</v>
      </c>
      <c r="Z115" s="10"/>
      <c r="AA115" s="11"/>
      <c r="AB115" s="11"/>
      <c r="AC115" s="11"/>
      <c r="AD115" s="11"/>
      <c r="AE115" s="12"/>
      <c r="AH115" s="7" t="s">
        <v>22</v>
      </c>
      <c r="AI115" s="10"/>
      <c r="AJ115" s="11"/>
      <c r="AK115" s="11"/>
      <c r="AL115" s="11"/>
      <c r="AM115" s="11"/>
      <c r="AN115" s="12"/>
    </row>
    <row r="116" spans="1:40" x14ac:dyDescent="0.25">
      <c r="J116" s="8"/>
      <c r="T116" s="8" t="s">
        <v>23</v>
      </c>
      <c r="U116" s="13">
        <f>SUM(K115:U115)</f>
        <v>0</v>
      </c>
      <c r="AD116" s="8" t="s">
        <v>23</v>
      </c>
      <c r="AE116" s="13">
        <f>SUM(Z115:AE115)</f>
        <v>0</v>
      </c>
      <c r="AM116" s="8" t="s">
        <v>23</v>
      </c>
      <c r="AN116" s="13">
        <f>SUM(AI115:AN115)</f>
        <v>0</v>
      </c>
    </row>
    <row r="117" spans="1:40" ht="15.75" thickBot="1" x14ac:dyDescent="0.3">
      <c r="A117" s="19"/>
      <c r="B117" s="97" t="s">
        <v>15</v>
      </c>
      <c r="C117" s="97"/>
      <c r="D117" s="97"/>
      <c r="E117" s="97"/>
      <c r="F117" s="97"/>
      <c r="G117" s="97"/>
      <c r="H117" s="97"/>
      <c r="J117" s="98" t="s">
        <v>15</v>
      </c>
      <c r="K117" s="98"/>
      <c r="L117" s="98"/>
      <c r="M117" s="98"/>
      <c r="N117" s="98"/>
      <c r="O117" s="98"/>
      <c r="P117" s="98"/>
      <c r="Q117" s="98"/>
      <c r="R117" s="98"/>
      <c r="S117" s="98"/>
      <c r="T117" s="98"/>
      <c r="U117" s="98"/>
      <c r="Y117" s="95" t="str">
        <f>J117</f>
        <v>Maio</v>
      </c>
      <c r="Z117" s="95"/>
      <c r="AA117" s="95"/>
      <c r="AB117" s="95"/>
      <c r="AC117" s="95"/>
      <c r="AD117" s="95"/>
      <c r="AE117" s="95"/>
      <c r="AH117" s="96" t="str">
        <f>Y117</f>
        <v>Maio</v>
      </c>
      <c r="AI117" s="96"/>
      <c r="AJ117" s="96"/>
      <c r="AK117" s="96"/>
      <c r="AL117" s="96"/>
      <c r="AM117" s="96"/>
      <c r="AN117" s="96"/>
    </row>
    <row r="118" spans="1:40" ht="15.75" thickBot="1" x14ac:dyDescent="0.3">
      <c r="A118" s="99" t="s">
        <v>5</v>
      </c>
      <c r="B118" s="34" t="s">
        <v>6</v>
      </c>
      <c r="C118" s="22" t="s">
        <v>7</v>
      </c>
      <c r="D118" s="33" t="s">
        <v>8</v>
      </c>
      <c r="E118" s="22" t="s">
        <v>9</v>
      </c>
      <c r="F118" s="24" t="s">
        <v>10</v>
      </c>
      <c r="G118" s="23" t="s">
        <v>11</v>
      </c>
      <c r="H118" s="25" t="s">
        <v>12</v>
      </c>
      <c r="J118" s="6" t="s">
        <v>4</v>
      </c>
      <c r="K118" s="9"/>
      <c r="L118" s="4"/>
      <c r="M118" s="4"/>
      <c r="N118" s="4"/>
      <c r="O118" s="4"/>
      <c r="P118" s="4"/>
      <c r="Q118" s="4"/>
      <c r="R118" s="4"/>
      <c r="S118" s="4"/>
      <c r="T118" s="4"/>
      <c r="U118" s="5"/>
      <c r="Y118" s="6" t="s">
        <v>4</v>
      </c>
      <c r="Z118" s="9"/>
      <c r="AA118" s="4"/>
      <c r="AB118" s="4"/>
      <c r="AC118" s="4"/>
      <c r="AD118" s="4"/>
      <c r="AE118" s="5"/>
      <c r="AH118" s="6" t="s">
        <v>4</v>
      </c>
      <c r="AI118" s="9"/>
      <c r="AJ118" s="4"/>
      <c r="AK118" s="4"/>
      <c r="AL118" s="4"/>
      <c r="AM118" s="4"/>
      <c r="AN118" s="5"/>
    </row>
    <row r="119" spans="1:40" ht="15.75" thickBot="1" x14ac:dyDescent="0.3">
      <c r="A119" s="99"/>
      <c r="B119" s="26"/>
      <c r="C119" s="27"/>
      <c r="D119" s="27"/>
      <c r="E119" s="27"/>
      <c r="F119" s="27">
        <f>SUM(C119-B119)</f>
        <v>0</v>
      </c>
      <c r="G119" s="20">
        <f>SUM(E119-D119)</f>
        <v>0</v>
      </c>
      <c r="H119" s="21">
        <f>SUM(F119:G119)</f>
        <v>0</v>
      </c>
      <c r="J119" s="7" t="s">
        <v>22</v>
      </c>
      <c r="K119" s="10"/>
      <c r="L119" s="11"/>
      <c r="M119" s="11"/>
      <c r="N119" s="11"/>
      <c r="O119" s="11"/>
      <c r="P119" s="11"/>
      <c r="Q119" s="11"/>
      <c r="R119" s="11"/>
      <c r="S119" s="11"/>
      <c r="T119" s="11"/>
      <c r="U119" s="12"/>
      <c r="Y119" s="7" t="s">
        <v>22</v>
      </c>
      <c r="Z119" s="10"/>
      <c r="AA119" s="11"/>
      <c r="AB119" s="11"/>
      <c r="AC119" s="11"/>
      <c r="AD119" s="11"/>
      <c r="AE119" s="12"/>
      <c r="AH119" s="7" t="s">
        <v>22</v>
      </c>
      <c r="AI119" s="10"/>
      <c r="AJ119" s="11"/>
      <c r="AK119" s="11"/>
      <c r="AL119" s="11"/>
      <c r="AM119" s="11"/>
      <c r="AN119" s="12"/>
    </row>
    <row r="120" spans="1:40" x14ac:dyDescent="0.25">
      <c r="J120" s="8"/>
      <c r="T120" s="8" t="s">
        <v>23</v>
      </c>
      <c r="U120" s="13">
        <f>SUM(K119:U119)</f>
        <v>0</v>
      </c>
      <c r="AD120" s="8" t="s">
        <v>23</v>
      </c>
      <c r="AE120" s="13">
        <f>SUM(Z119:AE119)</f>
        <v>0</v>
      </c>
      <c r="AM120" s="8" t="s">
        <v>23</v>
      </c>
      <c r="AN120" s="13">
        <f>SUM(AI119:AN119)</f>
        <v>0</v>
      </c>
    </row>
    <row r="121" spans="1:40" ht="15.75" thickBot="1" x14ac:dyDescent="0.3">
      <c r="A121" s="19"/>
      <c r="B121" s="97" t="s">
        <v>24</v>
      </c>
      <c r="C121" s="97"/>
      <c r="D121" s="97"/>
      <c r="E121" s="97"/>
      <c r="F121" s="97"/>
      <c r="G121" s="97"/>
      <c r="H121" s="97"/>
      <c r="J121" s="98" t="s">
        <v>24</v>
      </c>
      <c r="K121" s="98"/>
      <c r="L121" s="98"/>
      <c r="M121" s="98"/>
      <c r="N121" s="98"/>
      <c r="O121" s="98"/>
      <c r="P121" s="98"/>
      <c r="Q121" s="98"/>
      <c r="R121" s="98"/>
      <c r="S121" s="98"/>
      <c r="T121" s="98"/>
      <c r="U121" s="98"/>
      <c r="Y121" s="95" t="str">
        <f>J121</f>
        <v>Junho</v>
      </c>
      <c r="Z121" s="95"/>
      <c r="AA121" s="95"/>
      <c r="AB121" s="95"/>
      <c r="AC121" s="95"/>
      <c r="AD121" s="95"/>
      <c r="AE121" s="95"/>
      <c r="AH121" s="96" t="str">
        <f>Y121</f>
        <v>Junho</v>
      </c>
      <c r="AI121" s="96"/>
      <c r="AJ121" s="96"/>
      <c r="AK121" s="96"/>
      <c r="AL121" s="96"/>
      <c r="AM121" s="96"/>
      <c r="AN121" s="96"/>
    </row>
    <row r="122" spans="1:40" ht="15.75" thickBot="1" x14ac:dyDescent="0.3">
      <c r="A122" s="99" t="s">
        <v>5</v>
      </c>
      <c r="B122" s="34" t="s">
        <v>6</v>
      </c>
      <c r="C122" s="22" t="s">
        <v>7</v>
      </c>
      <c r="D122" s="33" t="s">
        <v>8</v>
      </c>
      <c r="E122" s="22" t="s">
        <v>9</v>
      </c>
      <c r="F122" s="24" t="s">
        <v>10</v>
      </c>
      <c r="G122" s="23" t="s">
        <v>11</v>
      </c>
      <c r="H122" s="25" t="s">
        <v>12</v>
      </c>
      <c r="J122" s="6" t="s">
        <v>4</v>
      </c>
      <c r="K122" s="9"/>
      <c r="L122" s="4"/>
      <c r="M122" s="4"/>
      <c r="N122" s="4"/>
      <c r="O122" s="4"/>
      <c r="P122" s="4"/>
      <c r="Q122" s="4"/>
      <c r="R122" s="4"/>
      <c r="S122" s="4"/>
      <c r="T122" s="4"/>
      <c r="U122" s="5"/>
      <c r="Y122" s="6" t="s">
        <v>4</v>
      </c>
      <c r="Z122" s="9"/>
      <c r="AA122" s="4"/>
      <c r="AB122" s="4"/>
      <c r="AC122" s="4"/>
      <c r="AD122" s="4"/>
      <c r="AE122" s="5"/>
      <c r="AH122" s="6" t="s">
        <v>4</v>
      </c>
      <c r="AI122" s="9"/>
      <c r="AJ122" s="4"/>
      <c r="AK122" s="4"/>
      <c r="AL122" s="4"/>
      <c r="AM122" s="4"/>
      <c r="AN122" s="5"/>
    </row>
    <row r="123" spans="1:40" ht="15.75" thickBot="1" x14ac:dyDescent="0.3">
      <c r="A123" s="99"/>
      <c r="B123" s="26"/>
      <c r="C123" s="27"/>
      <c r="D123" s="27"/>
      <c r="E123" s="27"/>
      <c r="F123" s="27">
        <f>SUM(C123-B123)</f>
        <v>0</v>
      </c>
      <c r="G123" s="20">
        <f>SUM(E123-D123)</f>
        <v>0</v>
      </c>
      <c r="H123" s="21">
        <f>SUM(F123:G123)</f>
        <v>0</v>
      </c>
      <c r="J123" s="7" t="s">
        <v>22</v>
      </c>
      <c r="K123" s="10"/>
      <c r="L123" s="11"/>
      <c r="M123" s="11"/>
      <c r="N123" s="11"/>
      <c r="O123" s="11"/>
      <c r="P123" s="11"/>
      <c r="Q123" s="11"/>
      <c r="R123" s="11"/>
      <c r="S123" s="11"/>
      <c r="T123" s="11"/>
      <c r="U123" s="12"/>
      <c r="Y123" s="7" t="s">
        <v>22</v>
      </c>
      <c r="Z123" s="10"/>
      <c r="AA123" s="11"/>
      <c r="AB123" s="11"/>
      <c r="AC123" s="11"/>
      <c r="AD123" s="11"/>
      <c r="AE123" s="12"/>
      <c r="AH123" s="7" t="s">
        <v>22</v>
      </c>
      <c r="AI123" s="10"/>
      <c r="AJ123" s="11"/>
      <c r="AK123" s="11"/>
      <c r="AL123" s="11"/>
      <c r="AM123" s="11"/>
      <c r="AN123" s="12"/>
    </row>
    <row r="124" spans="1:40" x14ac:dyDescent="0.25">
      <c r="J124" s="8"/>
      <c r="T124" s="8" t="s">
        <v>23</v>
      </c>
      <c r="U124" s="13">
        <f>SUM(K123:U123)</f>
        <v>0</v>
      </c>
      <c r="AD124" s="8" t="s">
        <v>23</v>
      </c>
      <c r="AE124" s="13">
        <f>SUM(Z123:AE123)</f>
        <v>0</v>
      </c>
      <c r="AM124" s="8" t="s">
        <v>23</v>
      </c>
      <c r="AN124" s="13">
        <f>SUM(AI123:AN123)</f>
        <v>0</v>
      </c>
    </row>
    <row r="125" spans="1:40" ht="15.75" thickBot="1" x14ac:dyDescent="0.3">
      <c r="A125" s="19"/>
      <c r="B125" s="97" t="s">
        <v>16</v>
      </c>
      <c r="C125" s="97"/>
      <c r="D125" s="97"/>
      <c r="E125" s="97"/>
      <c r="F125" s="97"/>
      <c r="G125" s="97"/>
      <c r="H125" s="97"/>
      <c r="J125" s="98" t="s">
        <v>16</v>
      </c>
      <c r="K125" s="98"/>
      <c r="L125" s="98"/>
      <c r="M125" s="98"/>
      <c r="N125" s="98"/>
      <c r="O125" s="98"/>
      <c r="P125" s="98"/>
      <c r="Q125" s="98"/>
      <c r="R125" s="98"/>
      <c r="S125" s="98"/>
      <c r="T125" s="98"/>
      <c r="U125" s="98"/>
      <c r="Y125" s="95" t="str">
        <f>J125</f>
        <v>Julho</v>
      </c>
      <c r="Z125" s="95"/>
      <c r="AA125" s="95"/>
      <c r="AB125" s="95"/>
      <c r="AC125" s="95"/>
      <c r="AD125" s="95"/>
      <c r="AE125" s="95"/>
      <c r="AH125" s="96" t="str">
        <f>Y125</f>
        <v>Julho</v>
      </c>
      <c r="AI125" s="96"/>
      <c r="AJ125" s="96"/>
      <c r="AK125" s="96"/>
      <c r="AL125" s="96"/>
      <c r="AM125" s="96"/>
      <c r="AN125" s="96"/>
    </row>
    <row r="126" spans="1:40" ht="15.75" thickBot="1" x14ac:dyDescent="0.3">
      <c r="A126" s="99" t="s">
        <v>5</v>
      </c>
      <c r="B126" s="34" t="s">
        <v>6</v>
      </c>
      <c r="C126" s="22" t="s">
        <v>7</v>
      </c>
      <c r="D126" s="33" t="s">
        <v>8</v>
      </c>
      <c r="E126" s="22" t="s">
        <v>9</v>
      </c>
      <c r="F126" s="24" t="s">
        <v>10</v>
      </c>
      <c r="G126" s="23" t="s">
        <v>11</v>
      </c>
      <c r="H126" s="25" t="s">
        <v>12</v>
      </c>
      <c r="J126" s="6" t="s">
        <v>4</v>
      </c>
      <c r="K126" s="9"/>
      <c r="L126" s="4"/>
      <c r="M126" s="4"/>
      <c r="N126" s="4"/>
      <c r="O126" s="4"/>
      <c r="P126" s="4"/>
      <c r="Q126" s="4"/>
      <c r="R126" s="4"/>
      <c r="S126" s="4"/>
      <c r="T126" s="4"/>
      <c r="U126" s="5"/>
      <c r="Y126" s="6" t="s">
        <v>4</v>
      </c>
      <c r="Z126" s="9"/>
      <c r="AA126" s="4"/>
      <c r="AB126" s="4"/>
      <c r="AC126" s="4"/>
      <c r="AD126" s="4"/>
      <c r="AE126" s="5"/>
      <c r="AH126" s="6" t="s">
        <v>4</v>
      </c>
      <c r="AI126" s="9"/>
      <c r="AJ126" s="4"/>
      <c r="AK126" s="4"/>
      <c r="AL126" s="4"/>
      <c r="AM126" s="4"/>
      <c r="AN126" s="5"/>
    </row>
    <row r="127" spans="1:40" ht="15.75" thickBot="1" x14ac:dyDescent="0.3">
      <c r="A127" s="99"/>
      <c r="B127" s="26"/>
      <c r="C127" s="27"/>
      <c r="D127" s="27"/>
      <c r="E127" s="27"/>
      <c r="F127" s="27">
        <f>SUM(C127-B127)</f>
        <v>0</v>
      </c>
      <c r="G127" s="20">
        <f>SUM(E127-D127)</f>
        <v>0</v>
      </c>
      <c r="H127" s="21">
        <f>SUM(F127:G127)</f>
        <v>0</v>
      </c>
      <c r="J127" s="7" t="s">
        <v>22</v>
      </c>
      <c r="K127" s="10"/>
      <c r="L127" s="11"/>
      <c r="M127" s="11"/>
      <c r="N127" s="11"/>
      <c r="O127" s="11"/>
      <c r="P127" s="11"/>
      <c r="Q127" s="11"/>
      <c r="R127" s="11"/>
      <c r="S127" s="11"/>
      <c r="T127" s="11"/>
      <c r="U127" s="12"/>
      <c r="Y127" s="7" t="s">
        <v>22</v>
      </c>
      <c r="Z127" s="10"/>
      <c r="AA127" s="11"/>
      <c r="AB127" s="11"/>
      <c r="AC127" s="11"/>
      <c r="AD127" s="11"/>
      <c r="AE127" s="12"/>
      <c r="AH127" s="7" t="s">
        <v>22</v>
      </c>
      <c r="AI127" s="10"/>
      <c r="AJ127" s="11"/>
      <c r="AK127" s="11"/>
      <c r="AL127" s="11"/>
      <c r="AM127" s="11"/>
      <c r="AN127" s="12"/>
    </row>
    <row r="128" spans="1:40" x14ac:dyDescent="0.25">
      <c r="J128" s="8"/>
      <c r="T128" s="8" t="s">
        <v>23</v>
      </c>
      <c r="U128" s="13">
        <f>SUM(K127:U127)</f>
        <v>0</v>
      </c>
      <c r="AD128" s="8" t="s">
        <v>23</v>
      </c>
      <c r="AE128" s="13">
        <f>SUM(Z127:AE127)</f>
        <v>0</v>
      </c>
      <c r="AM128" s="8" t="s">
        <v>23</v>
      </c>
      <c r="AN128" s="13">
        <f>SUM(AI127:AN127)</f>
        <v>0</v>
      </c>
    </row>
    <row r="129" spans="1:40" ht="15.75" thickBot="1" x14ac:dyDescent="0.3">
      <c r="A129" s="19"/>
      <c r="B129" s="97" t="s">
        <v>17</v>
      </c>
      <c r="C129" s="97"/>
      <c r="D129" s="97"/>
      <c r="E129" s="97"/>
      <c r="F129" s="97"/>
      <c r="G129" s="97"/>
      <c r="H129" s="97"/>
      <c r="J129" s="98" t="s">
        <v>17</v>
      </c>
      <c r="K129" s="98"/>
      <c r="L129" s="98"/>
      <c r="M129" s="98"/>
      <c r="N129" s="98"/>
      <c r="O129" s="98"/>
      <c r="P129" s="98"/>
      <c r="Q129" s="98"/>
      <c r="R129" s="98"/>
      <c r="S129" s="98"/>
      <c r="T129" s="98"/>
      <c r="U129" s="98"/>
      <c r="Y129" s="95" t="str">
        <f>J129</f>
        <v>Agosto</v>
      </c>
      <c r="Z129" s="95"/>
      <c r="AA129" s="95"/>
      <c r="AB129" s="95"/>
      <c r="AC129" s="95"/>
      <c r="AD129" s="95"/>
      <c r="AE129" s="95"/>
      <c r="AH129" s="96" t="str">
        <f>Y129</f>
        <v>Agosto</v>
      </c>
      <c r="AI129" s="96"/>
      <c r="AJ129" s="96"/>
      <c r="AK129" s="96"/>
      <c r="AL129" s="96"/>
      <c r="AM129" s="96"/>
      <c r="AN129" s="96"/>
    </row>
    <row r="130" spans="1:40" ht="15.75" thickBot="1" x14ac:dyDescent="0.3">
      <c r="A130" s="99" t="s">
        <v>5</v>
      </c>
      <c r="B130" s="34" t="s">
        <v>6</v>
      </c>
      <c r="C130" s="22" t="s">
        <v>7</v>
      </c>
      <c r="D130" s="33" t="s">
        <v>8</v>
      </c>
      <c r="E130" s="22" t="s">
        <v>9</v>
      </c>
      <c r="F130" s="24" t="s">
        <v>10</v>
      </c>
      <c r="G130" s="23" t="s">
        <v>11</v>
      </c>
      <c r="H130" s="25" t="s">
        <v>12</v>
      </c>
      <c r="J130" s="6" t="s">
        <v>4</v>
      </c>
      <c r="K130" s="9"/>
      <c r="L130" s="4"/>
      <c r="M130" s="4"/>
      <c r="N130" s="4"/>
      <c r="O130" s="4"/>
      <c r="P130" s="4"/>
      <c r="Q130" s="4"/>
      <c r="R130" s="4"/>
      <c r="S130" s="4"/>
      <c r="T130" s="4"/>
      <c r="U130" s="5"/>
      <c r="Y130" s="6" t="s">
        <v>4</v>
      </c>
      <c r="Z130" s="9"/>
      <c r="AA130" s="4"/>
      <c r="AB130" s="4"/>
      <c r="AC130" s="4"/>
      <c r="AD130" s="4"/>
      <c r="AE130" s="5"/>
      <c r="AH130" s="6" t="s">
        <v>4</v>
      </c>
      <c r="AI130" s="9"/>
      <c r="AJ130" s="4"/>
      <c r="AK130" s="4"/>
      <c r="AL130" s="4"/>
      <c r="AM130" s="4"/>
      <c r="AN130" s="5"/>
    </row>
    <row r="131" spans="1:40" ht="15.75" thickBot="1" x14ac:dyDescent="0.3">
      <c r="A131" s="99"/>
      <c r="B131" s="26"/>
      <c r="C131" s="27"/>
      <c r="D131" s="27"/>
      <c r="E131" s="27"/>
      <c r="F131" s="27">
        <f>SUM(C131-B131)</f>
        <v>0</v>
      </c>
      <c r="G131" s="20">
        <f>SUM(E131-D131)</f>
        <v>0</v>
      </c>
      <c r="H131" s="21">
        <f>SUM(F131:G131)</f>
        <v>0</v>
      </c>
      <c r="J131" s="7" t="s">
        <v>22</v>
      </c>
      <c r="K131" s="10"/>
      <c r="L131" s="11"/>
      <c r="M131" s="11"/>
      <c r="N131" s="11"/>
      <c r="O131" s="11"/>
      <c r="P131" s="11"/>
      <c r="Q131" s="11"/>
      <c r="R131" s="11"/>
      <c r="S131" s="11"/>
      <c r="T131" s="11"/>
      <c r="U131" s="12"/>
      <c r="Y131" s="7" t="s">
        <v>22</v>
      </c>
      <c r="Z131" s="10"/>
      <c r="AA131" s="11"/>
      <c r="AB131" s="11"/>
      <c r="AC131" s="11"/>
      <c r="AD131" s="11"/>
      <c r="AE131" s="12"/>
      <c r="AH131" s="7" t="s">
        <v>22</v>
      </c>
      <c r="AI131" s="10"/>
      <c r="AJ131" s="11"/>
      <c r="AK131" s="11"/>
      <c r="AL131" s="11"/>
      <c r="AM131" s="11"/>
      <c r="AN131" s="12"/>
    </row>
    <row r="132" spans="1:40" x14ac:dyDescent="0.25">
      <c r="J132" s="8"/>
      <c r="T132" s="8" t="s">
        <v>23</v>
      </c>
      <c r="U132" s="13">
        <f>SUM(K131:U131)</f>
        <v>0</v>
      </c>
      <c r="AD132" s="8" t="s">
        <v>23</v>
      </c>
      <c r="AE132" s="13">
        <f>SUM(Z131:AE131)</f>
        <v>0</v>
      </c>
      <c r="AM132" s="8" t="s">
        <v>23</v>
      </c>
      <c r="AN132" s="13">
        <f>SUM(AI131:AN131)</f>
        <v>0</v>
      </c>
    </row>
    <row r="133" spans="1:40" ht="15.75" thickBot="1" x14ac:dyDescent="0.3">
      <c r="A133" s="19"/>
      <c r="B133" s="97" t="s">
        <v>18</v>
      </c>
      <c r="C133" s="97"/>
      <c r="D133" s="97"/>
      <c r="E133" s="97"/>
      <c r="F133" s="97"/>
      <c r="G133" s="97"/>
      <c r="H133" s="97"/>
      <c r="J133" s="98" t="s">
        <v>18</v>
      </c>
      <c r="K133" s="98"/>
      <c r="L133" s="98"/>
      <c r="M133" s="98"/>
      <c r="N133" s="98"/>
      <c r="O133" s="98"/>
      <c r="P133" s="98"/>
      <c r="Q133" s="98"/>
      <c r="R133" s="98"/>
      <c r="S133" s="98"/>
      <c r="T133" s="98"/>
      <c r="U133" s="98"/>
      <c r="Y133" s="95" t="str">
        <f>J133</f>
        <v>Setembro</v>
      </c>
      <c r="Z133" s="95"/>
      <c r="AA133" s="95"/>
      <c r="AB133" s="95"/>
      <c r="AC133" s="95"/>
      <c r="AD133" s="95"/>
      <c r="AE133" s="95"/>
      <c r="AH133" s="96" t="str">
        <f>Y133</f>
        <v>Setembro</v>
      </c>
      <c r="AI133" s="96"/>
      <c r="AJ133" s="96"/>
      <c r="AK133" s="96"/>
      <c r="AL133" s="96"/>
      <c r="AM133" s="96"/>
      <c r="AN133" s="96"/>
    </row>
    <row r="134" spans="1:40" ht="15.75" thickBot="1" x14ac:dyDescent="0.3">
      <c r="A134" s="99" t="s">
        <v>5</v>
      </c>
      <c r="B134" s="34" t="s">
        <v>6</v>
      </c>
      <c r="C134" s="22" t="s">
        <v>7</v>
      </c>
      <c r="D134" s="33" t="s">
        <v>8</v>
      </c>
      <c r="E134" s="22" t="s">
        <v>9</v>
      </c>
      <c r="F134" s="24" t="s">
        <v>10</v>
      </c>
      <c r="G134" s="23" t="s">
        <v>11</v>
      </c>
      <c r="H134" s="25" t="s">
        <v>12</v>
      </c>
      <c r="J134" s="6" t="s">
        <v>4</v>
      </c>
      <c r="K134" s="9"/>
      <c r="L134" s="4"/>
      <c r="M134" s="4"/>
      <c r="N134" s="4"/>
      <c r="O134" s="4"/>
      <c r="P134" s="4"/>
      <c r="Q134" s="4"/>
      <c r="R134" s="4"/>
      <c r="S134" s="4"/>
      <c r="T134" s="4"/>
      <c r="U134" s="5"/>
      <c r="Y134" s="6" t="s">
        <v>4</v>
      </c>
      <c r="Z134" s="9"/>
      <c r="AA134" s="4"/>
      <c r="AB134" s="4"/>
      <c r="AC134" s="4"/>
      <c r="AD134" s="4"/>
      <c r="AE134" s="5"/>
      <c r="AH134" s="6" t="s">
        <v>4</v>
      </c>
      <c r="AI134" s="9"/>
      <c r="AJ134" s="4"/>
      <c r="AK134" s="4"/>
      <c r="AL134" s="4"/>
      <c r="AM134" s="4"/>
      <c r="AN134" s="5"/>
    </row>
    <row r="135" spans="1:40" ht="15.75" thickBot="1" x14ac:dyDescent="0.3">
      <c r="A135" s="99"/>
      <c r="B135" s="26"/>
      <c r="C135" s="27"/>
      <c r="D135" s="27"/>
      <c r="E135" s="27"/>
      <c r="F135" s="27">
        <f>SUM(C135-B135)</f>
        <v>0</v>
      </c>
      <c r="G135" s="20">
        <f>SUM(E135-D135)</f>
        <v>0</v>
      </c>
      <c r="H135" s="21">
        <f>SUM(F135:G135)</f>
        <v>0</v>
      </c>
      <c r="J135" s="7" t="s">
        <v>22</v>
      </c>
      <c r="K135" s="10"/>
      <c r="L135" s="11"/>
      <c r="M135" s="11"/>
      <c r="N135" s="11"/>
      <c r="O135" s="11"/>
      <c r="P135" s="11"/>
      <c r="Q135" s="11"/>
      <c r="R135" s="11"/>
      <c r="S135" s="11"/>
      <c r="T135" s="11"/>
      <c r="U135" s="12"/>
      <c r="Y135" s="7" t="s">
        <v>22</v>
      </c>
      <c r="Z135" s="10"/>
      <c r="AA135" s="11"/>
      <c r="AB135" s="11"/>
      <c r="AC135" s="11"/>
      <c r="AD135" s="11"/>
      <c r="AE135" s="12"/>
      <c r="AH135" s="7" t="s">
        <v>22</v>
      </c>
      <c r="AI135" s="10"/>
      <c r="AJ135" s="11"/>
      <c r="AK135" s="11"/>
      <c r="AL135" s="11"/>
      <c r="AM135" s="11"/>
      <c r="AN135" s="12"/>
    </row>
    <row r="136" spans="1:40" x14ac:dyDescent="0.25">
      <c r="J136" s="8"/>
      <c r="T136" s="8" t="s">
        <v>23</v>
      </c>
      <c r="U136" s="13">
        <f>SUM(K135:U135)</f>
        <v>0</v>
      </c>
      <c r="AD136" s="8" t="s">
        <v>23</v>
      </c>
      <c r="AE136" s="13">
        <f>SUM(Z135:AE135)</f>
        <v>0</v>
      </c>
      <c r="AM136" s="8" t="s">
        <v>23</v>
      </c>
      <c r="AN136" s="13">
        <f>SUM(AI135:AN135)</f>
        <v>0</v>
      </c>
    </row>
    <row r="137" spans="1:40" ht="15.75" thickBot="1" x14ac:dyDescent="0.3">
      <c r="A137" s="19"/>
      <c r="B137" s="97" t="s">
        <v>19</v>
      </c>
      <c r="C137" s="97"/>
      <c r="D137" s="97"/>
      <c r="E137" s="97"/>
      <c r="F137" s="97"/>
      <c r="G137" s="97"/>
      <c r="H137" s="97"/>
      <c r="J137" s="98" t="s">
        <v>19</v>
      </c>
      <c r="K137" s="98"/>
      <c r="L137" s="98"/>
      <c r="M137" s="98"/>
      <c r="N137" s="98"/>
      <c r="O137" s="98"/>
      <c r="P137" s="98"/>
      <c r="Q137" s="98"/>
      <c r="R137" s="98"/>
      <c r="S137" s="98"/>
      <c r="T137" s="98"/>
      <c r="U137" s="98"/>
      <c r="Y137" s="95" t="str">
        <f>J137</f>
        <v>Outubro</v>
      </c>
      <c r="Z137" s="95"/>
      <c r="AA137" s="95"/>
      <c r="AB137" s="95"/>
      <c r="AC137" s="95"/>
      <c r="AD137" s="95"/>
      <c r="AE137" s="95"/>
      <c r="AH137" s="96" t="str">
        <f>Y137</f>
        <v>Outubro</v>
      </c>
      <c r="AI137" s="96"/>
      <c r="AJ137" s="96"/>
      <c r="AK137" s="96"/>
      <c r="AL137" s="96"/>
      <c r="AM137" s="96"/>
      <c r="AN137" s="96"/>
    </row>
    <row r="138" spans="1:40" ht="15.75" thickBot="1" x14ac:dyDescent="0.3">
      <c r="A138" s="99" t="s">
        <v>5</v>
      </c>
      <c r="B138" s="34" t="s">
        <v>6</v>
      </c>
      <c r="C138" s="22" t="s">
        <v>7</v>
      </c>
      <c r="D138" s="33" t="s">
        <v>8</v>
      </c>
      <c r="E138" s="22" t="s">
        <v>9</v>
      </c>
      <c r="F138" s="24" t="s">
        <v>10</v>
      </c>
      <c r="G138" s="23" t="s">
        <v>11</v>
      </c>
      <c r="H138" s="25" t="s">
        <v>12</v>
      </c>
      <c r="J138" s="6" t="s">
        <v>4</v>
      </c>
      <c r="K138" s="9"/>
      <c r="L138" s="4"/>
      <c r="M138" s="4"/>
      <c r="N138" s="4"/>
      <c r="O138" s="4"/>
      <c r="P138" s="4"/>
      <c r="Q138" s="4"/>
      <c r="R138" s="4"/>
      <c r="S138" s="4"/>
      <c r="T138" s="4"/>
      <c r="U138" s="5"/>
      <c r="Y138" s="6" t="s">
        <v>4</v>
      </c>
      <c r="Z138" s="9"/>
      <c r="AA138" s="4"/>
      <c r="AB138" s="4"/>
      <c r="AC138" s="4"/>
      <c r="AD138" s="4"/>
      <c r="AE138" s="5"/>
      <c r="AH138" s="6" t="s">
        <v>4</v>
      </c>
      <c r="AI138" s="9"/>
      <c r="AJ138" s="4"/>
      <c r="AK138" s="4"/>
      <c r="AL138" s="4"/>
      <c r="AM138" s="4"/>
      <c r="AN138" s="5"/>
    </row>
    <row r="139" spans="1:40" ht="15.75" thickBot="1" x14ac:dyDescent="0.3">
      <c r="A139" s="99"/>
      <c r="B139" s="26"/>
      <c r="C139" s="27"/>
      <c r="D139" s="27"/>
      <c r="E139" s="27"/>
      <c r="F139" s="27">
        <f>SUM(C139-B139)</f>
        <v>0</v>
      </c>
      <c r="G139" s="20">
        <f>SUM(E139-D139)</f>
        <v>0</v>
      </c>
      <c r="H139" s="21">
        <f>SUM(F139:G139)</f>
        <v>0</v>
      </c>
      <c r="J139" s="7" t="s">
        <v>22</v>
      </c>
      <c r="K139" s="10"/>
      <c r="L139" s="11"/>
      <c r="M139" s="11"/>
      <c r="N139" s="11"/>
      <c r="O139" s="11"/>
      <c r="P139" s="11"/>
      <c r="Q139" s="11"/>
      <c r="R139" s="11"/>
      <c r="S139" s="11"/>
      <c r="T139" s="11"/>
      <c r="U139" s="12"/>
      <c r="Y139" s="7" t="s">
        <v>22</v>
      </c>
      <c r="Z139" s="10"/>
      <c r="AA139" s="11"/>
      <c r="AB139" s="11"/>
      <c r="AC139" s="11"/>
      <c r="AD139" s="11"/>
      <c r="AE139" s="12"/>
      <c r="AH139" s="7" t="s">
        <v>22</v>
      </c>
      <c r="AI139" s="10"/>
      <c r="AJ139" s="11"/>
      <c r="AK139" s="11"/>
      <c r="AL139" s="11"/>
      <c r="AM139" s="11"/>
      <c r="AN139" s="12"/>
    </row>
    <row r="140" spans="1:40" x14ac:dyDescent="0.25">
      <c r="J140" s="8"/>
      <c r="T140" s="8" t="s">
        <v>23</v>
      </c>
      <c r="U140" s="13">
        <f>SUM(K139:U139)</f>
        <v>0</v>
      </c>
      <c r="AD140" s="8" t="s">
        <v>23</v>
      </c>
      <c r="AE140" s="13">
        <f>SUM(Z139:AE139)</f>
        <v>0</v>
      </c>
      <c r="AM140" s="8" t="s">
        <v>23</v>
      </c>
      <c r="AN140" s="13">
        <f>SUM(AI139:AN139)</f>
        <v>0</v>
      </c>
    </row>
    <row r="141" spans="1:40" ht="15.75" thickBot="1" x14ac:dyDescent="0.3">
      <c r="A141" s="19"/>
      <c r="B141" s="97" t="s">
        <v>20</v>
      </c>
      <c r="C141" s="97"/>
      <c r="D141" s="97"/>
      <c r="E141" s="97"/>
      <c r="F141" s="97"/>
      <c r="G141" s="97"/>
      <c r="H141" s="97"/>
      <c r="J141" s="98" t="s">
        <v>20</v>
      </c>
      <c r="K141" s="98"/>
      <c r="L141" s="98"/>
      <c r="M141" s="98"/>
      <c r="N141" s="98"/>
      <c r="O141" s="98"/>
      <c r="P141" s="98"/>
      <c r="Q141" s="98"/>
      <c r="R141" s="98"/>
      <c r="S141" s="98"/>
      <c r="T141" s="98"/>
      <c r="U141" s="98"/>
      <c r="Y141" s="95" t="str">
        <f>J141</f>
        <v>Novembro</v>
      </c>
      <c r="Z141" s="95"/>
      <c r="AA141" s="95"/>
      <c r="AB141" s="95"/>
      <c r="AC141" s="95"/>
      <c r="AD141" s="95"/>
      <c r="AE141" s="95"/>
      <c r="AH141" s="96" t="str">
        <f>Y141</f>
        <v>Novembro</v>
      </c>
      <c r="AI141" s="96"/>
      <c r="AJ141" s="96"/>
      <c r="AK141" s="96"/>
      <c r="AL141" s="96"/>
      <c r="AM141" s="96"/>
      <c r="AN141" s="96"/>
    </row>
    <row r="142" spans="1:40" ht="15.75" thickBot="1" x14ac:dyDescent="0.3">
      <c r="A142" s="99" t="s">
        <v>5</v>
      </c>
      <c r="B142" s="34" t="s">
        <v>6</v>
      </c>
      <c r="C142" s="22" t="s">
        <v>7</v>
      </c>
      <c r="D142" s="33" t="s">
        <v>8</v>
      </c>
      <c r="E142" s="22" t="s">
        <v>9</v>
      </c>
      <c r="F142" s="24" t="s">
        <v>10</v>
      </c>
      <c r="G142" s="23" t="s">
        <v>11</v>
      </c>
      <c r="H142" s="25" t="s">
        <v>12</v>
      </c>
      <c r="J142" s="6" t="s">
        <v>4</v>
      </c>
      <c r="K142" s="9"/>
      <c r="L142" s="4"/>
      <c r="M142" s="4"/>
      <c r="N142" s="4"/>
      <c r="O142" s="4"/>
      <c r="P142" s="4"/>
      <c r="Q142" s="4"/>
      <c r="R142" s="4"/>
      <c r="S142" s="4"/>
      <c r="T142" s="4"/>
      <c r="U142" s="5"/>
      <c r="Y142" s="6" t="s">
        <v>4</v>
      </c>
      <c r="Z142" s="9"/>
      <c r="AA142" s="4"/>
      <c r="AB142" s="4"/>
      <c r="AC142" s="4"/>
      <c r="AD142" s="4"/>
      <c r="AE142" s="5"/>
      <c r="AH142" s="6" t="s">
        <v>4</v>
      </c>
      <c r="AI142" s="9"/>
      <c r="AJ142" s="4"/>
      <c r="AK142" s="4"/>
      <c r="AL142" s="4"/>
      <c r="AM142" s="4"/>
      <c r="AN142" s="5"/>
    </row>
    <row r="143" spans="1:40" ht="15.75" thickBot="1" x14ac:dyDescent="0.3">
      <c r="A143" s="99"/>
      <c r="B143" s="26"/>
      <c r="C143" s="27"/>
      <c r="D143" s="27"/>
      <c r="E143" s="27"/>
      <c r="F143" s="27">
        <f>SUM(C143-B143)</f>
        <v>0</v>
      </c>
      <c r="G143" s="20">
        <f>SUM(E143-D143)</f>
        <v>0</v>
      </c>
      <c r="H143" s="21">
        <f>SUM(F143:G143)</f>
        <v>0</v>
      </c>
      <c r="J143" s="7" t="s">
        <v>22</v>
      </c>
      <c r="K143" s="10"/>
      <c r="L143" s="11"/>
      <c r="M143" s="11"/>
      <c r="N143" s="11"/>
      <c r="O143" s="11"/>
      <c r="P143" s="11"/>
      <c r="Q143" s="11"/>
      <c r="R143" s="11"/>
      <c r="S143" s="11"/>
      <c r="T143" s="11"/>
      <c r="U143" s="12"/>
      <c r="Y143" s="7" t="s">
        <v>22</v>
      </c>
      <c r="Z143" s="10"/>
      <c r="AA143" s="11"/>
      <c r="AB143" s="11"/>
      <c r="AC143" s="11"/>
      <c r="AD143" s="11"/>
      <c r="AE143" s="12"/>
      <c r="AH143" s="7" t="s">
        <v>22</v>
      </c>
      <c r="AI143" s="10"/>
      <c r="AJ143" s="11"/>
      <c r="AK143" s="11"/>
      <c r="AL143" s="11"/>
      <c r="AM143" s="11"/>
      <c r="AN143" s="12"/>
    </row>
    <row r="144" spans="1:40" x14ac:dyDescent="0.25">
      <c r="J144" s="8"/>
      <c r="T144" s="8" t="s">
        <v>23</v>
      </c>
      <c r="U144" s="13">
        <f>SUM(K143:U143)</f>
        <v>0</v>
      </c>
      <c r="AD144" s="8" t="s">
        <v>23</v>
      </c>
      <c r="AE144" s="13">
        <f>SUM(Z143:AE143)</f>
        <v>0</v>
      </c>
      <c r="AM144" s="8" t="s">
        <v>23</v>
      </c>
      <c r="AN144" s="13">
        <f>SUM(AI143:AN143)</f>
        <v>0</v>
      </c>
    </row>
    <row r="145" spans="1:40" ht="15.75" thickBot="1" x14ac:dyDescent="0.3">
      <c r="A145" s="19"/>
      <c r="B145" s="97" t="s">
        <v>21</v>
      </c>
      <c r="C145" s="97"/>
      <c r="D145" s="97"/>
      <c r="E145" s="97"/>
      <c r="F145" s="97"/>
      <c r="G145" s="97"/>
      <c r="H145" s="97"/>
      <c r="J145" s="98" t="s">
        <v>21</v>
      </c>
      <c r="K145" s="98"/>
      <c r="L145" s="98"/>
      <c r="M145" s="98"/>
      <c r="N145" s="98"/>
      <c r="O145" s="98"/>
      <c r="P145" s="98"/>
      <c r="Q145" s="98"/>
      <c r="R145" s="98"/>
      <c r="S145" s="98"/>
      <c r="T145" s="98"/>
      <c r="U145" s="98"/>
      <c r="Y145" s="95" t="str">
        <f>J145</f>
        <v>Dezembro</v>
      </c>
      <c r="Z145" s="95"/>
      <c r="AA145" s="95"/>
      <c r="AB145" s="95"/>
      <c r="AC145" s="95"/>
      <c r="AD145" s="95"/>
      <c r="AE145" s="95"/>
      <c r="AH145" s="96" t="str">
        <f>Y145</f>
        <v>Dezembro</v>
      </c>
      <c r="AI145" s="96"/>
      <c r="AJ145" s="96"/>
      <c r="AK145" s="96"/>
      <c r="AL145" s="96"/>
      <c r="AM145" s="96"/>
      <c r="AN145" s="96"/>
    </row>
    <row r="146" spans="1:40" ht="15.75" thickBot="1" x14ac:dyDescent="0.3">
      <c r="A146" s="99" t="s">
        <v>5</v>
      </c>
      <c r="B146" s="34" t="s">
        <v>6</v>
      </c>
      <c r="C146" s="22" t="s">
        <v>7</v>
      </c>
      <c r="D146" s="33" t="s">
        <v>8</v>
      </c>
      <c r="E146" s="22" t="s">
        <v>9</v>
      </c>
      <c r="F146" s="24" t="s">
        <v>10</v>
      </c>
      <c r="G146" s="23" t="s">
        <v>11</v>
      </c>
      <c r="H146" s="25" t="s">
        <v>12</v>
      </c>
      <c r="J146" s="6" t="s">
        <v>4</v>
      </c>
      <c r="K146" s="9"/>
      <c r="L146" s="4"/>
      <c r="M146" s="4"/>
      <c r="N146" s="4"/>
      <c r="O146" s="4"/>
      <c r="P146" s="4"/>
      <c r="Q146" s="4"/>
      <c r="R146" s="4"/>
      <c r="S146" s="4"/>
      <c r="T146" s="4"/>
      <c r="U146" s="5"/>
      <c r="Y146" s="6" t="s">
        <v>4</v>
      </c>
      <c r="Z146" s="9"/>
      <c r="AA146" s="4"/>
      <c r="AB146" s="4"/>
      <c r="AC146" s="4"/>
      <c r="AD146" s="4"/>
      <c r="AE146" s="5"/>
      <c r="AH146" s="6" t="s">
        <v>4</v>
      </c>
      <c r="AI146" s="9"/>
      <c r="AJ146" s="4"/>
      <c r="AK146" s="4"/>
      <c r="AL146" s="4"/>
      <c r="AM146" s="4"/>
      <c r="AN146" s="5"/>
    </row>
    <row r="147" spans="1:40" ht="15.75" thickBot="1" x14ac:dyDescent="0.3">
      <c r="A147" s="99"/>
      <c r="B147" s="26"/>
      <c r="C147" s="27"/>
      <c r="D147" s="27"/>
      <c r="E147" s="27"/>
      <c r="F147" s="27">
        <f>SUM(C147-B147)</f>
        <v>0</v>
      </c>
      <c r="G147" s="20">
        <f>SUM(E147-D147)</f>
        <v>0</v>
      </c>
      <c r="H147" s="21">
        <f>SUM(F147:G147)</f>
        <v>0</v>
      </c>
      <c r="J147" s="7" t="s">
        <v>22</v>
      </c>
      <c r="K147" s="10"/>
      <c r="L147" s="11"/>
      <c r="M147" s="11"/>
      <c r="N147" s="11"/>
      <c r="O147" s="11"/>
      <c r="P147" s="11"/>
      <c r="Q147" s="11"/>
      <c r="R147" s="11"/>
      <c r="S147" s="11"/>
      <c r="T147" s="11"/>
      <c r="U147" s="12"/>
      <c r="Y147" s="7" t="s">
        <v>22</v>
      </c>
      <c r="Z147" s="10"/>
      <c r="AA147" s="11"/>
      <c r="AB147" s="11"/>
      <c r="AC147" s="11"/>
      <c r="AD147" s="11"/>
      <c r="AE147" s="12"/>
      <c r="AH147" s="7" t="s">
        <v>22</v>
      </c>
      <c r="AI147" s="10"/>
      <c r="AJ147" s="11"/>
      <c r="AK147" s="11"/>
      <c r="AL147" s="11"/>
      <c r="AM147" s="11"/>
      <c r="AN147" s="12"/>
    </row>
    <row r="148" spans="1:40" x14ac:dyDescent="0.25">
      <c r="J148" s="8"/>
      <c r="T148" s="8" t="s">
        <v>23</v>
      </c>
      <c r="U148" s="13">
        <f>SUM(K147:U147)</f>
        <v>0</v>
      </c>
      <c r="AD148" s="8" t="s">
        <v>23</v>
      </c>
      <c r="AE148" s="13">
        <f>SUM(Z147:AE147)</f>
        <v>0</v>
      </c>
      <c r="AM148" s="8" t="s">
        <v>23</v>
      </c>
      <c r="AN148" s="13">
        <f>SUM(AI147:AN147)</f>
        <v>0</v>
      </c>
    </row>
  </sheetData>
  <mergeCells count="183">
    <mergeCell ref="AH73:AN73"/>
    <mergeCell ref="A74:A75"/>
    <mergeCell ref="B53:H53"/>
    <mergeCell ref="J53:U53"/>
    <mergeCell ref="W53:AC53"/>
    <mergeCell ref="AE53:AK53"/>
    <mergeCell ref="A54:A55"/>
    <mergeCell ref="B61:H61"/>
    <mergeCell ref="J61:U61"/>
    <mergeCell ref="Y61:AE61"/>
    <mergeCell ref="AH61:AN61"/>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B2:C2"/>
    <mergeCell ref="E2:F2"/>
    <mergeCell ref="B4:C4"/>
    <mergeCell ref="E4:F4"/>
    <mergeCell ref="A7:H7"/>
    <mergeCell ref="A14:A15"/>
    <mergeCell ref="W7:AC7"/>
    <mergeCell ref="AE7:AK7"/>
    <mergeCell ref="B9:H9"/>
    <mergeCell ref="J9:U9"/>
    <mergeCell ref="W9:AC9"/>
    <mergeCell ref="AE9:AK9"/>
    <mergeCell ref="J7:U7"/>
    <mergeCell ref="A10:A11"/>
    <mergeCell ref="B13:H13"/>
    <mergeCell ref="J13:U13"/>
    <mergeCell ref="W13:AC13"/>
    <mergeCell ref="AE13:AK13"/>
    <mergeCell ref="B77:H77"/>
    <mergeCell ref="J77:U77"/>
    <mergeCell ref="Y77:AE77"/>
    <mergeCell ref="AH77:AN77"/>
    <mergeCell ref="A78:A79"/>
    <mergeCell ref="B57:H57"/>
    <mergeCell ref="J57:U57"/>
    <mergeCell ref="W57:AC57"/>
    <mergeCell ref="AE57:AK57"/>
    <mergeCell ref="A58:A59"/>
    <mergeCell ref="A62:A63"/>
    <mergeCell ref="B65:H65"/>
    <mergeCell ref="J65:U65"/>
    <mergeCell ref="Y65:AE65"/>
    <mergeCell ref="AH65:AN65"/>
    <mergeCell ref="A66:A67"/>
    <mergeCell ref="B69:H69"/>
    <mergeCell ref="J69:U69"/>
    <mergeCell ref="Y69:AE69"/>
    <mergeCell ref="AH69:AN69"/>
    <mergeCell ref="A70:A71"/>
    <mergeCell ref="B73:H73"/>
    <mergeCell ref="J73:U73"/>
    <mergeCell ref="Y73:AE73"/>
    <mergeCell ref="B85:H85"/>
    <mergeCell ref="J85:U85"/>
    <mergeCell ref="Y85:AE85"/>
    <mergeCell ref="AH85:AN85"/>
    <mergeCell ref="A86:A87"/>
    <mergeCell ref="B81:H81"/>
    <mergeCell ref="J81:U81"/>
    <mergeCell ref="Y81:AE81"/>
    <mergeCell ref="AH81:AN81"/>
    <mergeCell ref="A82:A83"/>
    <mergeCell ref="B93:H93"/>
    <mergeCell ref="J93:U93"/>
    <mergeCell ref="Y93:AE93"/>
    <mergeCell ref="AH93:AN93"/>
    <mergeCell ref="A94:A95"/>
    <mergeCell ref="B89:H89"/>
    <mergeCell ref="J89:U89"/>
    <mergeCell ref="Y89:AE89"/>
    <mergeCell ref="AH89:AN89"/>
    <mergeCell ref="A90:A91"/>
    <mergeCell ref="B97:H97"/>
    <mergeCell ref="J97:U97"/>
    <mergeCell ref="Y97:AE97"/>
    <mergeCell ref="AH97:AN97"/>
    <mergeCell ref="A98:A99"/>
    <mergeCell ref="B101:H101"/>
    <mergeCell ref="J101:U101"/>
    <mergeCell ref="Y101:AE101"/>
    <mergeCell ref="AH101:AN101"/>
    <mergeCell ref="A102:A103"/>
    <mergeCell ref="B105:H105"/>
    <mergeCell ref="J105:U105"/>
    <mergeCell ref="Y105:AE105"/>
    <mergeCell ref="AH105:AN105"/>
    <mergeCell ref="A106:A107"/>
    <mergeCell ref="B109:H109"/>
    <mergeCell ref="J109:U109"/>
    <mergeCell ref="Y109:AE109"/>
    <mergeCell ref="AH109:AN109"/>
    <mergeCell ref="A110:A111"/>
    <mergeCell ref="B113:H113"/>
    <mergeCell ref="J113:U113"/>
    <mergeCell ref="Y113:AE113"/>
    <mergeCell ref="AH113:AN113"/>
    <mergeCell ref="A114:A115"/>
    <mergeCell ref="B117:H117"/>
    <mergeCell ref="J117:U117"/>
    <mergeCell ref="Y117:AE117"/>
    <mergeCell ref="AH117:AN117"/>
    <mergeCell ref="A118:A119"/>
    <mergeCell ref="B121:H121"/>
    <mergeCell ref="J121:U121"/>
    <mergeCell ref="Y121:AE121"/>
    <mergeCell ref="AH121:AN121"/>
    <mergeCell ref="A122:A123"/>
    <mergeCell ref="B125:H125"/>
    <mergeCell ref="J125:U125"/>
    <mergeCell ref="Y125:AE125"/>
    <mergeCell ref="AH125:AN125"/>
    <mergeCell ref="A126:A127"/>
    <mergeCell ref="B129:H129"/>
    <mergeCell ref="J129:U129"/>
    <mergeCell ref="Y129:AE129"/>
    <mergeCell ref="AH129:AN129"/>
    <mergeCell ref="A130:A131"/>
    <mergeCell ref="B133:H133"/>
    <mergeCell ref="J133:U133"/>
    <mergeCell ref="Y133:AE133"/>
    <mergeCell ref="AH133:AN133"/>
    <mergeCell ref="A142:A143"/>
    <mergeCell ref="B145:H145"/>
    <mergeCell ref="J145:U145"/>
    <mergeCell ref="Y145:AE145"/>
    <mergeCell ref="AH145:AN145"/>
    <mergeCell ref="A146:A147"/>
    <mergeCell ref="A134:A135"/>
    <mergeCell ref="B137:H137"/>
    <mergeCell ref="J137:U137"/>
    <mergeCell ref="Y137:AE137"/>
    <mergeCell ref="AH137:AN137"/>
    <mergeCell ref="A138:A139"/>
    <mergeCell ref="B141:H141"/>
    <mergeCell ref="J141:U141"/>
    <mergeCell ref="Y141:AE141"/>
    <mergeCell ref="AH141:AN141"/>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96"/>
  <sheetViews>
    <sheetView showGridLines="0" topLeftCell="A40" workbookViewId="0">
      <selection activeCell="I86" sqref="I8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3" width="10.42578125" bestFit="1" customWidth="1"/>
    <col min="14" max="16" width="10.5703125" bestFit="1" customWidth="1"/>
    <col min="21" max="21" width="12.140625" bestFit="1" customWidth="1"/>
    <col min="26" max="26" width="10.42578125" bestFit="1" customWidth="1"/>
    <col min="37" max="39" width="10.140625" bestFit="1" customWidth="1"/>
  </cols>
  <sheetData>
    <row r="2" spans="1:40" x14ac:dyDescent="0.25">
      <c r="A2" t="s">
        <v>0</v>
      </c>
      <c r="B2" s="100" t="s">
        <v>70</v>
      </c>
      <c r="C2" s="100"/>
      <c r="D2" s="1" t="s">
        <v>1</v>
      </c>
      <c r="E2" s="100" t="s">
        <v>96</v>
      </c>
      <c r="F2" s="100"/>
      <c r="H2" t="s">
        <v>45</v>
      </c>
      <c r="I2" s="54">
        <v>5325</v>
      </c>
    </row>
    <row r="3" spans="1:40" x14ac:dyDescent="0.25">
      <c r="F3" s="1"/>
    </row>
    <row r="4" spans="1:40" x14ac:dyDescent="0.25">
      <c r="A4" t="s">
        <v>2</v>
      </c>
      <c r="B4" s="101">
        <v>3500</v>
      </c>
      <c r="C4" s="101"/>
      <c r="D4" s="1" t="s">
        <v>29</v>
      </c>
      <c r="E4" s="111">
        <v>50</v>
      </c>
      <c r="F4" s="100"/>
      <c r="H4" t="s">
        <v>65</v>
      </c>
      <c r="I4" s="67">
        <v>45566</v>
      </c>
      <c r="J4" s="1" t="s">
        <v>123</v>
      </c>
      <c r="K4" s="67">
        <v>45861</v>
      </c>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v>45573</v>
      </c>
      <c r="L42" s="66">
        <v>45575</v>
      </c>
      <c r="M42" s="66">
        <v>45589</v>
      </c>
      <c r="N42" s="66"/>
      <c r="O42" s="66"/>
      <c r="P42" s="66"/>
      <c r="Q42" s="66"/>
      <c r="R42" s="66"/>
      <c r="S42" s="66"/>
      <c r="T42" s="66"/>
      <c r="U42" s="71"/>
      <c r="Y42" s="6" t="s">
        <v>4</v>
      </c>
      <c r="Z42" s="9"/>
      <c r="AA42" s="4"/>
      <c r="AB42" s="4"/>
      <c r="AC42" s="4"/>
      <c r="AD42" s="4"/>
      <c r="AE42" s="5"/>
      <c r="AH42" s="6" t="s">
        <v>4</v>
      </c>
      <c r="AI42" s="9"/>
      <c r="AJ42" s="4"/>
      <c r="AK42" s="4"/>
      <c r="AL42" s="4"/>
      <c r="AM42" s="4"/>
      <c r="AN42" s="5"/>
    </row>
    <row r="43" spans="1:40" ht="15.75" thickBot="1" x14ac:dyDescent="0.3">
      <c r="A43" s="99"/>
      <c r="B43" s="26">
        <v>39431</v>
      </c>
      <c r="C43" s="27"/>
      <c r="D43" s="27"/>
      <c r="E43" s="27">
        <v>40385</v>
      </c>
      <c r="F43" s="27">
        <f>SUM(C43-B43)</f>
        <v>-39431</v>
      </c>
      <c r="G43" s="20">
        <f>SUM(E43-D43)</f>
        <v>40385</v>
      </c>
      <c r="H43" s="21">
        <f>SUM(F43:G43)</f>
        <v>954</v>
      </c>
      <c r="J43" s="7" t="s">
        <v>22</v>
      </c>
      <c r="K43" s="10">
        <v>266.02999999999997</v>
      </c>
      <c r="L43" s="11">
        <v>206.2</v>
      </c>
      <c r="M43" s="11">
        <v>200</v>
      </c>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672.23</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v>45601</v>
      </c>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v>228</v>
      </c>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228</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v>45629</v>
      </c>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v>41336</v>
      </c>
      <c r="C51" s="27">
        <v>41829</v>
      </c>
      <c r="D51" s="27">
        <v>41829</v>
      </c>
      <c r="E51" s="27">
        <v>42382</v>
      </c>
      <c r="F51" s="27">
        <f>SUM(C51-B51)</f>
        <v>493</v>
      </c>
      <c r="G51" s="20">
        <f>SUM(E51-D51)</f>
        <v>553</v>
      </c>
      <c r="H51" s="21">
        <f>SUM(F51:G51)</f>
        <v>1046</v>
      </c>
      <c r="J51" s="7" t="s">
        <v>22</v>
      </c>
      <c r="K51" s="10">
        <v>234.98</v>
      </c>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234.98</v>
      </c>
      <c r="AD52" s="8" t="s">
        <v>23</v>
      </c>
      <c r="AE52" s="13">
        <f>SUM(Z51:AE51)</f>
        <v>0</v>
      </c>
      <c r="AM52" s="8" t="s">
        <v>23</v>
      </c>
      <c r="AN52" s="13">
        <f>SUM(AI51:AN51)</f>
        <v>0</v>
      </c>
    </row>
    <row r="53" spans="1:40" ht="15.75" thickBot="1" x14ac:dyDescent="0.3">
      <c r="A53" s="19"/>
      <c r="B53" s="97" t="s">
        <v>102</v>
      </c>
      <c r="C53" s="97"/>
      <c r="D53" s="97"/>
      <c r="E53" s="97"/>
      <c r="F53" s="97"/>
      <c r="G53" s="97"/>
      <c r="H53" s="97"/>
      <c r="J53" s="98" t="s">
        <v>102</v>
      </c>
      <c r="K53" s="98"/>
      <c r="L53" s="98"/>
      <c r="M53" s="98"/>
      <c r="N53" s="98"/>
      <c r="O53" s="98"/>
      <c r="P53" s="98"/>
      <c r="Q53" s="98"/>
      <c r="R53" s="98"/>
      <c r="S53" s="98"/>
      <c r="T53" s="98"/>
      <c r="U53" s="98"/>
      <c r="Y53" s="95" t="str">
        <f>J53</f>
        <v>Janeiro</v>
      </c>
      <c r="Z53" s="95"/>
      <c r="AA53" s="95"/>
      <c r="AB53" s="95"/>
      <c r="AC53" s="95"/>
      <c r="AD53" s="95"/>
      <c r="AE53" s="95"/>
      <c r="AH53" s="96" t="str">
        <f>Y53</f>
        <v>Janeiro</v>
      </c>
      <c r="AI53" s="96"/>
      <c r="AJ53" s="96"/>
      <c r="AK53" s="96"/>
      <c r="AL53" s="96"/>
      <c r="AM53" s="96"/>
      <c r="AN53" s="96"/>
    </row>
    <row r="54" spans="1:40" ht="15.75" thickBot="1" x14ac:dyDescent="0.3">
      <c r="A54" s="99" t="s">
        <v>5</v>
      </c>
      <c r="B54" s="34" t="s">
        <v>6</v>
      </c>
      <c r="C54" s="22" t="s">
        <v>7</v>
      </c>
      <c r="D54" s="33" t="s">
        <v>8</v>
      </c>
      <c r="E54" s="22" t="s">
        <v>9</v>
      </c>
      <c r="F54" s="24" t="s">
        <v>10</v>
      </c>
      <c r="G54" s="23" t="s">
        <v>11</v>
      </c>
      <c r="H54" s="25" t="s">
        <v>12</v>
      </c>
      <c r="J54" s="6" t="s">
        <v>4</v>
      </c>
      <c r="K54" s="9">
        <v>45666</v>
      </c>
      <c r="L54" s="66">
        <v>45678</v>
      </c>
      <c r="M54" s="4"/>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99"/>
      <c r="B55" s="26">
        <v>42382</v>
      </c>
      <c r="C55" s="27">
        <v>42650</v>
      </c>
      <c r="D55" s="27">
        <v>42650</v>
      </c>
      <c r="E55" s="27">
        <v>43068</v>
      </c>
      <c r="F55" s="27">
        <f>SUM(C55-B55)</f>
        <v>268</v>
      </c>
      <c r="G55" s="20">
        <f>SUM(E55-D55)</f>
        <v>418</v>
      </c>
      <c r="H55" s="21">
        <f>SUM(F55:G55)</f>
        <v>686</v>
      </c>
      <c r="J55" s="7" t="s">
        <v>22</v>
      </c>
      <c r="K55" s="10">
        <v>279.95</v>
      </c>
      <c r="L55" s="11">
        <v>167.36</v>
      </c>
      <c r="M55" s="11"/>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447.31</v>
      </c>
      <c r="AD56" s="8" t="s">
        <v>23</v>
      </c>
      <c r="AE56" s="13">
        <f>SUM(Z55:AE55)</f>
        <v>0</v>
      </c>
      <c r="AM56" s="8" t="s">
        <v>23</v>
      </c>
      <c r="AN56" s="13">
        <f>SUM(AI55:AN55)</f>
        <v>0</v>
      </c>
    </row>
    <row r="57" spans="1:40" ht="15.75" thickBot="1" x14ac:dyDescent="0.3">
      <c r="A57" s="19"/>
      <c r="B57" s="97" t="s">
        <v>3</v>
      </c>
      <c r="C57" s="97"/>
      <c r="D57" s="97"/>
      <c r="E57" s="97"/>
      <c r="F57" s="97"/>
      <c r="G57" s="97"/>
      <c r="H57" s="97"/>
      <c r="J57" s="98" t="s">
        <v>3</v>
      </c>
      <c r="K57" s="98"/>
      <c r="L57" s="98"/>
      <c r="M57" s="98"/>
      <c r="N57" s="98"/>
      <c r="O57" s="98"/>
      <c r="P57" s="98"/>
      <c r="Q57" s="98"/>
      <c r="R57" s="98"/>
      <c r="S57" s="98"/>
      <c r="T57" s="98"/>
      <c r="U57" s="98"/>
      <c r="Y57" s="95" t="str">
        <f>J57</f>
        <v>Fevereiro</v>
      </c>
      <c r="Z57" s="95"/>
      <c r="AA57" s="95"/>
      <c r="AB57" s="95"/>
      <c r="AC57" s="95"/>
      <c r="AD57" s="95"/>
      <c r="AE57" s="95"/>
      <c r="AH57" s="96" t="str">
        <f>Y57</f>
        <v>Fevereiro</v>
      </c>
      <c r="AI57" s="96"/>
      <c r="AJ57" s="96"/>
      <c r="AK57" s="96"/>
      <c r="AL57" s="96"/>
      <c r="AM57" s="96"/>
      <c r="AN57" s="96"/>
    </row>
    <row r="58" spans="1:40" ht="15.75" thickBot="1" x14ac:dyDescent="0.3">
      <c r="A58" s="99" t="s">
        <v>5</v>
      </c>
      <c r="B58" s="34" t="s">
        <v>6</v>
      </c>
      <c r="C58" s="22" t="s">
        <v>7</v>
      </c>
      <c r="D58" s="33" t="s">
        <v>8</v>
      </c>
      <c r="E58" s="22" t="s">
        <v>9</v>
      </c>
      <c r="F58" s="24" t="s">
        <v>10</v>
      </c>
      <c r="G58" s="23" t="s">
        <v>11</v>
      </c>
      <c r="H58" s="25" t="s">
        <v>12</v>
      </c>
      <c r="J58" s="6" t="s">
        <v>4</v>
      </c>
      <c r="K58" s="9">
        <v>45694</v>
      </c>
      <c r="L58" s="66">
        <v>45701</v>
      </c>
      <c r="M58" s="66">
        <v>45704</v>
      </c>
      <c r="N58" s="66">
        <v>45706</v>
      </c>
      <c r="O58" s="66">
        <v>45710</v>
      </c>
      <c r="P58" s="66">
        <v>45712</v>
      </c>
      <c r="Q58" s="4"/>
      <c r="R58" s="4"/>
      <c r="S58" s="4"/>
      <c r="T58" s="4"/>
      <c r="U58" s="5"/>
      <c r="Y58" s="6" t="s">
        <v>4</v>
      </c>
      <c r="Z58" s="9"/>
      <c r="AA58" s="4"/>
      <c r="AB58" s="4"/>
      <c r="AC58" s="4"/>
      <c r="AD58" s="4"/>
      <c r="AE58" s="5"/>
      <c r="AH58" s="6" t="s">
        <v>4</v>
      </c>
      <c r="AI58" s="9"/>
      <c r="AJ58" s="4"/>
      <c r="AK58" s="4"/>
      <c r="AL58" s="4"/>
      <c r="AM58" s="4"/>
      <c r="AN58" s="5"/>
    </row>
    <row r="59" spans="1:40" ht="15.75" thickBot="1" x14ac:dyDescent="0.3">
      <c r="A59" s="99"/>
      <c r="B59" s="26">
        <v>43068</v>
      </c>
      <c r="C59" s="27">
        <v>43451</v>
      </c>
      <c r="D59" s="27">
        <v>43451</v>
      </c>
      <c r="E59" s="27">
        <v>45623</v>
      </c>
      <c r="F59" s="27">
        <f>SUM(C59-B59)</f>
        <v>383</v>
      </c>
      <c r="G59" s="20">
        <f>SUM(E59-D59)</f>
        <v>2172</v>
      </c>
      <c r="H59" s="21">
        <f>SUM(F59:G59)</f>
        <v>2555</v>
      </c>
      <c r="J59" s="7" t="s">
        <v>22</v>
      </c>
      <c r="K59" s="10">
        <v>182.89</v>
      </c>
      <c r="L59" s="11">
        <v>118.3</v>
      </c>
      <c r="M59" s="11">
        <v>182.09</v>
      </c>
      <c r="N59" s="11">
        <v>223.02</v>
      </c>
      <c r="O59" s="11">
        <v>199.2</v>
      </c>
      <c r="P59" s="11">
        <v>270.01</v>
      </c>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1175.51</v>
      </c>
      <c r="AD60" s="8" t="s">
        <v>23</v>
      </c>
      <c r="AE60" s="13">
        <f>SUM(Z59:AE59)</f>
        <v>0</v>
      </c>
      <c r="AM60" s="8" t="s">
        <v>23</v>
      </c>
      <c r="AN60" s="13">
        <f>SUM(AI59:AN59)</f>
        <v>0</v>
      </c>
    </row>
    <row r="61" spans="1:40" ht="15.75" thickBot="1" x14ac:dyDescent="0.3">
      <c r="A61" s="19"/>
      <c r="B61" s="97" t="s">
        <v>13</v>
      </c>
      <c r="C61" s="97"/>
      <c r="D61" s="97"/>
      <c r="E61" s="97"/>
      <c r="F61" s="97"/>
      <c r="G61" s="97"/>
      <c r="H61" s="97"/>
      <c r="J61" s="98" t="s">
        <v>13</v>
      </c>
      <c r="K61" s="98"/>
      <c r="L61" s="98"/>
      <c r="M61" s="98"/>
      <c r="N61" s="98"/>
      <c r="O61" s="98"/>
      <c r="P61" s="98"/>
      <c r="Q61" s="98"/>
      <c r="R61" s="98"/>
      <c r="S61" s="98"/>
      <c r="T61" s="98"/>
      <c r="U61" s="98"/>
      <c r="Y61" s="95" t="str">
        <f>J61</f>
        <v>Março</v>
      </c>
      <c r="Z61" s="95"/>
      <c r="AA61" s="95"/>
      <c r="AB61" s="95"/>
      <c r="AC61" s="95"/>
      <c r="AD61" s="95"/>
      <c r="AE61" s="95"/>
      <c r="AH61" s="96" t="str">
        <f>Y61</f>
        <v>Março</v>
      </c>
      <c r="AI61" s="96"/>
      <c r="AJ61" s="96"/>
      <c r="AK61" s="96"/>
      <c r="AL61" s="96"/>
      <c r="AM61" s="96"/>
      <c r="AN61" s="96"/>
    </row>
    <row r="62" spans="1:40" ht="15.75" thickBot="1" x14ac:dyDescent="0.3">
      <c r="A62" s="99" t="s">
        <v>5</v>
      </c>
      <c r="B62" s="34" t="s">
        <v>6</v>
      </c>
      <c r="C62" s="22" t="s">
        <v>7</v>
      </c>
      <c r="D62" s="33" t="s">
        <v>8</v>
      </c>
      <c r="E62" s="22" t="s">
        <v>9</v>
      </c>
      <c r="F62" s="24" t="s">
        <v>10</v>
      </c>
      <c r="G62" s="23" t="s">
        <v>11</v>
      </c>
      <c r="H62" s="25" t="s">
        <v>12</v>
      </c>
      <c r="J62" s="6" t="s">
        <v>4</v>
      </c>
      <c r="K62" s="9">
        <v>45722</v>
      </c>
      <c r="L62" s="66">
        <v>45734</v>
      </c>
      <c r="M62" s="66">
        <v>45736</v>
      </c>
      <c r="N62" s="4"/>
      <c r="O62" s="4"/>
      <c r="P62" s="4"/>
      <c r="Q62" s="4"/>
      <c r="R62" s="4"/>
      <c r="S62" s="4"/>
      <c r="T62" s="4"/>
      <c r="U62" s="5"/>
      <c r="Y62" s="6" t="s">
        <v>4</v>
      </c>
      <c r="Z62" s="9">
        <v>45747</v>
      </c>
      <c r="AA62" s="4"/>
      <c r="AB62" s="4"/>
      <c r="AC62" s="4"/>
      <c r="AD62" s="4"/>
      <c r="AE62" s="5"/>
      <c r="AH62" s="6" t="s">
        <v>4</v>
      </c>
      <c r="AI62" s="9"/>
      <c r="AJ62" s="4"/>
      <c r="AK62" s="4"/>
      <c r="AL62" s="4"/>
      <c r="AM62" s="4"/>
      <c r="AN62" s="5"/>
    </row>
    <row r="63" spans="1:40" ht="15.75" thickBot="1" x14ac:dyDescent="0.3">
      <c r="A63" s="99"/>
      <c r="B63" s="26">
        <v>45656</v>
      </c>
      <c r="C63" s="27">
        <v>46809</v>
      </c>
      <c r="D63" s="27">
        <v>46809</v>
      </c>
      <c r="E63" s="27">
        <v>47249</v>
      </c>
      <c r="F63" s="27">
        <f>SUM(C63-B63)</f>
        <v>1153</v>
      </c>
      <c r="G63" s="20">
        <f>SUM(E63-D63)</f>
        <v>440</v>
      </c>
      <c r="H63" s="21">
        <f>SUM(F63:G63)</f>
        <v>1593</v>
      </c>
      <c r="J63" s="7" t="s">
        <v>22</v>
      </c>
      <c r="K63" s="10">
        <v>128.69</v>
      </c>
      <c r="L63" s="11">
        <v>129.99</v>
      </c>
      <c r="M63" s="11">
        <v>181.91</v>
      </c>
      <c r="N63" s="11"/>
      <c r="O63" s="11"/>
      <c r="P63" s="11"/>
      <c r="Q63" s="11"/>
      <c r="R63" s="11"/>
      <c r="S63" s="11"/>
      <c r="T63" s="11"/>
      <c r="U63" s="12"/>
      <c r="Y63" s="7" t="s">
        <v>22</v>
      </c>
      <c r="Z63" s="10">
        <v>50</v>
      </c>
      <c r="AA63" s="11"/>
      <c r="AB63" s="11"/>
      <c r="AC63" s="11"/>
      <c r="AD63" s="11"/>
      <c r="AE63" s="12"/>
      <c r="AH63" s="7" t="s">
        <v>22</v>
      </c>
      <c r="AI63" s="10"/>
      <c r="AJ63" s="11"/>
      <c r="AK63" s="11"/>
      <c r="AL63" s="11"/>
      <c r="AM63" s="11"/>
      <c r="AN63" s="12"/>
    </row>
    <row r="64" spans="1:40" x14ac:dyDescent="0.25">
      <c r="J64" s="8"/>
      <c r="T64" s="8" t="s">
        <v>23</v>
      </c>
      <c r="U64" s="13">
        <f>SUM(K63:U63)</f>
        <v>440.59000000000003</v>
      </c>
      <c r="AD64" s="8" t="s">
        <v>23</v>
      </c>
      <c r="AE64" s="13">
        <f>SUM(Z63:AE63)</f>
        <v>50</v>
      </c>
      <c r="AM64" s="8" t="s">
        <v>23</v>
      </c>
      <c r="AN64" s="13">
        <f>SUM(AI63:AN63)</f>
        <v>0</v>
      </c>
    </row>
    <row r="65" spans="1:40" ht="15.75" thickBot="1" x14ac:dyDescent="0.3">
      <c r="A65" s="19"/>
      <c r="B65" s="97" t="s">
        <v>14</v>
      </c>
      <c r="C65" s="97"/>
      <c r="D65" s="97"/>
      <c r="E65" s="97"/>
      <c r="F65" s="97"/>
      <c r="G65" s="97"/>
      <c r="H65" s="97"/>
      <c r="J65" s="98" t="s">
        <v>14</v>
      </c>
      <c r="K65" s="98"/>
      <c r="L65" s="98"/>
      <c r="M65" s="98"/>
      <c r="N65" s="98"/>
      <c r="O65" s="98"/>
      <c r="P65" s="98"/>
      <c r="Q65" s="98"/>
      <c r="R65" s="98"/>
      <c r="S65" s="98"/>
      <c r="T65" s="98"/>
      <c r="U65" s="98"/>
      <c r="Y65" s="95" t="str">
        <f>J65</f>
        <v>Abril</v>
      </c>
      <c r="Z65" s="95"/>
      <c r="AA65" s="95"/>
      <c r="AB65" s="95"/>
      <c r="AC65" s="95"/>
      <c r="AD65" s="95"/>
      <c r="AE65" s="95"/>
      <c r="AH65" s="96" t="str">
        <f>Y65</f>
        <v>Abril</v>
      </c>
      <c r="AI65" s="96"/>
      <c r="AJ65" s="96"/>
      <c r="AK65" s="96"/>
      <c r="AL65" s="96"/>
      <c r="AM65" s="96"/>
      <c r="AN65" s="96"/>
    </row>
    <row r="66" spans="1:40" ht="15.75" thickBot="1" x14ac:dyDescent="0.3">
      <c r="A66" s="99" t="s">
        <v>5</v>
      </c>
      <c r="B66" s="34" t="s">
        <v>6</v>
      </c>
      <c r="C66" s="22" t="s">
        <v>7</v>
      </c>
      <c r="D66" s="33" t="s">
        <v>8</v>
      </c>
      <c r="E66" s="22" t="s">
        <v>9</v>
      </c>
      <c r="F66" s="24" t="s">
        <v>10</v>
      </c>
      <c r="G66" s="23" t="s">
        <v>11</v>
      </c>
      <c r="H66" s="25" t="s">
        <v>12</v>
      </c>
      <c r="J66" s="6" t="s">
        <v>4</v>
      </c>
      <c r="K66" s="9">
        <v>45750</v>
      </c>
      <c r="L66" s="66">
        <v>45757</v>
      </c>
      <c r="M66" s="66">
        <v>45771</v>
      </c>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9"/>
      <c r="B67" s="27">
        <v>47249</v>
      </c>
      <c r="C67" s="27">
        <v>47783</v>
      </c>
      <c r="D67" s="27">
        <v>47783</v>
      </c>
      <c r="E67" s="27">
        <v>48200</v>
      </c>
      <c r="F67" s="27">
        <f>SUM(C67-B67)</f>
        <v>534</v>
      </c>
      <c r="G67" s="20">
        <f>SUM(E67-D67)</f>
        <v>417</v>
      </c>
      <c r="H67" s="21">
        <f>SUM(F67:G67)</f>
        <v>951</v>
      </c>
      <c r="J67" s="7" t="s">
        <v>22</v>
      </c>
      <c r="K67" s="30">
        <v>275.35000000000002</v>
      </c>
      <c r="L67" s="31">
        <v>132.49</v>
      </c>
      <c r="M67" s="31">
        <v>221.93</v>
      </c>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629.77</v>
      </c>
      <c r="AD68" s="8" t="s">
        <v>23</v>
      </c>
      <c r="AE68" s="13">
        <f>SUM(Z67:AE67)</f>
        <v>0</v>
      </c>
      <c r="AM68" s="8" t="s">
        <v>23</v>
      </c>
      <c r="AN68" s="13">
        <f>SUM(AI67:AN67)</f>
        <v>0</v>
      </c>
    </row>
    <row r="69" spans="1:40" ht="15.75" thickBot="1" x14ac:dyDescent="0.3">
      <c r="A69" s="19"/>
      <c r="B69" s="97" t="s">
        <v>15</v>
      </c>
      <c r="C69" s="97"/>
      <c r="D69" s="97"/>
      <c r="E69" s="97"/>
      <c r="F69" s="97"/>
      <c r="G69" s="97"/>
      <c r="H69" s="97"/>
      <c r="J69" s="98" t="s">
        <v>15</v>
      </c>
      <c r="K69" s="98"/>
      <c r="L69" s="98"/>
      <c r="M69" s="98"/>
      <c r="N69" s="98"/>
      <c r="O69" s="98"/>
      <c r="P69" s="98"/>
      <c r="Q69" s="98"/>
      <c r="R69" s="98"/>
      <c r="S69" s="98"/>
      <c r="T69" s="98"/>
      <c r="U69" s="98"/>
      <c r="Y69" s="95" t="str">
        <f>J69</f>
        <v>Maio</v>
      </c>
      <c r="Z69" s="95"/>
      <c r="AA69" s="95"/>
      <c r="AB69" s="95"/>
      <c r="AC69" s="95"/>
      <c r="AD69" s="95"/>
      <c r="AE69" s="95"/>
      <c r="AH69" s="96" t="str">
        <f>Y69</f>
        <v>Maio</v>
      </c>
      <c r="AI69" s="96"/>
      <c r="AJ69" s="96"/>
      <c r="AK69" s="96"/>
      <c r="AL69" s="96"/>
      <c r="AM69" s="96"/>
      <c r="AN69" s="96"/>
    </row>
    <row r="70" spans="1:40" ht="15.75" thickBot="1" x14ac:dyDescent="0.3">
      <c r="A70" s="99" t="s">
        <v>5</v>
      </c>
      <c r="B70" s="34" t="s">
        <v>6</v>
      </c>
      <c r="C70" s="22" t="s">
        <v>7</v>
      </c>
      <c r="D70" s="33" t="s">
        <v>8</v>
      </c>
      <c r="E70" s="22" t="s">
        <v>9</v>
      </c>
      <c r="F70" s="24" t="s">
        <v>10</v>
      </c>
      <c r="G70" s="23" t="s">
        <v>11</v>
      </c>
      <c r="H70" s="25" t="s">
        <v>12</v>
      </c>
      <c r="J70" s="6" t="s">
        <v>4</v>
      </c>
      <c r="K70" s="9">
        <v>45785</v>
      </c>
      <c r="L70" s="66">
        <v>45792</v>
      </c>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9"/>
      <c r="B71" s="27">
        <v>48200</v>
      </c>
      <c r="C71" s="27">
        <v>48638</v>
      </c>
      <c r="D71" s="27">
        <v>48638</v>
      </c>
      <c r="E71" s="27">
        <v>48932</v>
      </c>
      <c r="F71" s="27">
        <f>SUM(C71-B71)</f>
        <v>438</v>
      </c>
      <c r="G71" s="20">
        <f>SUM(E71-D71)</f>
        <v>294</v>
      </c>
      <c r="H71" s="21">
        <f>SUM(F71:G71)</f>
        <v>732</v>
      </c>
      <c r="J71" s="7" t="s">
        <v>22</v>
      </c>
      <c r="K71" s="10">
        <v>220.57</v>
      </c>
      <c r="L71" s="11">
        <v>214.94</v>
      </c>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435.51</v>
      </c>
      <c r="AD72" s="8" t="s">
        <v>23</v>
      </c>
      <c r="AE72" s="13">
        <f>SUM(Z71:AE71)</f>
        <v>0</v>
      </c>
      <c r="AM72" s="8" t="s">
        <v>23</v>
      </c>
      <c r="AN72" s="13">
        <f>SUM(AI71:AN71)</f>
        <v>0</v>
      </c>
    </row>
    <row r="73" spans="1:40" ht="15.75" thickBot="1" x14ac:dyDescent="0.3">
      <c r="A73" s="19"/>
      <c r="B73" s="97" t="s">
        <v>24</v>
      </c>
      <c r="C73" s="97"/>
      <c r="D73" s="97"/>
      <c r="E73" s="97"/>
      <c r="F73" s="97"/>
      <c r="G73" s="97"/>
      <c r="H73" s="97"/>
      <c r="J73" s="98" t="s">
        <v>24</v>
      </c>
      <c r="K73" s="98"/>
      <c r="L73" s="98"/>
      <c r="M73" s="98"/>
      <c r="N73" s="98"/>
      <c r="O73" s="98"/>
      <c r="P73" s="98"/>
      <c r="Q73" s="98"/>
      <c r="R73" s="98"/>
      <c r="S73" s="98"/>
      <c r="T73" s="98"/>
      <c r="U73" s="98"/>
      <c r="Y73" s="95" t="str">
        <f>J73</f>
        <v>Junho</v>
      </c>
      <c r="Z73" s="95"/>
      <c r="AA73" s="95"/>
      <c r="AB73" s="95"/>
      <c r="AC73" s="95"/>
      <c r="AD73" s="95"/>
      <c r="AE73" s="95"/>
      <c r="AH73" s="96" t="str">
        <f>Y73</f>
        <v>Junho</v>
      </c>
      <c r="AI73" s="96"/>
      <c r="AJ73" s="96"/>
      <c r="AK73" s="96"/>
      <c r="AL73" s="96"/>
      <c r="AM73" s="96"/>
      <c r="AN73" s="96"/>
    </row>
    <row r="74" spans="1:40" ht="15.75" thickBot="1" x14ac:dyDescent="0.3">
      <c r="A74" s="99" t="s">
        <v>5</v>
      </c>
      <c r="B74" s="34" t="s">
        <v>6</v>
      </c>
      <c r="C74" s="22" t="s">
        <v>7</v>
      </c>
      <c r="D74" s="33" t="s">
        <v>8</v>
      </c>
      <c r="E74" s="22" t="s">
        <v>9</v>
      </c>
      <c r="F74" s="24" t="s">
        <v>10</v>
      </c>
      <c r="G74" s="23" t="s">
        <v>11</v>
      </c>
      <c r="H74" s="25" t="s">
        <v>12</v>
      </c>
      <c r="J74" s="6" t="s">
        <v>4</v>
      </c>
      <c r="K74" s="9">
        <v>45820</v>
      </c>
      <c r="L74" s="66">
        <v>45832</v>
      </c>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9"/>
      <c r="B75" s="26">
        <v>48932</v>
      </c>
      <c r="C75" s="27">
        <v>49077</v>
      </c>
      <c r="D75" s="27">
        <v>49077</v>
      </c>
      <c r="E75" s="27">
        <v>49569</v>
      </c>
      <c r="F75" s="27">
        <f>SUM(C75-B75)</f>
        <v>145</v>
      </c>
      <c r="G75" s="20">
        <f>SUM(E75-D75)</f>
        <v>492</v>
      </c>
      <c r="H75" s="21">
        <f>SUM(F75:G75)</f>
        <v>637</v>
      </c>
      <c r="J75" s="7" t="s">
        <v>22</v>
      </c>
      <c r="K75" s="10">
        <v>245.78</v>
      </c>
      <c r="L75" s="11">
        <v>245.32</v>
      </c>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491.1</v>
      </c>
      <c r="AD76" s="8" t="s">
        <v>23</v>
      </c>
      <c r="AE76" s="13">
        <f>SUM(Z75:AE75)</f>
        <v>0</v>
      </c>
      <c r="AM76" s="8" t="s">
        <v>23</v>
      </c>
      <c r="AN76" s="13">
        <f>SUM(AI75:AN75)</f>
        <v>0</v>
      </c>
    </row>
    <row r="77" spans="1:40" ht="15.75" thickBot="1" x14ac:dyDescent="0.3">
      <c r="A77" s="19"/>
      <c r="B77" s="97" t="s">
        <v>16</v>
      </c>
      <c r="C77" s="97"/>
      <c r="D77" s="97"/>
      <c r="E77" s="97"/>
      <c r="F77" s="97"/>
      <c r="G77" s="97"/>
      <c r="H77" s="97"/>
      <c r="J77" s="98" t="s">
        <v>16</v>
      </c>
      <c r="K77" s="98"/>
      <c r="L77" s="98"/>
      <c r="M77" s="98"/>
      <c r="N77" s="98"/>
      <c r="O77" s="98"/>
      <c r="P77" s="98"/>
      <c r="Q77" s="98"/>
      <c r="R77" s="98"/>
      <c r="S77" s="98"/>
      <c r="T77" s="98"/>
      <c r="U77" s="98"/>
      <c r="Y77" s="95" t="str">
        <f t="shared" ref="Y77" si="0">J77</f>
        <v>Julho</v>
      </c>
      <c r="Z77" s="95"/>
      <c r="AA77" s="95"/>
      <c r="AB77" s="95"/>
      <c r="AC77" s="95"/>
      <c r="AD77" s="95"/>
      <c r="AE77" s="95"/>
      <c r="AH77" s="96" t="str">
        <f t="shared" ref="AH77" si="1">Y77</f>
        <v>Julho</v>
      </c>
      <c r="AI77" s="96"/>
      <c r="AJ77" s="96"/>
      <c r="AK77" s="96"/>
      <c r="AL77" s="96"/>
      <c r="AM77" s="96"/>
      <c r="AN77" s="96"/>
    </row>
    <row r="78" spans="1:40" ht="15.75" thickBot="1" x14ac:dyDescent="0.3">
      <c r="A78" s="99" t="s">
        <v>5</v>
      </c>
      <c r="B78" s="34" t="s">
        <v>6</v>
      </c>
      <c r="C78" s="22" t="s">
        <v>7</v>
      </c>
      <c r="D78" s="33" t="s">
        <v>8</v>
      </c>
      <c r="E78" s="22" t="s">
        <v>9</v>
      </c>
      <c r="F78" s="24" t="s">
        <v>10</v>
      </c>
      <c r="G78" s="23" t="s">
        <v>11</v>
      </c>
      <c r="H78" s="25" t="s">
        <v>12</v>
      </c>
      <c r="J78" s="6" t="s">
        <v>4</v>
      </c>
      <c r="K78" s="9">
        <v>45841</v>
      </c>
      <c r="L78" s="66">
        <v>45846</v>
      </c>
      <c r="M78" s="66">
        <v>45853</v>
      </c>
      <c r="N78" s="66">
        <v>45860</v>
      </c>
      <c r="O78" s="66">
        <v>45861</v>
      </c>
      <c r="P78" s="66"/>
      <c r="Q78" s="66"/>
      <c r="R78" s="66"/>
      <c r="S78" s="4"/>
      <c r="T78" s="4"/>
      <c r="U78" s="5"/>
      <c r="Y78" s="6" t="s">
        <v>4</v>
      </c>
      <c r="Z78" s="9"/>
      <c r="AA78" s="4"/>
      <c r="AB78" s="4"/>
      <c r="AC78" s="4"/>
      <c r="AD78" s="4"/>
      <c r="AE78" s="5"/>
      <c r="AH78" s="6" t="s">
        <v>4</v>
      </c>
      <c r="AI78" s="9"/>
      <c r="AJ78" s="4"/>
      <c r="AK78" s="4"/>
      <c r="AL78" s="4"/>
      <c r="AM78" s="4"/>
      <c r="AN78" s="5"/>
    </row>
    <row r="79" spans="1:40" ht="15.75" thickBot="1" x14ac:dyDescent="0.3">
      <c r="A79" s="99"/>
      <c r="B79" s="27">
        <v>49569</v>
      </c>
      <c r="C79" s="27">
        <v>50660</v>
      </c>
      <c r="D79" s="27">
        <v>50660</v>
      </c>
      <c r="E79" s="27">
        <v>51296</v>
      </c>
      <c r="F79" s="27">
        <f t="shared" ref="F79" si="2">SUM(C79-B79)</f>
        <v>1091</v>
      </c>
      <c r="G79" s="20">
        <f t="shared" ref="G79" si="3">SUM(E79-D79)</f>
        <v>636</v>
      </c>
      <c r="H79" s="21">
        <f t="shared" ref="H79" si="4">SUM(F79:G79)</f>
        <v>1727</v>
      </c>
      <c r="J79" s="7" t="s">
        <v>22</v>
      </c>
      <c r="K79" s="10">
        <v>164.2</v>
      </c>
      <c r="L79" s="11">
        <v>257.75</v>
      </c>
      <c r="M79" s="11">
        <v>166</v>
      </c>
      <c r="N79" s="11">
        <v>202.9</v>
      </c>
      <c r="O79" s="11">
        <v>51.37</v>
      </c>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 t="shared" ref="U80" si="5">SUM(K79:U79)</f>
        <v>842.22</v>
      </c>
      <c r="AD80" s="8" t="s">
        <v>23</v>
      </c>
      <c r="AE80" s="13">
        <f t="shared" ref="AE80" si="6">SUM(Z79:AE79)</f>
        <v>0</v>
      </c>
      <c r="AM80" s="8" t="s">
        <v>23</v>
      </c>
      <c r="AN80" s="13">
        <f t="shared" ref="AN80" si="7">SUM(AI79:AN79)</f>
        <v>0</v>
      </c>
    </row>
    <row r="81" spans="1:40" ht="15.75" thickBot="1" x14ac:dyDescent="0.3">
      <c r="A81" s="19"/>
      <c r="B81" s="97" t="s">
        <v>17</v>
      </c>
      <c r="C81" s="97"/>
      <c r="D81" s="97"/>
      <c r="E81" s="97"/>
      <c r="F81" s="97"/>
      <c r="G81" s="97"/>
      <c r="H81" s="97"/>
      <c r="J81" s="98" t="s">
        <v>17</v>
      </c>
      <c r="K81" s="98"/>
      <c r="L81" s="98"/>
      <c r="M81" s="98"/>
      <c r="N81" s="98"/>
      <c r="O81" s="98"/>
      <c r="P81" s="98"/>
      <c r="Q81" s="98"/>
      <c r="R81" s="98"/>
      <c r="S81" s="98"/>
      <c r="T81" s="98"/>
      <c r="U81" s="98"/>
      <c r="Y81" s="95" t="str">
        <f t="shared" ref="Y81" si="8">J81</f>
        <v>Agosto</v>
      </c>
      <c r="Z81" s="95"/>
      <c r="AA81" s="95"/>
      <c r="AB81" s="95"/>
      <c r="AC81" s="95"/>
      <c r="AD81" s="95"/>
      <c r="AE81" s="95"/>
      <c r="AH81" s="96" t="str">
        <f t="shared" ref="AH81" si="9">Y81</f>
        <v>Agosto</v>
      </c>
      <c r="AI81" s="96"/>
      <c r="AJ81" s="96"/>
      <c r="AK81" s="96"/>
      <c r="AL81" s="96"/>
      <c r="AM81" s="96"/>
      <c r="AN81" s="96"/>
    </row>
    <row r="82" spans="1:40" ht="15.75" thickBot="1" x14ac:dyDescent="0.3">
      <c r="A82" s="99" t="s">
        <v>5</v>
      </c>
      <c r="B82" s="34" t="s">
        <v>6</v>
      </c>
      <c r="C82" s="22" t="s">
        <v>7</v>
      </c>
      <c r="D82" s="33" t="s">
        <v>8</v>
      </c>
      <c r="E82" s="22" t="s">
        <v>9</v>
      </c>
      <c r="F82" s="24" t="s">
        <v>10</v>
      </c>
      <c r="G82" s="23" t="s">
        <v>11</v>
      </c>
      <c r="H82" s="25" t="s">
        <v>12</v>
      </c>
      <c r="J82" s="6" t="s">
        <v>4</v>
      </c>
      <c r="K82" s="9"/>
      <c r="L82" s="66"/>
      <c r="M82" s="66"/>
      <c r="N82" s="66"/>
      <c r="O82" s="66"/>
      <c r="P82" s="66"/>
      <c r="Q82" s="66"/>
      <c r="R82" s="66"/>
      <c r="S82" s="4"/>
      <c r="T82" s="4"/>
      <c r="U82" s="5"/>
      <c r="Y82" s="6" t="s">
        <v>4</v>
      </c>
      <c r="Z82" s="9"/>
      <c r="AA82" s="4"/>
      <c r="AB82" s="4"/>
      <c r="AC82" s="4"/>
      <c r="AD82" s="4"/>
      <c r="AE82" s="5"/>
      <c r="AH82" s="6" t="s">
        <v>4</v>
      </c>
      <c r="AI82" s="9"/>
      <c r="AJ82" s="4"/>
      <c r="AK82" s="4"/>
      <c r="AL82" s="4"/>
      <c r="AM82" s="4"/>
      <c r="AN82" s="5"/>
    </row>
    <row r="83" spans="1:40" ht="15.75" thickBot="1" x14ac:dyDescent="0.3">
      <c r="A83" s="99"/>
      <c r="B83" s="26"/>
      <c r="C83" s="27"/>
      <c r="D83" s="27"/>
      <c r="E83" s="27"/>
      <c r="F83" s="27">
        <f t="shared" ref="F83" si="10">SUM(C83-B83)</f>
        <v>0</v>
      </c>
      <c r="G83" s="20">
        <f t="shared" ref="G83" si="11">SUM(E83-D83)</f>
        <v>0</v>
      </c>
      <c r="H83" s="21">
        <f t="shared" ref="H83" si="12">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 t="shared" ref="U84" si="13">SUM(K83:U83)</f>
        <v>0</v>
      </c>
      <c r="AD84" s="8" t="s">
        <v>23</v>
      </c>
      <c r="AE84" s="13">
        <f t="shared" ref="AE84" si="14">SUM(Z83:AE83)</f>
        <v>0</v>
      </c>
      <c r="AM84" s="8" t="s">
        <v>23</v>
      </c>
      <c r="AN84" s="13">
        <f t="shared" ref="AN84" si="15">SUM(AI83:AN83)</f>
        <v>0</v>
      </c>
    </row>
    <row r="85" spans="1:40" ht="15.75" thickBot="1" x14ac:dyDescent="0.3">
      <c r="A85" s="19"/>
      <c r="B85" s="97" t="s">
        <v>18</v>
      </c>
      <c r="C85" s="97"/>
      <c r="D85" s="97"/>
      <c r="E85" s="97"/>
      <c r="F85" s="97"/>
      <c r="G85" s="97"/>
      <c r="H85" s="97"/>
      <c r="J85" s="98" t="s">
        <v>18</v>
      </c>
      <c r="K85" s="98"/>
      <c r="L85" s="98"/>
      <c r="M85" s="98"/>
      <c r="N85" s="98"/>
      <c r="O85" s="98"/>
      <c r="P85" s="98"/>
      <c r="Q85" s="98"/>
      <c r="R85" s="98"/>
      <c r="S85" s="98"/>
      <c r="T85" s="98"/>
      <c r="U85" s="98"/>
      <c r="Y85" s="95" t="str">
        <f t="shared" ref="Y85" si="16">J85</f>
        <v>Setembro</v>
      </c>
      <c r="Z85" s="95"/>
      <c r="AA85" s="95"/>
      <c r="AB85" s="95"/>
      <c r="AC85" s="95"/>
      <c r="AD85" s="95"/>
      <c r="AE85" s="95"/>
      <c r="AH85" s="96" t="str">
        <f t="shared" ref="AH85" si="17">Y85</f>
        <v>Setembro</v>
      </c>
      <c r="AI85" s="96"/>
      <c r="AJ85" s="96"/>
      <c r="AK85" s="96"/>
      <c r="AL85" s="96"/>
      <c r="AM85" s="96"/>
      <c r="AN85" s="96"/>
    </row>
    <row r="86" spans="1:40" ht="15.75" thickBot="1" x14ac:dyDescent="0.3">
      <c r="A86" s="99" t="s">
        <v>5</v>
      </c>
      <c r="B86" s="34" t="s">
        <v>6</v>
      </c>
      <c r="C86" s="22" t="s">
        <v>7</v>
      </c>
      <c r="D86" s="33" t="s">
        <v>8</v>
      </c>
      <c r="E86" s="22" t="s">
        <v>9</v>
      </c>
      <c r="F86" s="24" t="s">
        <v>10</v>
      </c>
      <c r="G86" s="23" t="s">
        <v>11</v>
      </c>
      <c r="H86" s="25" t="s">
        <v>12</v>
      </c>
      <c r="J86" s="6" t="s">
        <v>4</v>
      </c>
      <c r="K86" s="9"/>
      <c r="L86" s="66"/>
      <c r="M86" s="66"/>
      <c r="N86" s="66"/>
      <c r="O86" s="66"/>
      <c r="P86" s="66"/>
      <c r="Q86" s="66"/>
      <c r="R86" s="66"/>
      <c r="S86" s="4"/>
      <c r="T86" s="4"/>
      <c r="U86" s="5"/>
      <c r="Y86" s="6" t="s">
        <v>4</v>
      </c>
      <c r="Z86" s="9"/>
      <c r="AA86" s="4"/>
      <c r="AB86" s="4"/>
      <c r="AC86" s="4"/>
      <c r="AD86" s="4"/>
      <c r="AE86" s="5"/>
      <c r="AH86" s="6" t="s">
        <v>4</v>
      </c>
      <c r="AI86" s="9"/>
      <c r="AJ86" s="4"/>
      <c r="AK86" s="4"/>
      <c r="AL86" s="4"/>
      <c r="AM86" s="4"/>
      <c r="AN86" s="5"/>
    </row>
    <row r="87" spans="1:40" ht="15.75" thickBot="1" x14ac:dyDescent="0.3">
      <c r="A87" s="99"/>
      <c r="B87" s="26"/>
      <c r="C87" s="27"/>
      <c r="D87" s="27"/>
      <c r="E87" s="27"/>
      <c r="F87" s="27">
        <f t="shared" ref="F87" si="18">SUM(C87-B87)</f>
        <v>0</v>
      </c>
      <c r="G87" s="20">
        <f t="shared" ref="G87" si="19">SUM(E87-D87)</f>
        <v>0</v>
      </c>
      <c r="H87" s="21">
        <f t="shared" ref="H87" si="20">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 t="shared" ref="U88" si="21">SUM(K87:U87)</f>
        <v>0</v>
      </c>
      <c r="AD88" s="8" t="s">
        <v>23</v>
      </c>
      <c r="AE88" s="13">
        <f t="shared" ref="AE88" si="22">SUM(Z87:AE87)</f>
        <v>0</v>
      </c>
      <c r="AM88" s="8" t="s">
        <v>23</v>
      </c>
      <c r="AN88" s="13">
        <f t="shared" ref="AN88" si="23">SUM(AI87:AN87)</f>
        <v>0</v>
      </c>
    </row>
    <row r="89" spans="1:40" ht="15.75" thickBot="1" x14ac:dyDescent="0.3">
      <c r="A89" s="19"/>
      <c r="B89" s="97" t="s">
        <v>19</v>
      </c>
      <c r="C89" s="97"/>
      <c r="D89" s="97"/>
      <c r="E89" s="97"/>
      <c r="F89" s="97"/>
      <c r="G89" s="97"/>
      <c r="H89" s="97"/>
      <c r="J89" s="98" t="s">
        <v>19</v>
      </c>
      <c r="K89" s="98"/>
      <c r="L89" s="98"/>
      <c r="M89" s="98"/>
      <c r="N89" s="98"/>
      <c r="O89" s="98"/>
      <c r="P89" s="98"/>
      <c r="Q89" s="98"/>
      <c r="R89" s="98"/>
      <c r="S89" s="98"/>
      <c r="T89" s="98"/>
      <c r="U89" s="98"/>
      <c r="Y89" s="95" t="str">
        <f t="shared" ref="Y89" si="24">J89</f>
        <v>Outubro</v>
      </c>
      <c r="Z89" s="95"/>
      <c r="AA89" s="95"/>
      <c r="AB89" s="95"/>
      <c r="AC89" s="95"/>
      <c r="AD89" s="95"/>
      <c r="AE89" s="95"/>
      <c r="AH89" s="96" t="str">
        <f t="shared" ref="AH89" si="25">Y89</f>
        <v>Outubro</v>
      </c>
      <c r="AI89" s="96"/>
      <c r="AJ89" s="96"/>
      <c r="AK89" s="96"/>
      <c r="AL89" s="96"/>
      <c r="AM89" s="96"/>
      <c r="AN89" s="96"/>
    </row>
    <row r="90" spans="1:40" ht="15.75" thickBot="1" x14ac:dyDescent="0.3">
      <c r="A90" s="99" t="s">
        <v>5</v>
      </c>
      <c r="B90" s="34" t="s">
        <v>6</v>
      </c>
      <c r="C90" s="22" t="s">
        <v>7</v>
      </c>
      <c r="D90" s="33" t="s">
        <v>8</v>
      </c>
      <c r="E90" s="22" t="s">
        <v>9</v>
      </c>
      <c r="F90" s="24" t="s">
        <v>10</v>
      </c>
      <c r="G90" s="23" t="s">
        <v>11</v>
      </c>
      <c r="H90" s="25" t="s">
        <v>12</v>
      </c>
      <c r="J90" s="6" t="s">
        <v>4</v>
      </c>
      <c r="K90" s="9"/>
      <c r="L90" s="66"/>
      <c r="M90" s="66"/>
      <c r="N90" s="66"/>
      <c r="O90" s="66"/>
      <c r="P90" s="66"/>
      <c r="Q90" s="66"/>
      <c r="R90" s="66"/>
      <c r="S90" s="4"/>
      <c r="T90" s="4"/>
      <c r="U90" s="5"/>
      <c r="Y90" s="6" t="s">
        <v>4</v>
      </c>
      <c r="Z90" s="9"/>
      <c r="AA90" s="4"/>
      <c r="AB90" s="4"/>
      <c r="AC90" s="4"/>
      <c r="AD90" s="4"/>
      <c r="AE90" s="5"/>
      <c r="AH90" s="6" t="s">
        <v>4</v>
      </c>
      <c r="AI90" s="9"/>
      <c r="AJ90" s="4"/>
      <c r="AK90" s="4"/>
      <c r="AL90" s="4"/>
      <c r="AM90" s="4"/>
      <c r="AN90" s="5"/>
    </row>
    <row r="91" spans="1:40" ht="15.75" thickBot="1" x14ac:dyDescent="0.3">
      <c r="A91" s="99"/>
      <c r="B91" s="26"/>
      <c r="C91" s="27"/>
      <c r="D91" s="27"/>
      <c r="E91" s="27"/>
      <c r="F91" s="27">
        <f t="shared" ref="F91" si="26">SUM(C91-B91)</f>
        <v>0</v>
      </c>
      <c r="G91" s="20">
        <f t="shared" ref="G91" si="27">SUM(E91-D91)</f>
        <v>0</v>
      </c>
      <c r="H91" s="21">
        <f t="shared" ref="H91" si="28">SUM(F91:G91)</f>
        <v>0</v>
      </c>
      <c r="J91" s="7" t="s">
        <v>22</v>
      </c>
      <c r="K91" s="10"/>
      <c r="L91" s="11"/>
      <c r="M91" s="11"/>
      <c r="N91" s="11"/>
      <c r="O91" s="11"/>
      <c r="P91" s="11"/>
      <c r="Q91" s="11"/>
      <c r="R91" s="11"/>
      <c r="S91" s="11"/>
      <c r="T91" s="11"/>
      <c r="U91" s="12"/>
      <c r="Y91" s="7" t="s">
        <v>22</v>
      </c>
      <c r="Z91" s="10"/>
      <c r="AA91" s="11"/>
      <c r="AB91" s="11"/>
      <c r="AC91" s="11"/>
      <c r="AD91" s="11"/>
      <c r="AE91" s="12"/>
      <c r="AH91" s="7" t="s">
        <v>22</v>
      </c>
      <c r="AI91" s="10"/>
      <c r="AJ91" s="11"/>
      <c r="AK91" s="11"/>
      <c r="AL91" s="11"/>
      <c r="AM91" s="11"/>
      <c r="AN91" s="12"/>
    </row>
    <row r="92" spans="1:40" x14ac:dyDescent="0.25">
      <c r="J92" s="8"/>
      <c r="T92" s="8" t="s">
        <v>23</v>
      </c>
      <c r="U92" s="13">
        <f t="shared" ref="U92" si="29">SUM(K91:U91)</f>
        <v>0</v>
      </c>
      <c r="AD92" s="8" t="s">
        <v>23</v>
      </c>
      <c r="AE92" s="13">
        <f t="shared" ref="AE92" si="30">SUM(Z91:AE91)</f>
        <v>0</v>
      </c>
      <c r="AM92" s="8" t="s">
        <v>23</v>
      </c>
      <c r="AN92" s="13">
        <f t="shared" ref="AN92" si="31">SUM(AI91:AN91)</f>
        <v>0</v>
      </c>
    </row>
    <row r="93" spans="1:40" ht="15.75" thickBot="1" x14ac:dyDescent="0.3">
      <c r="A93" s="19"/>
      <c r="B93" s="97" t="s">
        <v>20</v>
      </c>
      <c r="C93" s="97"/>
      <c r="D93" s="97"/>
      <c r="E93" s="97"/>
      <c r="F93" s="97"/>
      <c r="G93" s="97"/>
      <c r="H93" s="97"/>
      <c r="J93" s="98" t="s">
        <v>20</v>
      </c>
      <c r="K93" s="98"/>
      <c r="L93" s="98"/>
      <c r="M93" s="98"/>
      <c r="N93" s="98"/>
      <c r="O93" s="98"/>
      <c r="P93" s="98"/>
      <c r="Q93" s="98"/>
      <c r="R93" s="98"/>
      <c r="S93" s="98"/>
      <c r="T93" s="98"/>
      <c r="U93" s="98"/>
      <c r="Y93" s="95" t="str">
        <f t="shared" ref="Y93" si="32">J93</f>
        <v>Novembro</v>
      </c>
      <c r="Z93" s="95"/>
      <c r="AA93" s="95"/>
      <c r="AB93" s="95"/>
      <c r="AC93" s="95"/>
      <c r="AD93" s="95"/>
      <c r="AE93" s="95"/>
      <c r="AH93" s="96" t="str">
        <f t="shared" ref="AH93" si="33">Y93</f>
        <v>Novembro</v>
      </c>
      <c r="AI93" s="96"/>
      <c r="AJ93" s="96"/>
      <c r="AK93" s="96"/>
      <c r="AL93" s="96"/>
      <c r="AM93" s="96"/>
      <c r="AN93" s="96"/>
    </row>
    <row r="94" spans="1:40" ht="15.75" thickBot="1" x14ac:dyDescent="0.3">
      <c r="A94" s="99" t="s">
        <v>5</v>
      </c>
      <c r="B94" s="34" t="s">
        <v>6</v>
      </c>
      <c r="C94" s="22" t="s">
        <v>7</v>
      </c>
      <c r="D94" s="33" t="s">
        <v>8</v>
      </c>
      <c r="E94" s="22" t="s">
        <v>9</v>
      </c>
      <c r="F94" s="24" t="s">
        <v>10</v>
      </c>
      <c r="G94" s="23" t="s">
        <v>11</v>
      </c>
      <c r="H94" s="25" t="s">
        <v>12</v>
      </c>
      <c r="J94" s="6" t="s">
        <v>4</v>
      </c>
      <c r="K94" s="9"/>
      <c r="L94" s="66"/>
      <c r="M94" s="66"/>
      <c r="N94" s="66"/>
      <c r="O94" s="66"/>
      <c r="P94" s="66"/>
      <c r="Q94" s="66"/>
      <c r="R94" s="66"/>
      <c r="S94" s="4"/>
      <c r="T94" s="4"/>
      <c r="U94" s="5"/>
      <c r="Y94" s="6" t="s">
        <v>4</v>
      </c>
      <c r="Z94" s="9"/>
      <c r="AA94" s="4"/>
      <c r="AB94" s="4"/>
      <c r="AC94" s="4"/>
      <c r="AD94" s="4"/>
      <c r="AE94" s="5"/>
      <c r="AH94" s="6" t="s">
        <v>4</v>
      </c>
      <c r="AI94" s="9"/>
      <c r="AJ94" s="4"/>
      <c r="AK94" s="4"/>
      <c r="AL94" s="4"/>
      <c r="AM94" s="4"/>
      <c r="AN94" s="5"/>
    </row>
    <row r="95" spans="1:40" ht="15.75" thickBot="1" x14ac:dyDescent="0.3">
      <c r="A95" s="99"/>
      <c r="B95" s="26"/>
      <c r="C95" s="27"/>
      <c r="D95" s="27"/>
      <c r="E95" s="27"/>
      <c r="F95" s="27">
        <f t="shared" ref="F95" si="34">SUM(C95-B95)</f>
        <v>0</v>
      </c>
      <c r="G95" s="20">
        <f t="shared" ref="G95" si="35">SUM(E95-D95)</f>
        <v>0</v>
      </c>
      <c r="H95" s="21">
        <f t="shared" ref="H95" si="36">SUM(F95:G95)</f>
        <v>0</v>
      </c>
      <c r="J95" s="7" t="s">
        <v>22</v>
      </c>
      <c r="K95" s="10"/>
      <c r="L95" s="11"/>
      <c r="M95" s="11"/>
      <c r="N95" s="11"/>
      <c r="O95" s="11"/>
      <c r="P95" s="11"/>
      <c r="Q95" s="11"/>
      <c r="R95" s="11"/>
      <c r="S95" s="11"/>
      <c r="T95" s="11"/>
      <c r="U95" s="12"/>
      <c r="Y95" s="7" t="s">
        <v>22</v>
      </c>
      <c r="Z95" s="10"/>
      <c r="AA95" s="11"/>
      <c r="AB95" s="11"/>
      <c r="AC95" s="11"/>
      <c r="AD95" s="11"/>
      <c r="AE95" s="12"/>
      <c r="AH95" s="7" t="s">
        <v>22</v>
      </c>
      <c r="AI95" s="10"/>
      <c r="AJ95" s="11"/>
      <c r="AK95" s="11"/>
      <c r="AL95" s="11"/>
      <c r="AM95" s="11"/>
      <c r="AN95" s="12"/>
    </row>
    <row r="96" spans="1:40" x14ac:dyDescent="0.25">
      <c r="J96" s="8"/>
      <c r="T96" s="8" t="s">
        <v>23</v>
      </c>
      <c r="U96" s="13">
        <f t="shared" ref="U96" si="37">SUM(K95:U95)</f>
        <v>0</v>
      </c>
      <c r="AD96" s="8" t="s">
        <v>23</v>
      </c>
      <c r="AE96" s="13">
        <f t="shared" ref="AE96" si="38">SUM(Z95:AE95)</f>
        <v>0</v>
      </c>
      <c r="AM96" s="8" t="s">
        <v>23</v>
      </c>
      <c r="AN96" s="13">
        <f t="shared" ref="AN96" si="39">SUM(AI95:AN95)</f>
        <v>0</v>
      </c>
    </row>
  </sheetData>
  <mergeCells count="118">
    <mergeCell ref="A74:A75"/>
    <mergeCell ref="A66:A67"/>
    <mergeCell ref="B69:H69"/>
    <mergeCell ref="J69:U69"/>
    <mergeCell ref="Y69:AE69"/>
    <mergeCell ref="AH69:AN69"/>
    <mergeCell ref="A70:A71"/>
    <mergeCell ref="B73:H73"/>
    <mergeCell ref="J73:U73"/>
    <mergeCell ref="Y73:AE73"/>
    <mergeCell ref="AH73:AN73"/>
    <mergeCell ref="A58:A59"/>
    <mergeCell ref="B61:H61"/>
    <mergeCell ref="J61:U61"/>
    <mergeCell ref="Y61:AE61"/>
    <mergeCell ref="AH61:AN61"/>
    <mergeCell ref="A62:A63"/>
    <mergeCell ref="B65:H65"/>
    <mergeCell ref="J65:U65"/>
    <mergeCell ref="Y65:AE65"/>
    <mergeCell ref="AH65:AN65"/>
    <mergeCell ref="B53:H53"/>
    <mergeCell ref="J53:U53"/>
    <mergeCell ref="Y53:AE53"/>
    <mergeCell ref="AH53:AN53"/>
    <mergeCell ref="A54:A55"/>
    <mergeCell ref="B57:H57"/>
    <mergeCell ref="J57:U57"/>
    <mergeCell ref="Y57:AE57"/>
    <mergeCell ref="AH57:AN5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B17:H17"/>
    <mergeCell ref="J17:U17"/>
    <mergeCell ref="Y17:AE17"/>
    <mergeCell ref="AH17:AN17"/>
    <mergeCell ref="A18:A19"/>
    <mergeCell ref="B21:H21"/>
    <mergeCell ref="J21:U21"/>
    <mergeCell ref="Y21:AE21"/>
    <mergeCell ref="AH21:AN21"/>
    <mergeCell ref="B77:H77"/>
    <mergeCell ref="J77:U77"/>
    <mergeCell ref="Y77:AE77"/>
    <mergeCell ref="AH77:AN77"/>
    <mergeCell ref="A78:A79"/>
    <mergeCell ref="B2:C2"/>
    <mergeCell ref="E2:F2"/>
    <mergeCell ref="B4:C4"/>
    <mergeCell ref="E4:F4"/>
    <mergeCell ref="A7:H7"/>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85:H85"/>
    <mergeCell ref="J85:U85"/>
    <mergeCell ref="Y85:AE85"/>
    <mergeCell ref="AH85:AN85"/>
    <mergeCell ref="A86:A87"/>
    <mergeCell ref="B81:H81"/>
    <mergeCell ref="J81:U81"/>
    <mergeCell ref="Y81:AE81"/>
    <mergeCell ref="AH81:AN81"/>
    <mergeCell ref="A82:A83"/>
    <mergeCell ref="B93:H93"/>
    <mergeCell ref="J93:U93"/>
    <mergeCell ref="Y93:AE93"/>
    <mergeCell ref="AH93:AN93"/>
    <mergeCell ref="A94:A95"/>
    <mergeCell ref="B89:H89"/>
    <mergeCell ref="J89:U89"/>
    <mergeCell ref="Y89:AE89"/>
    <mergeCell ref="AH89:AN89"/>
    <mergeCell ref="A90:A91"/>
  </mergeCells>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56"/>
  <sheetViews>
    <sheetView showGridLines="0" topLeftCell="A40" workbookViewId="0">
      <selection activeCell="G69" sqref="G6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6" width="10.42578125" bestFit="1" customWidth="1"/>
    <col min="17" max="17" width="10.5703125" bestFit="1" customWidth="1"/>
    <col min="18" max="18" width="10.42578125" bestFit="1" customWidth="1"/>
    <col min="21" max="21" width="12.140625" bestFit="1" customWidth="1"/>
    <col min="24" max="26" width="10.42578125" bestFit="1" customWidth="1"/>
    <col min="29" max="29" width="15.85546875" bestFit="1" customWidth="1"/>
    <col min="34" max="36" width="10.140625" bestFit="1" customWidth="1"/>
    <col min="37" max="37" width="10.5703125" bestFit="1" customWidth="1"/>
  </cols>
  <sheetData>
    <row r="2" spans="1:37" x14ac:dyDescent="0.25">
      <c r="A2" t="s">
        <v>0</v>
      </c>
      <c r="B2" s="100" t="s">
        <v>71</v>
      </c>
      <c r="C2" s="100"/>
      <c r="D2" s="1" t="s">
        <v>1</v>
      </c>
      <c r="E2" s="100" t="s">
        <v>82</v>
      </c>
      <c r="F2" s="100"/>
      <c r="H2" t="s">
        <v>45</v>
      </c>
      <c r="I2" s="54"/>
    </row>
    <row r="3" spans="1:37" x14ac:dyDescent="0.25">
      <c r="F3" s="1"/>
    </row>
    <row r="4" spans="1:37" x14ac:dyDescent="0.25">
      <c r="A4" t="s">
        <v>2</v>
      </c>
      <c r="B4" s="101">
        <v>3455.99</v>
      </c>
      <c r="C4" s="101"/>
      <c r="D4" s="1" t="s">
        <v>29</v>
      </c>
      <c r="E4" s="100"/>
      <c r="F4" s="100"/>
      <c r="H4" t="s">
        <v>65</v>
      </c>
      <c r="I4" s="67">
        <v>45046</v>
      </c>
    </row>
    <row r="7" spans="1:37"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104" t="s">
        <v>25</v>
      </c>
      <c r="X7" s="104"/>
      <c r="Y7" s="104"/>
      <c r="Z7" s="104"/>
      <c r="AA7" s="104"/>
      <c r="AB7" s="104"/>
      <c r="AC7" s="104"/>
      <c r="AD7" s="2"/>
      <c r="AE7" s="104" t="s">
        <v>27</v>
      </c>
      <c r="AF7" s="104"/>
      <c r="AG7" s="104"/>
      <c r="AH7" s="104"/>
      <c r="AI7" s="104"/>
      <c r="AJ7" s="104"/>
      <c r="AK7" s="104"/>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7" t="s">
        <v>3</v>
      </c>
      <c r="C9" s="97"/>
      <c r="D9" s="97"/>
      <c r="E9" s="97"/>
      <c r="F9" s="97"/>
      <c r="G9" s="97"/>
      <c r="H9" s="97"/>
      <c r="J9" s="98" t="s">
        <v>3</v>
      </c>
      <c r="K9" s="98"/>
      <c r="L9" s="98"/>
      <c r="M9" s="98"/>
      <c r="N9" s="98"/>
      <c r="O9" s="98"/>
      <c r="P9" s="98"/>
      <c r="Q9" s="98"/>
      <c r="R9" s="98"/>
      <c r="S9" s="98"/>
      <c r="T9" s="98"/>
      <c r="U9" s="98"/>
      <c r="W9" s="95" t="s">
        <v>3</v>
      </c>
      <c r="X9" s="95"/>
      <c r="Y9" s="95"/>
      <c r="Z9" s="95"/>
      <c r="AA9" s="95"/>
      <c r="AB9" s="95"/>
      <c r="AC9" s="95"/>
      <c r="AE9" s="96" t="s">
        <v>3</v>
      </c>
      <c r="AF9" s="96"/>
      <c r="AG9" s="96"/>
      <c r="AH9" s="96"/>
      <c r="AI9" s="96"/>
      <c r="AJ9" s="96"/>
      <c r="AK9" s="96"/>
    </row>
    <row r="10" spans="1:37" ht="15.75" thickBot="1" x14ac:dyDescent="0.3">
      <c r="A10" s="99"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7" t="s">
        <v>13</v>
      </c>
      <c r="C13" s="97"/>
      <c r="D13" s="97"/>
      <c r="E13" s="97"/>
      <c r="F13" s="97"/>
      <c r="G13" s="97"/>
      <c r="H13" s="97"/>
      <c r="J13" s="98" t="s">
        <v>13</v>
      </c>
      <c r="K13" s="98"/>
      <c r="L13" s="98"/>
      <c r="M13" s="98"/>
      <c r="N13" s="98"/>
      <c r="O13" s="98"/>
      <c r="P13" s="98"/>
      <c r="Q13" s="98"/>
      <c r="R13" s="98"/>
      <c r="S13" s="98"/>
      <c r="T13" s="98"/>
      <c r="U13" s="98"/>
      <c r="W13" s="95" t="str">
        <f>J13</f>
        <v>Março</v>
      </c>
      <c r="X13" s="95"/>
      <c r="Y13" s="95"/>
      <c r="Z13" s="95"/>
      <c r="AA13" s="95"/>
      <c r="AB13" s="95"/>
      <c r="AC13" s="95"/>
      <c r="AE13" s="96" t="str">
        <f>W13</f>
        <v>Março</v>
      </c>
      <c r="AF13" s="96"/>
      <c r="AG13" s="96"/>
      <c r="AH13" s="96"/>
      <c r="AI13" s="96"/>
      <c r="AJ13" s="96"/>
      <c r="AK13" s="96"/>
    </row>
    <row r="14" spans="1:37" ht="15.75" thickBot="1" x14ac:dyDescent="0.3">
      <c r="A14" s="99" t="s">
        <v>5</v>
      </c>
      <c r="B14" s="34" t="s">
        <v>6</v>
      </c>
      <c r="C14" s="22" t="s">
        <v>7</v>
      </c>
      <c r="D14" s="33" t="s">
        <v>8</v>
      </c>
      <c r="E14" s="22" t="s">
        <v>9</v>
      </c>
      <c r="F14" s="24" t="s">
        <v>10</v>
      </c>
      <c r="G14" s="23" t="s">
        <v>11</v>
      </c>
      <c r="H14" s="25" t="s">
        <v>12</v>
      </c>
      <c r="J14" s="6" t="s">
        <v>4</v>
      </c>
      <c r="K14" s="9"/>
      <c r="L14" s="66"/>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97" t="s">
        <v>14</v>
      </c>
      <c r="C17" s="97"/>
      <c r="D17" s="97"/>
      <c r="E17" s="97"/>
      <c r="F17" s="97"/>
      <c r="G17" s="97"/>
      <c r="H17" s="97"/>
      <c r="J17" s="98" t="s">
        <v>14</v>
      </c>
      <c r="K17" s="98"/>
      <c r="L17" s="98"/>
      <c r="M17" s="98"/>
      <c r="N17" s="98"/>
      <c r="O17" s="98"/>
      <c r="P17" s="98"/>
      <c r="Q17" s="98"/>
      <c r="R17" s="98"/>
      <c r="S17" s="98"/>
      <c r="T17" s="98"/>
      <c r="U17" s="98"/>
      <c r="W17" s="95" t="str">
        <f>J17</f>
        <v>Abril</v>
      </c>
      <c r="X17" s="95"/>
      <c r="Y17" s="95"/>
      <c r="Z17" s="95"/>
      <c r="AA17" s="95"/>
      <c r="AB17" s="95"/>
      <c r="AC17" s="95"/>
      <c r="AE17" s="96" t="str">
        <f>W17</f>
        <v>Abril</v>
      </c>
      <c r="AF17" s="96"/>
      <c r="AG17" s="96"/>
      <c r="AH17" s="96"/>
      <c r="AI17" s="96"/>
      <c r="AJ17" s="96"/>
      <c r="AK17" s="96"/>
    </row>
    <row r="18" spans="1:37"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97" t="s">
        <v>15</v>
      </c>
      <c r="C21" s="97"/>
      <c r="D21" s="97"/>
      <c r="E21" s="97"/>
      <c r="F21" s="97"/>
      <c r="G21" s="97"/>
      <c r="H21" s="97"/>
      <c r="J21" s="98" t="s">
        <v>15</v>
      </c>
      <c r="K21" s="98"/>
      <c r="L21" s="98"/>
      <c r="M21" s="98"/>
      <c r="N21" s="98"/>
      <c r="O21" s="98"/>
      <c r="P21" s="98"/>
      <c r="Q21" s="98"/>
      <c r="R21" s="98"/>
      <c r="S21" s="98"/>
      <c r="T21" s="98"/>
      <c r="U21" s="98"/>
      <c r="W21" s="95" t="str">
        <f>J21</f>
        <v>Maio</v>
      </c>
      <c r="X21" s="95"/>
      <c r="Y21" s="95"/>
      <c r="Z21" s="95"/>
      <c r="AA21" s="95"/>
      <c r="AB21" s="95"/>
      <c r="AC21" s="95"/>
      <c r="AE21" s="96" t="str">
        <f>W21</f>
        <v>Maio</v>
      </c>
      <c r="AF21" s="96"/>
      <c r="AG21" s="96"/>
      <c r="AH21" s="96"/>
      <c r="AI21" s="96"/>
      <c r="AJ21" s="96"/>
      <c r="AK21" s="96"/>
    </row>
    <row r="22" spans="1:37" ht="15.75" thickBot="1" x14ac:dyDescent="0.3">
      <c r="A22" s="99" t="s">
        <v>5</v>
      </c>
      <c r="B22" s="34" t="s">
        <v>6</v>
      </c>
      <c r="C22" s="22" t="s">
        <v>7</v>
      </c>
      <c r="D22" s="33" t="s">
        <v>8</v>
      </c>
      <c r="E22" s="22" t="s">
        <v>9</v>
      </c>
      <c r="F22" s="24" t="s">
        <v>10</v>
      </c>
      <c r="G22" s="23" t="s">
        <v>11</v>
      </c>
      <c r="H22" s="25" t="s">
        <v>12</v>
      </c>
      <c r="J22" s="6" t="s">
        <v>4</v>
      </c>
      <c r="K22" s="9">
        <v>45414</v>
      </c>
      <c r="L22" s="66">
        <v>45418</v>
      </c>
      <c r="M22" s="66">
        <v>45426</v>
      </c>
      <c r="N22" s="66">
        <v>45433</v>
      </c>
      <c r="O22" s="66">
        <v>45435</v>
      </c>
      <c r="P22" s="66">
        <v>45440</v>
      </c>
      <c r="Q22" s="66"/>
      <c r="R22" s="4"/>
      <c r="S22" s="4"/>
      <c r="T22" s="4"/>
      <c r="U22" s="5"/>
      <c r="W22" s="6" t="s">
        <v>4</v>
      </c>
      <c r="X22" s="9"/>
      <c r="Y22" s="4"/>
      <c r="Z22" s="4"/>
      <c r="AA22" s="4"/>
      <c r="AB22" s="4"/>
      <c r="AC22" s="5"/>
      <c r="AE22" s="6" t="s">
        <v>4</v>
      </c>
      <c r="AF22" s="9"/>
      <c r="AG22" s="4"/>
      <c r="AH22" s="4"/>
      <c r="AI22" s="4"/>
      <c r="AJ22" s="4"/>
      <c r="AK22" s="5"/>
    </row>
    <row r="23" spans="1:37" ht="15.75" thickBot="1" x14ac:dyDescent="0.3">
      <c r="A23" s="99"/>
      <c r="B23" s="26">
        <v>15140</v>
      </c>
      <c r="C23" s="27"/>
      <c r="D23" s="27"/>
      <c r="E23" s="27">
        <v>18261</v>
      </c>
      <c r="F23" s="27">
        <f>SUM(C23-B23)</f>
        <v>-15140</v>
      </c>
      <c r="G23" s="20">
        <f>SUM(E23-D23)</f>
        <v>18261</v>
      </c>
      <c r="H23" s="21">
        <f>SUM(F23:G23)</f>
        <v>3121</v>
      </c>
      <c r="J23" s="7" t="s">
        <v>22</v>
      </c>
      <c r="K23" s="10">
        <v>214.2</v>
      </c>
      <c r="L23" s="11">
        <v>259</v>
      </c>
      <c r="M23" s="11">
        <v>185.01</v>
      </c>
      <c r="N23" s="11">
        <v>275.70999999999998</v>
      </c>
      <c r="O23" s="11">
        <v>149.94</v>
      </c>
      <c r="P23" s="11">
        <v>260.74</v>
      </c>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1344.6000000000001</v>
      </c>
      <c r="AB24" s="8" t="s">
        <v>23</v>
      </c>
      <c r="AC24" s="13">
        <f>SUM(X23:AC23)</f>
        <v>0</v>
      </c>
      <c r="AJ24" s="8" t="s">
        <v>23</v>
      </c>
      <c r="AK24" s="13">
        <f>SUM(AF23:AK23)</f>
        <v>0</v>
      </c>
    </row>
    <row r="25" spans="1:37" ht="15.75" thickBot="1" x14ac:dyDescent="0.3">
      <c r="A25" s="19"/>
      <c r="B25" s="97" t="s">
        <v>24</v>
      </c>
      <c r="C25" s="97"/>
      <c r="D25" s="97"/>
      <c r="E25" s="97"/>
      <c r="F25" s="97"/>
      <c r="G25" s="97"/>
      <c r="H25" s="97"/>
      <c r="J25" s="98" t="s">
        <v>24</v>
      </c>
      <c r="K25" s="98"/>
      <c r="L25" s="98"/>
      <c r="M25" s="98"/>
      <c r="N25" s="98"/>
      <c r="O25" s="98"/>
      <c r="P25" s="98"/>
      <c r="Q25" s="98"/>
      <c r="R25" s="98"/>
      <c r="S25" s="98"/>
      <c r="T25" s="98"/>
      <c r="U25" s="98"/>
      <c r="W25" s="95" t="str">
        <f>J25</f>
        <v>Junho</v>
      </c>
      <c r="X25" s="95"/>
      <c r="Y25" s="95"/>
      <c r="Z25" s="95"/>
      <c r="AA25" s="95"/>
      <c r="AB25" s="95"/>
      <c r="AC25" s="95"/>
      <c r="AE25" s="96" t="str">
        <f>W25</f>
        <v>Junho</v>
      </c>
      <c r="AF25" s="96"/>
      <c r="AG25" s="96"/>
      <c r="AH25" s="96"/>
      <c r="AI25" s="96"/>
      <c r="AJ25" s="96"/>
      <c r="AK25" s="96"/>
    </row>
    <row r="26" spans="1:37" ht="15.75" thickBot="1" x14ac:dyDescent="0.3">
      <c r="A26" s="99" t="s">
        <v>5</v>
      </c>
      <c r="B26" s="34" t="s">
        <v>6</v>
      </c>
      <c r="C26" s="22" t="s">
        <v>7</v>
      </c>
      <c r="D26" s="33" t="s">
        <v>8</v>
      </c>
      <c r="E26" s="22" t="s">
        <v>9</v>
      </c>
      <c r="F26" s="24" t="s">
        <v>10</v>
      </c>
      <c r="G26" s="23" t="s">
        <v>11</v>
      </c>
      <c r="H26" s="25" t="s">
        <v>12</v>
      </c>
      <c r="J26" s="6" t="s">
        <v>4</v>
      </c>
      <c r="K26" s="9">
        <v>45447</v>
      </c>
      <c r="L26" s="66">
        <v>45449</v>
      </c>
      <c r="M26" s="66">
        <v>45454</v>
      </c>
      <c r="N26" s="66">
        <v>45461</v>
      </c>
      <c r="O26" s="66">
        <v>45463</v>
      </c>
      <c r="P26" s="66">
        <v>45467</v>
      </c>
      <c r="Q26" s="66">
        <v>45468</v>
      </c>
      <c r="R26" s="66">
        <v>45470</v>
      </c>
      <c r="S26" s="4"/>
      <c r="T26" s="4"/>
      <c r="U26" s="5"/>
      <c r="W26" s="6" t="s">
        <v>4</v>
      </c>
      <c r="X26" s="9">
        <v>45454</v>
      </c>
      <c r="Y26" s="4"/>
      <c r="Z26" s="4"/>
      <c r="AA26" s="4"/>
      <c r="AB26" s="4"/>
      <c r="AC26" s="5"/>
      <c r="AE26" s="6" t="s">
        <v>4</v>
      </c>
      <c r="AF26" s="9"/>
      <c r="AG26" s="4"/>
      <c r="AH26" s="4"/>
      <c r="AI26" s="4"/>
      <c r="AJ26" s="4"/>
      <c r="AK26" s="5"/>
    </row>
    <row r="27" spans="1:37" ht="15.75" thickBot="1" x14ac:dyDescent="0.3">
      <c r="A27" s="99"/>
      <c r="B27" s="26">
        <v>18261</v>
      </c>
      <c r="C27" s="27"/>
      <c r="D27" s="27"/>
      <c r="E27" s="27">
        <v>21652</v>
      </c>
      <c r="F27" s="27">
        <f>SUM(C27-B27)</f>
        <v>-18261</v>
      </c>
      <c r="G27" s="20">
        <f>SUM(E27-D27)</f>
        <v>21652</v>
      </c>
      <c r="H27" s="21">
        <f>SUM(F27:G27)</f>
        <v>3391</v>
      </c>
      <c r="J27" s="7" t="s">
        <v>22</v>
      </c>
      <c r="K27" s="10">
        <v>209</v>
      </c>
      <c r="L27" s="11">
        <v>128.88999999999999</v>
      </c>
      <c r="M27" s="11">
        <v>270.99</v>
      </c>
      <c r="N27" s="11">
        <v>290.02999999999997</v>
      </c>
      <c r="O27" s="11">
        <v>166.04</v>
      </c>
      <c r="P27" s="11">
        <v>159.12</v>
      </c>
      <c r="Q27" s="11">
        <v>308.02</v>
      </c>
      <c r="R27" s="11">
        <v>281.02999999999997</v>
      </c>
      <c r="S27" s="11"/>
      <c r="T27" s="11"/>
      <c r="U27" s="12"/>
      <c r="W27" s="7" t="s">
        <v>22</v>
      </c>
      <c r="X27" s="10">
        <v>50</v>
      </c>
      <c r="Y27" s="11"/>
      <c r="Z27" s="11"/>
      <c r="AA27" s="11"/>
      <c r="AB27" s="11"/>
      <c r="AC27" s="12"/>
      <c r="AE27" s="7" t="s">
        <v>22</v>
      </c>
      <c r="AF27" s="10"/>
      <c r="AG27" s="11"/>
      <c r="AH27" s="11"/>
      <c r="AI27" s="11"/>
      <c r="AJ27" s="11"/>
      <c r="AK27" s="12"/>
    </row>
    <row r="28" spans="1:37" x14ac:dyDescent="0.25">
      <c r="J28" s="8"/>
      <c r="T28" s="8" t="s">
        <v>23</v>
      </c>
      <c r="U28" s="13">
        <f>SUM(K27:U27)</f>
        <v>1813.1200000000001</v>
      </c>
      <c r="AB28" s="8" t="s">
        <v>23</v>
      </c>
      <c r="AC28" s="13">
        <f>SUM(X27:AC27)</f>
        <v>50</v>
      </c>
      <c r="AJ28" s="8" t="s">
        <v>23</v>
      </c>
      <c r="AK28" s="13">
        <f>SUM(AF27:AK27)</f>
        <v>0</v>
      </c>
    </row>
    <row r="29" spans="1:37" ht="15.75" thickBot="1" x14ac:dyDescent="0.3">
      <c r="A29" s="19"/>
      <c r="B29" s="97" t="s">
        <v>16</v>
      </c>
      <c r="C29" s="97"/>
      <c r="D29" s="97"/>
      <c r="E29" s="97"/>
      <c r="F29" s="97"/>
      <c r="G29" s="97"/>
      <c r="H29" s="97"/>
      <c r="J29" s="98" t="s">
        <v>16</v>
      </c>
      <c r="K29" s="98"/>
      <c r="L29" s="98"/>
      <c r="M29" s="98"/>
      <c r="N29" s="98"/>
      <c r="O29" s="98"/>
      <c r="P29" s="98"/>
      <c r="Q29" s="98"/>
      <c r="R29" s="98"/>
      <c r="S29" s="98"/>
      <c r="T29" s="98"/>
      <c r="U29" s="98"/>
      <c r="W29" s="95" t="str">
        <f>J29</f>
        <v>Julho</v>
      </c>
      <c r="X29" s="95"/>
      <c r="Y29" s="95"/>
      <c r="Z29" s="95"/>
      <c r="AA29" s="95"/>
      <c r="AB29" s="95"/>
      <c r="AC29" s="95"/>
      <c r="AE29" s="96" t="str">
        <f>W29</f>
        <v>Julho</v>
      </c>
      <c r="AF29" s="96"/>
      <c r="AG29" s="96"/>
      <c r="AH29" s="96"/>
      <c r="AI29" s="96"/>
      <c r="AJ29" s="96"/>
      <c r="AK29" s="96"/>
    </row>
    <row r="30" spans="1:37" ht="15.75" thickBot="1" x14ac:dyDescent="0.3">
      <c r="A30" s="99" t="s">
        <v>5</v>
      </c>
      <c r="B30" s="34" t="s">
        <v>6</v>
      </c>
      <c r="C30" s="22" t="s">
        <v>7</v>
      </c>
      <c r="D30" s="33" t="s">
        <v>8</v>
      </c>
      <c r="E30" s="22" t="s">
        <v>9</v>
      </c>
      <c r="F30" s="24" t="s">
        <v>10</v>
      </c>
      <c r="G30" s="23" t="s">
        <v>11</v>
      </c>
      <c r="H30" s="25" t="s">
        <v>12</v>
      </c>
      <c r="J30" s="6" t="s">
        <v>4</v>
      </c>
      <c r="K30" s="9">
        <v>45475</v>
      </c>
      <c r="L30" s="66">
        <v>45484</v>
      </c>
      <c r="M30" s="66">
        <v>45489</v>
      </c>
      <c r="N30" s="66">
        <v>45492</v>
      </c>
      <c r="O30" s="66">
        <v>45496</v>
      </c>
      <c r="P30" s="66">
        <v>45500</v>
      </c>
      <c r="Q30" s="66">
        <v>45503</v>
      </c>
      <c r="R30" s="4"/>
      <c r="S30" s="4"/>
      <c r="T30" s="4"/>
      <c r="U30" s="5"/>
      <c r="W30" s="6" t="s">
        <v>4</v>
      </c>
      <c r="X30" s="9">
        <v>45485</v>
      </c>
      <c r="Y30" s="66">
        <v>45492</v>
      </c>
      <c r="Z30" s="4"/>
      <c r="AA30" s="4"/>
      <c r="AB30" s="4"/>
      <c r="AC30" s="5"/>
      <c r="AE30" s="6" t="s">
        <v>4</v>
      </c>
      <c r="AF30" s="9"/>
      <c r="AG30" s="4"/>
      <c r="AH30" s="4"/>
      <c r="AI30" s="4"/>
      <c r="AJ30" s="4"/>
      <c r="AK30" s="5"/>
    </row>
    <row r="31" spans="1:37" ht="15.75" thickBot="1" x14ac:dyDescent="0.3">
      <c r="A31" s="99"/>
      <c r="B31" s="26">
        <v>21652</v>
      </c>
      <c r="C31" s="27"/>
      <c r="D31" s="27"/>
      <c r="E31" s="27">
        <v>25372</v>
      </c>
      <c r="F31" s="27">
        <f>SUM(C31-B31)</f>
        <v>-21652</v>
      </c>
      <c r="G31" s="20">
        <f>SUM(E31-D31)</f>
        <v>25372</v>
      </c>
      <c r="H31" s="21">
        <f>SUM(F31:G31)</f>
        <v>3720</v>
      </c>
      <c r="J31" s="7" t="s">
        <v>22</v>
      </c>
      <c r="K31" s="10">
        <v>263.16000000000003</v>
      </c>
      <c r="L31" s="11">
        <v>282.07</v>
      </c>
      <c r="M31" s="11">
        <v>241.73</v>
      </c>
      <c r="N31" s="11">
        <v>240.71</v>
      </c>
      <c r="O31" s="11">
        <v>243.62</v>
      </c>
      <c r="P31" s="11">
        <v>246.11</v>
      </c>
      <c r="Q31" s="11">
        <v>296.01</v>
      </c>
      <c r="R31" s="11"/>
      <c r="S31" s="11"/>
      <c r="T31" s="11"/>
      <c r="U31" s="12"/>
      <c r="W31" s="7" t="s">
        <v>22</v>
      </c>
      <c r="X31" s="10">
        <v>50</v>
      </c>
      <c r="Y31" s="11">
        <v>50</v>
      </c>
      <c r="Z31" s="11"/>
      <c r="AA31" s="11"/>
      <c r="AB31" s="11"/>
      <c r="AC31" s="12"/>
      <c r="AE31" s="7" t="s">
        <v>22</v>
      </c>
      <c r="AF31" s="10"/>
      <c r="AG31" s="11"/>
      <c r="AH31" s="11"/>
      <c r="AI31" s="11"/>
      <c r="AJ31" s="11"/>
      <c r="AK31" s="12"/>
    </row>
    <row r="32" spans="1:37" x14ac:dyDescent="0.25">
      <c r="J32" s="8"/>
      <c r="T32" s="8" t="s">
        <v>23</v>
      </c>
      <c r="U32" s="13">
        <f>SUM(K31:U31)</f>
        <v>1813.41</v>
      </c>
      <c r="AB32" s="8" t="s">
        <v>23</v>
      </c>
      <c r="AC32" s="13">
        <f>SUM(X31:AC31)</f>
        <v>100</v>
      </c>
      <c r="AJ32" s="8" t="s">
        <v>23</v>
      </c>
      <c r="AK32" s="13">
        <f>SUM(AF31:AK31)</f>
        <v>0</v>
      </c>
    </row>
    <row r="33" spans="1:37" ht="15.75" thickBot="1" x14ac:dyDescent="0.3">
      <c r="A33" s="19"/>
      <c r="B33" s="97" t="s">
        <v>17</v>
      </c>
      <c r="C33" s="97"/>
      <c r="D33" s="97"/>
      <c r="E33" s="97"/>
      <c r="F33" s="97"/>
      <c r="G33" s="97"/>
      <c r="H33" s="97"/>
      <c r="J33" s="98" t="s">
        <v>17</v>
      </c>
      <c r="K33" s="98"/>
      <c r="L33" s="98"/>
      <c r="M33" s="98"/>
      <c r="N33" s="98"/>
      <c r="O33" s="98"/>
      <c r="P33" s="98"/>
      <c r="Q33" s="98"/>
      <c r="R33" s="98"/>
      <c r="S33" s="98"/>
      <c r="T33" s="98"/>
      <c r="U33" s="98"/>
      <c r="W33" s="95" t="str">
        <f>J33</f>
        <v>Agosto</v>
      </c>
      <c r="X33" s="95"/>
      <c r="Y33" s="95"/>
      <c r="Z33" s="95"/>
      <c r="AA33" s="95"/>
      <c r="AB33" s="95"/>
      <c r="AC33" s="95"/>
      <c r="AE33" s="96" t="str">
        <f>W33</f>
        <v>Agosto</v>
      </c>
      <c r="AF33" s="96"/>
      <c r="AG33" s="96"/>
      <c r="AH33" s="96"/>
      <c r="AI33" s="96"/>
      <c r="AJ33" s="96"/>
      <c r="AK33" s="96"/>
    </row>
    <row r="34" spans="1:37" ht="15.75" thickBot="1" x14ac:dyDescent="0.3">
      <c r="A34" s="99" t="s">
        <v>5</v>
      </c>
      <c r="B34" s="34" t="s">
        <v>6</v>
      </c>
      <c r="C34" s="22" t="s">
        <v>7</v>
      </c>
      <c r="D34" s="33" t="s">
        <v>8</v>
      </c>
      <c r="E34" s="22" t="s">
        <v>9</v>
      </c>
      <c r="F34" s="24" t="s">
        <v>10</v>
      </c>
      <c r="G34" s="23" t="s">
        <v>11</v>
      </c>
      <c r="H34" s="25" t="s">
        <v>12</v>
      </c>
      <c r="J34" s="6" t="s">
        <v>4</v>
      </c>
      <c r="K34" s="9">
        <v>45505</v>
      </c>
      <c r="L34" s="66">
        <v>45511</v>
      </c>
      <c r="M34" s="66">
        <v>45517</v>
      </c>
      <c r="N34" s="66">
        <v>45519</v>
      </c>
      <c r="O34" s="66">
        <v>45524</v>
      </c>
      <c r="P34" s="66">
        <v>45526</v>
      </c>
      <c r="Q34" s="66">
        <v>45531</v>
      </c>
      <c r="R34" s="66">
        <v>45533</v>
      </c>
      <c r="S34" s="4"/>
      <c r="T34" s="4"/>
      <c r="U34" s="5"/>
      <c r="W34" s="6" t="s">
        <v>4</v>
      </c>
      <c r="X34" s="9">
        <v>45506</v>
      </c>
      <c r="Y34" s="66">
        <v>45513</v>
      </c>
      <c r="Z34" s="66">
        <v>45533</v>
      </c>
      <c r="AA34" s="4"/>
      <c r="AB34" s="4"/>
      <c r="AC34" s="5"/>
      <c r="AE34" s="6" t="s">
        <v>4</v>
      </c>
      <c r="AF34" s="9"/>
      <c r="AG34" s="4"/>
      <c r="AH34" s="4"/>
      <c r="AI34" s="4"/>
      <c r="AJ34" s="4"/>
      <c r="AK34" s="5"/>
    </row>
    <row r="35" spans="1:37" ht="15.75" thickBot="1" x14ac:dyDescent="0.3">
      <c r="A35" s="99"/>
      <c r="B35" s="26">
        <v>25372</v>
      </c>
      <c r="C35" s="27"/>
      <c r="D35" s="27"/>
      <c r="E35" s="27">
        <v>28657</v>
      </c>
      <c r="F35" s="27">
        <f>SUM(C35-B35)</f>
        <v>-25372</v>
      </c>
      <c r="G35" s="20">
        <f>SUM(E35-D35)</f>
        <v>28657</v>
      </c>
      <c r="H35" s="21">
        <f>SUM(F35:G35)</f>
        <v>3285</v>
      </c>
      <c r="J35" s="7" t="s">
        <v>22</v>
      </c>
      <c r="K35" s="10">
        <v>182.41</v>
      </c>
      <c r="L35" s="11">
        <v>291.95999999999998</v>
      </c>
      <c r="M35" s="11">
        <v>283.08999999999997</v>
      </c>
      <c r="N35" s="11">
        <v>167.7</v>
      </c>
      <c r="O35" s="11">
        <v>255.99</v>
      </c>
      <c r="P35" s="11">
        <v>177.87</v>
      </c>
      <c r="Q35" s="11">
        <v>289.48</v>
      </c>
      <c r="R35" s="11">
        <v>135.86000000000001</v>
      </c>
      <c r="S35" s="11"/>
      <c r="T35" s="11"/>
      <c r="U35" s="12"/>
      <c r="W35" s="7" t="s">
        <v>22</v>
      </c>
      <c r="X35" s="10">
        <v>50</v>
      </c>
      <c r="Y35" s="11">
        <v>50</v>
      </c>
      <c r="Z35" s="11">
        <v>50</v>
      </c>
      <c r="AA35" s="11"/>
      <c r="AB35" s="11"/>
      <c r="AC35" s="12"/>
      <c r="AE35" s="7" t="s">
        <v>22</v>
      </c>
      <c r="AF35" s="10"/>
      <c r="AG35" s="11"/>
      <c r="AH35" s="11"/>
      <c r="AI35" s="11"/>
      <c r="AJ35" s="11"/>
      <c r="AK35" s="12"/>
    </row>
    <row r="36" spans="1:37" x14ac:dyDescent="0.25">
      <c r="J36" s="8"/>
      <c r="T36" s="8" t="s">
        <v>23</v>
      </c>
      <c r="U36" s="13">
        <f>SUM(K35:U35)</f>
        <v>1784.3600000000001</v>
      </c>
      <c r="AB36" s="8" t="s">
        <v>23</v>
      </c>
      <c r="AC36" s="13">
        <f>SUM(X35:AC35)</f>
        <v>150</v>
      </c>
      <c r="AJ36" s="8" t="s">
        <v>23</v>
      </c>
      <c r="AK36" s="13">
        <f>SUM(AF35:AK35)</f>
        <v>0</v>
      </c>
    </row>
    <row r="37" spans="1:37" ht="15.75" thickBot="1" x14ac:dyDescent="0.3">
      <c r="A37" s="19"/>
      <c r="B37" s="97" t="s">
        <v>95</v>
      </c>
      <c r="C37" s="97"/>
      <c r="D37" s="97"/>
      <c r="E37" s="97"/>
      <c r="F37" s="97"/>
      <c r="G37" s="97"/>
      <c r="H37" s="97"/>
      <c r="J37" s="98" t="s">
        <v>18</v>
      </c>
      <c r="K37" s="98"/>
      <c r="L37" s="98"/>
      <c r="M37" s="98"/>
      <c r="N37" s="98"/>
      <c r="O37" s="98"/>
      <c r="P37" s="98"/>
      <c r="Q37" s="98"/>
      <c r="R37" s="98"/>
      <c r="S37" s="98"/>
      <c r="T37" s="98"/>
      <c r="U37" s="98"/>
      <c r="W37" s="95" t="str">
        <f>J37</f>
        <v>Setembro</v>
      </c>
      <c r="X37" s="95"/>
      <c r="Y37" s="95"/>
      <c r="Z37" s="95"/>
      <c r="AA37" s="95"/>
      <c r="AB37" s="95"/>
      <c r="AC37" s="95"/>
      <c r="AE37" s="96" t="str">
        <f>W37</f>
        <v>Setembro</v>
      </c>
      <c r="AF37" s="96"/>
      <c r="AG37" s="96"/>
      <c r="AH37" s="96"/>
      <c r="AI37" s="96"/>
      <c r="AJ37" s="96"/>
      <c r="AK37" s="96"/>
    </row>
    <row r="38" spans="1:37" ht="15.75" thickBot="1" x14ac:dyDescent="0.3">
      <c r="A38" s="99" t="s">
        <v>5</v>
      </c>
      <c r="B38" s="34" t="s">
        <v>6</v>
      </c>
      <c r="C38" s="22" t="s">
        <v>7</v>
      </c>
      <c r="D38" s="33" t="s">
        <v>8</v>
      </c>
      <c r="E38" s="22" t="s">
        <v>9</v>
      </c>
      <c r="F38" s="24" t="s">
        <v>10</v>
      </c>
      <c r="G38" s="23" t="s">
        <v>11</v>
      </c>
      <c r="H38" s="25" t="s">
        <v>12</v>
      </c>
      <c r="J38" s="6" t="s">
        <v>4</v>
      </c>
      <c r="K38" s="9">
        <v>45538</v>
      </c>
      <c r="L38" s="66">
        <v>45540</v>
      </c>
      <c r="M38" s="66">
        <v>45545</v>
      </c>
      <c r="N38" s="66">
        <v>45552</v>
      </c>
      <c r="O38" s="4"/>
      <c r="P38" s="4"/>
      <c r="Q38" s="4"/>
      <c r="R38" s="4"/>
      <c r="S38" s="4"/>
      <c r="T38" s="4"/>
      <c r="U38" s="5"/>
      <c r="W38" s="6" t="s">
        <v>4</v>
      </c>
      <c r="X38" s="9">
        <v>45544</v>
      </c>
      <c r="Y38" s="66">
        <v>45558</v>
      </c>
      <c r="Z38" s="4"/>
      <c r="AA38" s="4"/>
      <c r="AB38" s="4"/>
      <c r="AC38" s="5"/>
      <c r="AE38" s="6" t="s">
        <v>4</v>
      </c>
      <c r="AF38" s="9"/>
      <c r="AG38" s="4"/>
      <c r="AH38" s="4"/>
      <c r="AI38" s="4"/>
      <c r="AJ38" s="4"/>
      <c r="AK38" s="5"/>
    </row>
    <row r="39" spans="1:37" ht="15.75" thickBot="1" x14ac:dyDescent="0.3">
      <c r="A39" s="99"/>
      <c r="B39" s="26">
        <v>28309</v>
      </c>
      <c r="C39" s="27"/>
      <c r="D39" s="27"/>
      <c r="E39" s="27">
        <v>29485</v>
      </c>
      <c r="F39" s="27">
        <f>SUM(C39-B39)</f>
        <v>-28309</v>
      </c>
      <c r="G39" s="20">
        <f>SUM(E39-D39)</f>
        <v>29485</v>
      </c>
      <c r="H39" s="21">
        <f>SUM(F39:G39)</f>
        <v>1176</v>
      </c>
      <c r="J39" s="7" t="s">
        <v>22</v>
      </c>
      <c r="K39" s="10">
        <v>281.76</v>
      </c>
      <c r="L39" s="11">
        <v>181.85</v>
      </c>
      <c r="M39" s="11">
        <v>243.22</v>
      </c>
      <c r="N39" s="11">
        <v>300</v>
      </c>
      <c r="O39" s="11"/>
      <c r="P39" s="11"/>
      <c r="Q39" s="11"/>
      <c r="R39" s="11"/>
      <c r="S39" s="11"/>
      <c r="T39" s="11"/>
      <c r="U39" s="12"/>
      <c r="W39" s="7" t="s">
        <v>22</v>
      </c>
      <c r="X39" s="10">
        <v>50</v>
      </c>
      <c r="Y39" s="11">
        <v>50</v>
      </c>
      <c r="Z39" s="11"/>
      <c r="AA39" s="11"/>
      <c r="AB39" s="11"/>
      <c r="AC39" s="12"/>
      <c r="AE39" s="7" t="s">
        <v>22</v>
      </c>
      <c r="AF39" s="10"/>
      <c r="AG39" s="11"/>
      <c r="AH39" s="11"/>
      <c r="AI39" s="11"/>
      <c r="AJ39" s="11"/>
      <c r="AK39" s="12"/>
    </row>
    <row r="40" spans="1:37" x14ac:dyDescent="0.25">
      <c r="J40" s="8"/>
      <c r="T40" s="8" t="s">
        <v>23</v>
      </c>
      <c r="U40" s="13">
        <f>SUM(K39:U39)</f>
        <v>1006.83</v>
      </c>
      <c r="AB40" s="8" t="s">
        <v>23</v>
      </c>
      <c r="AC40" s="13">
        <f>SUM(X39:AC39)</f>
        <v>100</v>
      </c>
      <c r="AJ40" s="8" t="s">
        <v>23</v>
      </c>
      <c r="AK40" s="13">
        <f>SUM(AF39:AK39)</f>
        <v>0</v>
      </c>
    </row>
    <row r="41" spans="1:37" ht="15.75" thickBot="1" x14ac:dyDescent="0.3">
      <c r="A41" s="19"/>
      <c r="B41" s="97" t="s">
        <v>19</v>
      </c>
      <c r="C41" s="97"/>
      <c r="D41" s="97"/>
      <c r="E41" s="97"/>
      <c r="F41" s="97"/>
      <c r="G41" s="97"/>
      <c r="H41" s="97"/>
      <c r="J41" s="98" t="s">
        <v>19</v>
      </c>
      <c r="K41" s="98"/>
      <c r="L41" s="98"/>
      <c r="M41" s="98"/>
      <c r="N41" s="98"/>
      <c r="O41" s="98"/>
      <c r="P41" s="98"/>
      <c r="Q41" s="98"/>
      <c r="R41" s="98"/>
      <c r="S41" s="98"/>
      <c r="T41" s="98"/>
      <c r="U41" s="98"/>
      <c r="W41" s="95" t="str">
        <f>J41</f>
        <v>Outubro</v>
      </c>
      <c r="X41" s="95"/>
      <c r="Y41" s="95"/>
      <c r="Z41" s="95"/>
      <c r="AA41" s="95"/>
      <c r="AB41" s="95"/>
      <c r="AC41" s="95"/>
      <c r="AE41" s="96" t="str">
        <f>W41</f>
        <v>Outubro</v>
      </c>
      <c r="AF41" s="96"/>
      <c r="AG41" s="96"/>
      <c r="AH41" s="96"/>
      <c r="AI41" s="96"/>
      <c r="AJ41" s="96"/>
      <c r="AK41" s="96"/>
    </row>
    <row r="42" spans="1:37" ht="15.75" thickBot="1" x14ac:dyDescent="0.3">
      <c r="A42" s="99" t="s">
        <v>5</v>
      </c>
      <c r="B42" s="34" t="s">
        <v>6</v>
      </c>
      <c r="C42" s="22" t="s">
        <v>7</v>
      </c>
      <c r="D42" s="33" t="s">
        <v>8</v>
      </c>
      <c r="E42" s="22" t="s">
        <v>9</v>
      </c>
      <c r="F42" s="24" t="s">
        <v>10</v>
      </c>
      <c r="G42" s="23" t="s">
        <v>11</v>
      </c>
      <c r="H42" s="25" t="s">
        <v>12</v>
      </c>
      <c r="J42" s="6" t="s">
        <v>4</v>
      </c>
      <c r="K42" s="9">
        <v>45568</v>
      </c>
      <c r="L42" s="66">
        <v>45576</v>
      </c>
      <c r="M42" s="66">
        <v>45588</v>
      </c>
      <c r="N42" s="66">
        <v>45596</v>
      </c>
      <c r="O42" s="4"/>
      <c r="P42" s="4"/>
      <c r="Q42" s="4"/>
      <c r="R42" s="4"/>
      <c r="S42" s="4"/>
      <c r="T42" s="4"/>
      <c r="U42" s="5"/>
      <c r="W42" s="6" t="s">
        <v>4</v>
      </c>
      <c r="X42" s="9">
        <v>45568</v>
      </c>
      <c r="Y42" s="4"/>
      <c r="Z42" s="4"/>
      <c r="AA42" s="4"/>
      <c r="AB42" s="4"/>
      <c r="AC42" s="5"/>
      <c r="AE42" s="6" t="s">
        <v>4</v>
      </c>
      <c r="AF42" s="9"/>
      <c r="AG42" s="4"/>
      <c r="AH42" s="4"/>
      <c r="AI42" s="4"/>
      <c r="AJ42" s="4"/>
      <c r="AK42" s="5"/>
    </row>
    <row r="43" spans="1:37" ht="15.75" thickBot="1" x14ac:dyDescent="0.3">
      <c r="A43" s="99"/>
      <c r="B43" s="26">
        <v>29485</v>
      </c>
      <c r="C43" s="27"/>
      <c r="D43" s="27"/>
      <c r="E43" s="27">
        <v>31126</v>
      </c>
      <c r="F43" s="27">
        <f>SUM(C43-B43)</f>
        <v>-29485</v>
      </c>
      <c r="G43" s="20">
        <f>SUM(E43-D43)</f>
        <v>31126</v>
      </c>
      <c r="H43" s="21">
        <f>SUM(F43:G43)</f>
        <v>1641</v>
      </c>
      <c r="J43" s="7" t="s">
        <v>22</v>
      </c>
      <c r="K43" s="10">
        <v>299.93</v>
      </c>
      <c r="L43" s="11">
        <v>271.52</v>
      </c>
      <c r="M43" s="11">
        <v>280.95</v>
      </c>
      <c r="N43" s="11">
        <v>294.51</v>
      </c>
      <c r="O43" s="11"/>
      <c r="P43" s="11"/>
      <c r="Q43" s="11"/>
      <c r="R43" s="11"/>
      <c r="S43" s="11"/>
      <c r="T43" s="11"/>
      <c r="U43" s="12"/>
      <c r="W43" s="7" t="s">
        <v>22</v>
      </c>
      <c r="X43" s="10">
        <v>50</v>
      </c>
      <c r="Y43" s="11"/>
      <c r="Z43" s="11"/>
      <c r="AA43" s="11"/>
      <c r="AB43" s="11"/>
      <c r="AC43" s="12"/>
      <c r="AE43" s="7" t="s">
        <v>22</v>
      </c>
      <c r="AF43" s="10"/>
      <c r="AG43" s="11"/>
      <c r="AH43" s="11"/>
      <c r="AI43" s="11"/>
      <c r="AJ43" s="11"/>
      <c r="AK43" s="12"/>
    </row>
    <row r="44" spans="1:37" x14ac:dyDescent="0.25">
      <c r="J44" s="8"/>
      <c r="T44" s="8" t="s">
        <v>23</v>
      </c>
      <c r="U44" s="13">
        <f>SUM(K43:U43)</f>
        <v>1146.9100000000001</v>
      </c>
      <c r="AB44" s="8" t="s">
        <v>23</v>
      </c>
      <c r="AC44" s="13">
        <f>SUM(X43:AC43)</f>
        <v>50</v>
      </c>
      <c r="AJ44" s="8" t="s">
        <v>23</v>
      </c>
      <c r="AK44" s="13">
        <f>SUM(AF43:AK43)</f>
        <v>0</v>
      </c>
    </row>
    <row r="45" spans="1:37" ht="15.75" thickBot="1" x14ac:dyDescent="0.3">
      <c r="A45" s="19"/>
      <c r="B45" s="97" t="s">
        <v>20</v>
      </c>
      <c r="C45" s="97"/>
      <c r="D45" s="97"/>
      <c r="E45" s="97"/>
      <c r="F45" s="97"/>
      <c r="G45" s="97"/>
      <c r="H45" s="97"/>
      <c r="J45" s="98" t="s">
        <v>20</v>
      </c>
      <c r="K45" s="98"/>
      <c r="L45" s="98"/>
      <c r="M45" s="98"/>
      <c r="N45" s="98"/>
      <c r="O45" s="98"/>
      <c r="P45" s="98"/>
      <c r="Q45" s="98"/>
      <c r="R45" s="98"/>
      <c r="S45" s="98"/>
      <c r="T45" s="98"/>
      <c r="U45" s="98"/>
      <c r="W45" s="95" t="str">
        <f>J45</f>
        <v>Novembro</v>
      </c>
      <c r="X45" s="95"/>
      <c r="Y45" s="95"/>
      <c r="Z45" s="95"/>
      <c r="AA45" s="95"/>
      <c r="AB45" s="95"/>
      <c r="AC45" s="95"/>
      <c r="AE45" s="96" t="str">
        <f>W45</f>
        <v>Novembro</v>
      </c>
      <c r="AF45" s="96"/>
      <c r="AG45" s="96"/>
      <c r="AH45" s="96"/>
      <c r="AI45" s="96"/>
      <c r="AJ45" s="96"/>
      <c r="AK45" s="96"/>
    </row>
    <row r="46" spans="1:37" ht="15.75" thickBot="1" x14ac:dyDescent="0.3">
      <c r="A46" s="99" t="s">
        <v>5</v>
      </c>
      <c r="B46" s="34" t="s">
        <v>6</v>
      </c>
      <c r="C46" s="22" t="s">
        <v>7</v>
      </c>
      <c r="D46" s="33" t="s">
        <v>8</v>
      </c>
      <c r="E46" s="22" t="s">
        <v>9</v>
      </c>
      <c r="F46" s="24" t="s">
        <v>10</v>
      </c>
      <c r="G46" s="23" t="s">
        <v>11</v>
      </c>
      <c r="H46" s="25" t="s">
        <v>12</v>
      </c>
      <c r="J46" s="6" t="s">
        <v>4</v>
      </c>
      <c r="K46" s="9">
        <v>45603</v>
      </c>
      <c r="L46" s="66">
        <v>45604</v>
      </c>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9"/>
      <c r="B47" s="26"/>
      <c r="C47" s="27"/>
      <c r="D47" s="27"/>
      <c r="E47" s="27"/>
      <c r="F47" s="27">
        <f>SUM(C47-B47)</f>
        <v>0</v>
      </c>
      <c r="G47" s="20">
        <f>SUM(E47-D47)</f>
        <v>0</v>
      </c>
      <c r="H47" s="21">
        <f>SUM(F47:G47)</f>
        <v>0</v>
      </c>
      <c r="J47" s="7" t="s">
        <v>22</v>
      </c>
      <c r="K47" s="10">
        <v>295.54000000000002</v>
      </c>
      <c r="L47" s="11">
        <v>276.04000000000002</v>
      </c>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571.58000000000004</v>
      </c>
      <c r="AB48" s="8" t="s">
        <v>23</v>
      </c>
      <c r="AC48" s="13">
        <f>SUM(X47:AC47)</f>
        <v>0</v>
      </c>
      <c r="AJ48" s="8" t="s">
        <v>23</v>
      </c>
      <c r="AK48" s="13">
        <f>SUM(AF47:AK47)</f>
        <v>0</v>
      </c>
    </row>
    <row r="49" spans="1:37" ht="15.75" thickBot="1" x14ac:dyDescent="0.3">
      <c r="A49" s="19"/>
      <c r="B49" s="97" t="s">
        <v>21</v>
      </c>
      <c r="C49" s="97"/>
      <c r="D49" s="97"/>
      <c r="E49" s="97"/>
      <c r="F49" s="97"/>
      <c r="G49" s="97"/>
      <c r="H49" s="97"/>
      <c r="J49" s="98" t="s">
        <v>21</v>
      </c>
      <c r="K49" s="98"/>
      <c r="L49" s="98"/>
      <c r="M49" s="98"/>
      <c r="N49" s="98"/>
      <c r="O49" s="98"/>
      <c r="P49" s="98"/>
      <c r="Q49" s="98"/>
      <c r="R49" s="98"/>
      <c r="S49" s="98"/>
      <c r="T49" s="98"/>
      <c r="U49" s="98"/>
      <c r="W49" s="95" t="str">
        <f>J49</f>
        <v>Dezembro</v>
      </c>
      <c r="X49" s="95"/>
      <c r="Y49" s="95"/>
      <c r="Z49" s="95"/>
      <c r="AA49" s="95"/>
      <c r="AB49" s="95"/>
      <c r="AC49" s="95"/>
      <c r="AE49" s="96" t="str">
        <f>W49</f>
        <v>Dezembro</v>
      </c>
      <c r="AF49" s="96"/>
      <c r="AG49" s="96"/>
      <c r="AH49" s="96"/>
      <c r="AI49" s="96"/>
      <c r="AJ49" s="96"/>
      <c r="AK49" s="96"/>
    </row>
    <row r="50" spans="1:37"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c r="B53" s="97" t="s">
        <v>102</v>
      </c>
      <c r="C53" s="97"/>
      <c r="D53" s="97"/>
      <c r="E53" s="97"/>
      <c r="F53" s="97"/>
      <c r="G53" s="97"/>
      <c r="H53" s="97"/>
      <c r="J53" s="98" t="s">
        <v>102</v>
      </c>
      <c r="K53" s="98"/>
      <c r="L53" s="98"/>
      <c r="M53" s="98"/>
      <c r="N53" s="98"/>
      <c r="O53" s="98"/>
      <c r="P53" s="98"/>
      <c r="Q53" s="98"/>
      <c r="R53" s="98"/>
      <c r="S53" s="98"/>
      <c r="T53" s="98"/>
      <c r="U53" s="98"/>
      <c r="W53" s="95" t="str">
        <f>J53</f>
        <v>Janeiro</v>
      </c>
      <c r="X53" s="95"/>
      <c r="Y53" s="95"/>
      <c r="Z53" s="95"/>
      <c r="AA53" s="95"/>
      <c r="AB53" s="95"/>
      <c r="AC53" s="95"/>
      <c r="AE53" s="96" t="str">
        <f>W53</f>
        <v>Janeiro</v>
      </c>
      <c r="AF53" s="96"/>
      <c r="AG53" s="96"/>
      <c r="AH53" s="96"/>
      <c r="AI53" s="96"/>
      <c r="AJ53" s="96"/>
      <c r="AK53" s="96"/>
    </row>
    <row r="54" spans="1:37" ht="15.75" thickBot="1" x14ac:dyDescent="0.3">
      <c r="A54" s="99"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99"/>
      <c r="B55" s="26"/>
      <c r="C55" s="27"/>
      <c r="D55" s="27"/>
      <c r="E55" s="27"/>
      <c r="F55" s="27">
        <f>SUM(C55-B55)</f>
        <v>0</v>
      </c>
      <c r="G55" s="20">
        <f>SUM(E55-D55)</f>
        <v>0</v>
      </c>
      <c r="H55" s="21">
        <f>SUM(F55:G55)</f>
        <v>0</v>
      </c>
      <c r="J55" s="7"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sheetData>
  <mergeCells count="68">
    <mergeCell ref="B53:H53"/>
    <mergeCell ref="J53:U53"/>
    <mergeCell ref="W53:AC53"/>
    <mergeCell ref="AE53:AK53"/>
    <mergeCell ref="A54:A5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76"/>
  <sheetViews>
    <sheetView showGridLines="0" topLeftCell="A49" workbookViewId="0">
      <selection activeCell="G79" sqref="G7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6" width="10.42578125" bestFit="1" customWidth="1"/>
    <col min="21" max="21" width="10.5703125" bestFit="1" customWidth="1"/>
    <col min="37" max="39" width="10.140625" bestFit="1" customWidth="1"/>
  </cols>
  <sheetData>
    <row r="2" spans="1:40" x14ac:dyDescent="0.25">
      <c r="A2" t="s">
        <v>0</v>
      </c>
      <c r="B2" s="100" t="s">
        <v>97</v>
      </c>
      <c r="C2" s="100"/>
      <c r="D2" s="1" t="s">
        <v>1</v>
      </c>
      <c r="E2" s="100" t="s">
        <v>101</v>
      </c>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87" t="s">
        <v>122</v>
      </c>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v>45547</v>
      </c>
      <c r="L38" s="66">
        <v>45554</v>
      </c>
      <c r="M38" s="66">
        <v>45560</v>
      </c>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v>296</v>
      </c>
      <c r="C39" s="27"/>
      <c r="D39" s="27"/>
      <c r="E39" s="27">
        <v>1634</v>
      </c>
      <c r="F39" s="27">
        <f>SUM(C39-B39)</f>
        <v>-296</v>
      </c>
      <c r="G39" s="20">
        <f>SUM(E39-D39)</f>
        <v>1634</v>
      </c>
      <c r="H39" s="21">
        <f>SUM(F39:G39)</f>
        <v>1338</v>
      </c>
      <c r="J39" s="7" t="s">
        <v>22</v>
      </c>
      <c r="K39" s="10">
        <v>224.09</v>
      </c>
      <c r="L39" s="11">
        <v>170.09</v>
      </c>
      <c r="M39" s="11">
        <v>273.08999999999997</v>
      </c>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B40" s="1">
        <v>1634</v>
      </c>
      <c r="E40" s="1">
        <v>2428</v>
      </c>
      <c r="J40" s="8"/>
      <c r="T40" s="8" t="s">
        <v>23</v>
      </c>
      <c r="U40" s="13">
        <f>SUM(K39:U39)</f>
        <v>667.27</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v>45566</v>
      </c>
      <c r="L42" s="9">
        <v>45579</v>
      </c>
      <c r="M42" s="9">
        <v>45582</v>
      </c>
      <c r="N42" s="66">
        <v>45587</v>
      </c>
      <c r="O42" s="66">
        <v>45589</v>
      </c>
      <c r="P42" s="66"/>
      <c r="Q42" s="66"/>
      <c r="R42" s="66"/>
      <c r="S42" s="66"/>
      <c r="T42" s="66"/>
      <c r="U42" s="71"/>
      <c r="Y42" s="6" t="s">
        <v>4</v>
      </c>
      <c r="Z42" s="9"/>
      <c r="AA42" s="4"/>
      <c r="AB42" s="4"/>
      <c r="AC42" s="4"/>
      <c r="AD42" s="4"/>
      <c r="AE42" s="5"/>
      <c r="AH42" s="6" t="s">
        <v>4</v>
      </c>
      <c r="AI42" s="9"/>
      <c r="AJ42" s="4"/>
      <c r="AK42" s="4"/>
      <c r="AL42" s="4"/>
      <c r="AM42" s="4"/>
      <c r="AN42" s="5"/>
    </row>
    <row r="43" spans="1:40" ht="15.75" thickBot="1" x14ac:dyDescent="0.3">
      <c r="A43" s="99"/>
      <c r="B43" s="26">
        <v>4097</v>
      </c>
      <c r="C43" s="27"/>
      <c r="D43" s="27"/>
      <c r="E43" s="27">
        <v>6466</v>
      </c>
      <c r="F43" s="27">
        <f>SUM(C43-B43)</f>
        <v>-4097</v>
      </c>
      <c r="G43" s="20">
        <f>SUM(E43-D43)</f>
        <v>6466</v>
      </c>
      <c r="H43" s="21">
        <f>SUM(F43:G43)</f>
        <v>2369</v>
      </c>
      <c r="J43" s="7" t="s">
        <v>22</v>
      </c>
      <c r="K43" s="10">
        <v>257.58</v>
      </c>
      <c r="L43" s="11">
        <v>216.99</v>
      </c>
      <c r="M43" s="11">
        <v>111</v>
      </c>
      <c r="N43" s="11">
        <v>243.02</v>
      </c>
      <c r="O43" s="11">
        <v>141.07</v>
      </c>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969.65999999999985</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v>45601</v>
      </c>
      <c r="L46" s="4"/>
      <c r="M46" s="4"/>
      <c r="N46" s="4"/>
      <c r="O46" s="4"/>
      <c r="P46" s="66">
        <v>45625</v>
      </c>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v>7863</v>
      </c>
      <c r="C47" s="27">
        <v>8416</v>
      </c>
      <c r="D47" s="27">
        <v>8416</v>
      </c>
      <c r="E47" s="27">
        <v>9362</v>
      </c>
      <c r="F47" s="27">
        <f>SUM(C47-B47)</f>
        <v>553</v>
      </c>
      <c r="G47" s="20">
        <f>SUM(E47-D47)</f>
        <v>946</v>
      </c>
      <c r="H47" s="21">
        <f>SUM(F47:G47)</f>
        <v>1499</v>
      </c>
      <c r="J47" s="7" t="s">
        <v>22</v>
      </c>
      <c r="K47" s="10">
        <v>241.04</v>
      </c>
      <c r="L47" s="11"/>
      <c r="M47" s="11"/>
      <c r="N47" s="11"/>
      <c r="O47" s="11"/>
      <c r="P47" s="11">
        <v>99.09</v>
      </c>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340.13</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v>45629</v>
      </c>
      <c r="L50" s="66">
        <v>45631</v>
      </c>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v>9362</v>
      </c>
      <c r="C51" s="27">
        <v>12148</v>
      </c>
      <c r="D51" s="27"/>
      <c r="E51" s="27"/>
      <c r="F51" s="27">
        <f>SUM(C51-B51)</f>
        <v>2786</v>
      </c>
      <c r="G51" s="20">
        <f>SUM(E51-D51)</f>
        <v>0</v>
      </c>
      <c r="H51" s="21">
        <f>SUM(F51:G51)</f>
        <v>2786</v>
      </c>
      <c r="J51" s="7" t="s">
        <v>22</v>
      </c>
      <c r="K51" s="10">
        <v>161.13999999999999</v>
      </c>
      <c r="L51" s="11">
        <v>137.26</v>
      </c>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298.39999999999998</v>
      </c>
      <c r="AD52" s="8" t="s">
        <v>23</v>
      </c>
      <c r="AE52" s="13">
        <f>SUM(Z51:AE51)</f>
        <v>0</v>
      </c>
      <c r="AM52" s="8" t="s">
        <v>23</v>
      </c>
      <c r="AN52" s="13">
        <f>SUM(AI51:AN51)</f>
        <v>0</v>
      </c>
    </row>
    <row r="53" spans="1:40" ht="15.75" thickBot="1" x14ac:dyDescent="0.3">
      <c r="A53" s="19"/>
      <c r="B53" s="97" t="s">
        <v>102</v>
      </c>
      <c r="C53" s="97"/>
      <c r="D53" s="97"/>
      <c r="E53" s="97"/>
      <c r="F53" s="97"/>
      <c r="G53" s="97"/>
      <c r="H53" s="97"/>
      <c r="J53" s="98" t="s">
        <v>102</v>
      </c>
      <c r="K53" s="98"/>
      <c r="L53" s="98"/>
      <c r="M53" s="98"/>
      <c r="N53" s="98"/>
      <c r="O53" s="98"/>
      <c r="P53" s="98"/>
      <c r="Q53" s="98"/>
      <c r="R53" s="98"/>
      <c r="S53" s="98"/>
      <c r="T53" s="98"/>
      <c r="U53" s="98"/>
      <c r="Y53" s="95" t="str">
        <f>J53</f>
        <v>Janeiro</v>
      </c>
      <c r="Z53" s="95"/>
      <c r="AA53" s="95"/>
      <c r="AB53" s="95"/>
      <c r="AC53" s="95"/>
      <c r="AD53" s="95"/>
      <c r="AE53" s="95"/>
      <c r="AH53" s="96" t="str">
        <f>Y53</f>
        <v>Janeiro</v>
      </c>
      <c r="AI53" s="96"/>
      <c r="AJ53" s="96"/>
      <c r="AK53" s="96"/>
      <c r="AL53" s="96"/>
      <c r="AM53" s="96"/>
      <c r="AN53" s="96"/>
    </row>
    <row r="54" spans="1:40" ht="15.75" thickBot="1" x14ac:dyDescent="0.3">
      <c r="A54" s="99" t="s">
        <v>5</v>
      </c>
      <c r="B54" s="34" t="s">
        <v>6</v>
      </c>
      <c r="C54" s="22" t="s">
        <v>7</v>
      </c>
      <c r="D54" s="33" t="s">
        <v>8</v>
      </c>
      <c r="E54" s="22" t="s">
        <v>9</v>
      </c>
      <c r="F54" s="24" t="s">
        <v>10</v>
      </c>
      <c r="G54" s="23" t="s">
        <v>11</v>
      </c>
      <c r="H54" s="25" t="s">
        <v>12</v>
      </c>
      <c r="J54" s="6" t="s">
        <v>4</v>
      </c>
      <c r="K54" s="9">
        <v>45664</v>
      </c>
      <c r="L54" s="66">
        <v>45666</v>
      </c>
      <c r="M54" s="66">
        <v>45671</v>
      </c>
      <c r="N54" s="66">
        <v>45678</v>
      </c>
      <c r="O54" s="66">
        <v>45680</v>
      </c>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99"/>
      <c r="B55" s="26">
        <v>13488</v>
      </c>
      <c r="C55" s="27">
        <v>15136</v>
      </c>
      <c r="D55" s="27">
        <v>14447</v>
      </c>
      <c r="E55" s="27">
        <v>15603</v>
      </c>
      <c r="F55" s="27">
        <f>SUM(C55-B55)</f>
        <v>1648</v>
      </c>
      <c r="G55" s="20">
        <f>SUM(E55-D55)</f>
        <v>1156</v>
      </c>
      <c r="H55" s="21">
        <f>SUM(F55:G55)</f>
        <v>2804</v>
      </c>
      <c r="J55" s="7" t="s">
        <v>22</v>
      </c>
      <c r="K55" s="10">
        <v>247.6</v>
      </c>
      <c r="L55" s="11">
        <v>100.03</v>
      </c>
      <c r="M55" s="11">
        <v>196.01</v>
      </c>
      <c r="N55" s="11">
        <v>220.48</v>
      </c>
      <c r="O55" s="11">
        <v>104.77</v>
      </c>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868.89</v>
      </c>
      <c r="AD56" s="8" t="s">
        <v>23</v>
      </c>
      <c r="AE56" s="13">
        <f>SUM(Z55:AE55)</f>
        <v>0</v>
      </c>
      <c r="AM56" s="8" t="s">
        <v>23</v>
      </c>
      <c r="AN56" s="13">
        <f>SUM(AI55:AN55)</f>
        <v>0</v>
      </c>
    </row>
    <row r="57" spans="1:40" ht="15.75" thickBot="1" x14ac:dyDescent="0.3">
      <c r="A57" s="19"/>
      <c r="B57" s="97" t="s">
        <v>3</v>
      </c>
      <c r="C57" s="97"/>
      <c r="D57" s="97"/>
      <c r="E57" s="97"/>
      <c r="F57" s="97"/>
      <c r="G57" s="97"/>
      <c r="H57" s="97"/>
      <c r="J57" s="98" t="s">
        <v>3</v>
      </c>
      <c r="K57" s="98"/>
      <c r="L57" s="98"/>
      <c r="M57" s="98"/>
      <c r="N57" s="98"/>
      <c r="O57" s="98"/>
      <c r="P57" s="98"/>
      <c r="Q57" s="98"/>
      <c r="R57" s="98"/>
      <c r="S57" s="98"/>
      <c r="T57" s="98"/>
      <c r="U57" s="98"/>
      <c r="Y57" s="95" t="str">
        <f>J57</f>
        <v>Fevereiro</v>
      </c>
      <c r="Z57" s="95"/>
      <c r="AA57" s="95"/>
      <c r="AB57" s="95"/>
      <c r="AC57" s="95"/>
      <c r="AD57" s="95"/>
      <c r="AE57" s="95"/>
      <c r="AH57" s="96" t="str">
        <f>Y57</f>
        <v>Fevereiro</v>
      </c>
      <c r="AI57" s="96"/>
      <c r="AJ57" s="96"/>
      <c r="AK57" s="96"/>
      <c r="AL57" s="96"/>
      <c r="AM57" s="96"/>
      <c r="AN57" s="96"/>
    </row>
    <row r="58" spans="1:40" ht="15.75" thickBot="1" x14ac:dyDescent="0.3">
      <c r="A58" s="99" t="s">
        <v>5</v>
      </c>
      <c r="B58" s="34" t="s">
        <v>6</v>
      </c>
      <c r="C58" s="22" t="s">
        <v>7</v>
      </c>
      <c r="D58" s="33" t="s">
        <v>8</v>
      </c>
      <c r="E58" s="22" t="s">
        <v>9</v>
      </c>
      <c r="F58" s="24" t="s">
        <v>10</v>
      </c>
      <c r="G58" s="23" t="s">
        <v>11</v>
      </c>
      <c r="H58" s="25" t="s">
        <v>12</v>
      </c>
      <c r="J58" s="6" t="s">
        <v>4</v>
      </c>
      <c r="K58" s="9"/>
      <c r="L58" s="66"/>
      <c r="M58" s="66"/>
      <c r="N58" s="66"/>
      <c r="O58" s="66"/>
      <c r="P58" s="4"/>
      <c r="Q58" s="4"/>
      <c r="R58" s="4"/>
      <c r="S58" s="4"/>
      <c r="T58" s="4"/>
      <c r="U58" s="5"/>
      <c r="Y58" s="6" t="s">
        <v>4</v>
      </c>
      <c r="Z58" s="9"/>
      <c r="AA58" s="4"/>
      <c r="AB58" s="4"/>
      <c r="AC58" s="4"/>
      <c r="AD58" s="4"/>
      <c r="AE58" s="5"/>
      <c r="AH58" s="6" t="s">
        <v>4</v>
      </c>
      <c r="AI58" s="9"/>
      <c r="AJ58" s="4"/>
      <c r="AK58" s="4"/>
      <c r="AL58" s="4"/>
      <c r="AM58" s="4"/>
      <c r="AN58" s="5"/>
    </row>
    <row r="59" spans="1:40" ht="15.75" thickBot="1" x14ac:dyDescent="0.3">
      <c r="A59" s="99"/>
      <c r="B59" s="26">
        <v>15660</v>
      </c>
      <c r="C59" s="27">
        <v>18137</v>
      </c>
      <c r="D59" s="27">
        <v>18137</v>
      </c>
      <c r="E59" s="27">
        <v>18724</v>
      </c>
      <c r="F59" s="27">
        <f>SUM(C59-B59)</f>
        <v>2477</v>
      </c>
      <c r="G59" s="20">
        <f>SUM(E59-D59)</f>
        <v>587</v>
      </c>
      <c r="H59" s="21">
        <f>SUM(F59:G59)</f>
        <v>3064</v>
      </c>
      <c r="J59" s="7" t="s">
        <v>22</v>
      </c>
      <c r="K59" s="10"/>
      <c r="L59" s="11"/>
      <c r="M59" s="11"/>
      <c r="N59" s="11"/>
      <c r="O59" s="11"/>
      <c r="P59" s="11"/>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0</v>
      </c>
      <c r="AD60" s="8" t="s">
        <v>23</v>
      </c>
      <c r="AE60" s="13">
        <f>SUM(Z59:AE59)</f>
        <v>0</v>
      </c>
      <c r="AM60" s="8" t="s">
        <v>23</v>
      </c>
      <c r="AN60" s="13">
        <f>SUM(AI59:AN59)</f>
        <v>0</v>
      </c>
    </row>
    <row r="61" spans="1:40" ht="15.75" thickBot="1" x14ac:dyDescent="0.3">
      <c r="A61" s="19"/>
      <c r="B61" s="97" t="s">
        <v>13</v>
      </c>
      <c r="C61" s="97"/>
      <c r="D61" s="97"/>
      <c r="E61" s="97"/>
      <c r="F61" s="97"/>
      <c r="G61" s="97"/>
      <c r="H61" s="97"/>
      <c r="J61" s="98" t="s">
        <v>13</v>
      </c>
      <c r="K61" s="98"/>
      <c r="L61" s="98"/>
      <c r="M61" s="98"/>
      <c r="N61" s="98"/>
      <c r="O61" s="98"/>
      <c r="P61" s="98"/>
      <c r="Q61" s="98"/>
      <c r="R61" s="98"/>
      <c r="S61" s="98"/>
      <c r="T61" s="98"/>
      <c r="U61" s="98"/>
      <c r="Y61" s="95" t="str">
        <f>J61</f>
        <v>Março</v>
      </c>
      <c r="Z61" s="95"/>
      <c r="AA61" s="95"/>
      <c r="AB61" s="95"/>
      <c r="AC61" s="95"/>
      <c r="AD61" s="95"/>
      <c r="AE61" s="95"/>
      <c r="AH61" s="96" t="str">
        <f>Y61</f>
        <v>Março</v>
      </c>
      <c r="AI61" s="96"/>
      <c r="AJ61" s="96"/>
      <c r="AK61" s="96"/>
      <c r="AL61" s="96"/>
      <c r="AM61" s="96"/>
      <c r="AN61" s="96"/>
    </row>
    <row r="62" spans="1:40" ht="15.75" thickBot="1" x14ac:dyDescent="0.3">
      <c r="A62" s="99" t="s">
        <v>5</v>
      </c>
      <c r="B62" s="34" t="s">
        <v>6</v>
      </c>
      <c r="C62" s="22" t="s">
        <v>7</v>
      </c>
      <c r="D62" s="33" t="s">
        <v>8</v>
      </c>
      <c r="E62" s="22" t="s">
        <v>9</v>
      </c>
      <c r="F62" s="24" t="s">
        <v>10</v>
      </c>
      <c r="G62" s="23" t="s">
        <v>11</v>
      </c>
      <c r="H62" s="25" t="s">
        <v>12</v>
      </c>
      <c r="J62" s="6" t="s">
        <v>4</v>
      </c>
      <c r="K62" s="9">
        <v>45730</v>
      </c>
      <c r="L62" s="66">
        <v>45734</v>
      </c>
      <c r="M62" s="66">
        <v>45737</v>
      </c>
      <c r="N62" s="66">
        <v>45741</v>
      </c>
      <c r="O62" s="66">
        <v>45744</v>
      </c>
      <c r="P62" s="4"/>
      <c r="Q62" s="4"/>
      <c r="R62" s="4"/>
      <c r="S62" s="4"/>
      <c r="T62" s="4"/>
      <c r="U62" s="5"/>
      <c r="Y62" s="6" t="s">
        <v>4</v>
      </c>
      <c r="Z62" s="9"/>
      <c r="AA62" s="4"/>
      <c r="AB62" s="4"/>
      <c r="AC62" s="4"/>
      <c r="AD62" s="4"/>
      <c r="AE62" s="5"/>
      <c r="AH62" s="6" t="s">
        <v>4</v>
      </c>
      <c r="AI62" s="9"/>
      <c r="AJ62" s="4"/>
      <c r="AK62" s="4"/>
      <c r="AL62" s="4"/>
      <c r="AM62" s="4"/>
      <c r="AN62" s="5"/>
    </row>
    <row r="63" spans="1:40" ht="15.75" thickBot="1" x14ac:dyDescent="0.3">
      <c r="A63" s="99"/>
      <c r="B63" s="27">
        <v>18724</v>
      </c>
      <c r="C63" s="27">
        <v>20662</v>
      </c>
      <c r="D63" s="27">
        <v>20662</v>
      </c>
      <c r="E63" s="27">
        <v>21412</v>
      </c>
      <c r="F63" s="27">
        <f>SUM(C63-B63)</f>
        <v>1938</v>
      </c>
      <c r="G63" s="20">
        <f>SUM(E63-D63)</f>
        <v>750</v>
      </c>
      <c r="H63" s="21">
        <f>SUM(F63:G63)</f>
        <v>2688</v>
      </c>
      <c r="J63" s="7" t="s">
        <v>22</v>
      </c>
      <c r="K63" s="10">
        <v>100.04</v>
      </c>
      <c r="L63" s="11">
        <v>287.8</v>
      </c>
      <c r="M63" s="11">
        <v>95.29</v>
      </c>
      <c r="N63" s="11">
        <v>138.83000000000001</v>
      </c>
      <c r="O63" s="11">
        <v>123.48</v>
      </c>
      <c r="P63" s="11"/>
      <c r="Q63" s="11"/>
      <c r="R63" s="11"/>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745.44</v>
      </c>
      <c r="AD64" s="8" t="s">
        <v>23</v>
      </c>
      <c r="AE64" s="13">
        <f>SUM(Z63:AE63)</f>
        <v>0</v>
      </c>
      <c r="AM64" s="8" t="s">
        <v>23</v>
      </c>
      <c r="AN64" s="13">
        <f>SUM(AI63:AN63)</f>
        <v>0</v>
      </c>
    </row>
    <row r="65" spans="1:40" ht="15.75" thickBot="1" x14ac:dyDescent="0.3">
      <c r="A65" s="19"/>
      <c r="B65" s="97" t="s">
        <v>14</v>
      </c>
      <c r="C65" s="97"/>
      <c r="D65" s="97"/>
      <c r="E65" s="97"/>
      <c r="F65" s="97"/>
      <c r="G65" s="97"/>
      <c r="H65" s="97"/>
      <c r="J65" s="98" t="s">
        <v>14</v>
      </c>
      <c r="K65" s="98"/>
      <c r="L65" s="98"/>
      <c r="M65" s="98"/>
      <c r="N65" s="98"/>
      <c r="O65" s="98"/>
      <c r="P65" s="98"/>
      <c r="Q65" s="98"/>
      <c r="R65" s="98"/>
      <c r="S65" s="98"/>
      <c r="T65" s="98"/>
      <c r="U65" s="98"/>
      <c r="Y65" s="95" t="str">
        <f>J65</f>
        <v>Abril</v>
      </c>
      <c r="Z65" s="95"/>
      <c r="AA65" s="95"/>
      <c r="AB65" s="95"/>
      <c r="AC65" s="95"/>
      <c r="AD65" s="95"/>
      <c r="AE65" s="95"/>
      <c r="AH65" s="96" t="str">
        <f>Y65</f>
        <v>Abril</v>
      </c>
      <c r="AI65" s="96"/>
      <c r="AJ65" s="96"/>
      <c r="AK65" s="96"/>
      <c r="AL65" s="96"/>
      <c r="AM65" s="96"/>
      <c r="AN65" s="96"/>
    </row>
    <row r="66" spans="1:40" ht="15.75" thickBot="1" x14ac:dyDescent="0.3">
      <c r="A66" s="99" t="s">
        <v>5</v>
      </c>
      <c r="B66" s="34" t="s">
        <v>6</v>
      </c>
      <c r="C66" s="22" t="s">
        <v>7</v>
      </c>
      <c r="D66" s="33" t="s">
        <v>8</v>
      </c>
      <c r="E66" s="22" t="s">
        <v>9</v>
      </c>
      <c r="F66" s="24" t="s">
        <v>10</v>
      </c>
      <c r="G66" s="23" t="s">
        <v>11</v>
      </c>
      <c r="H66" s="25" t="s">
        <v>12</v>
      </c>
      <c r="J66" s="6" t="s">
        <v>4</v>
      </c>
      <c r="K66" s="9">
        <v>45750</v>
      </c>
      <c r="L66" s="66">
        <v>45754</v>
      </c>
      <c r="M66" s="66">
        <v>45758</v>
      </c>
      <c r="N66" s="66">
        <v>45769</v>
      </c>
      <c r="O66" s="66">
        <v>45772</v>
      </c>
      <c r="P66" s="66">
        <v>45776</v>
      </c>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9"/>
      <c r="B67" s="27">
        <v>21412</v>
      </c>
      <c r="C67" s="27">
        <v>22001</v>
      </c>
      <c r="D67" s="27">
        <v>22001</v>
      </c>
      <c r="E67" s="27">
        <v>22503</v>
      </c>
      <c r="F67" s="27">
        <f>SUM(C67-B67)</f>
        <v>589</v>
      </c>
      <c r="G67" s="20">
        <f>SUM(E67-D67)</f>
        <v>502</v>
      </c>
      <c r="H67" s="21">
        <f>SUM(F67:G67)</f>
        <v>1091</v>
      </c>
      <c r="J67" s="7" t="s">
        <v>22</v>
      </c>
      <c r="K67" s="30">
        <v>85</v>
      </c>
      <c r="L67" s="31">
        <v>227.58</v>
      </c>
      <c r="M67" s="31">
        <v>201.67</v>
      </c>
      <c r="N67" s="31">
        <v>130.43</v>
      </c>
      <c r="O67" s="31">
        <v>110.24</v>
      </c>
      <c r="P67" s="31">
        <v>144.35</v>
      </c>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899.2700000000001</v>
      </c>
      <c r="AD68" s="8" t="s">
        <v>23</v>
      </c>
      <c r="AE68" s="13">
        <f>SUM(Z67:AE67)</f>
        <v>0</v>
      </c>
      <c r="AM68" s="8" t="s">
        <v>23</v>
      </c>
      <c r="AN68" s="13">
        <f>SUM(AI67:AN67)</f>
        <v>0</v>
      </c>
    </row>
    <row r="69" spans="1:40" ht="15.75" thickBot="1" x14ac:dyDescent="0.3">
      <c r="A69" s="19"/>
      <c r="B69" s="97" t="s">
        <v>15</v>
      </c>
      <c r="C69" s="97"/>
      <c r="D69" s="97"/>
      <c r="E69" s="97"/>
      <c r="F69" s="97"/>
      <c r="G69" s="97"/>
      <c r="H69" s="97"/>
      <c r="J69" s="98" t="s">
        <v>15</v>
      </c>
      <c r="K69" s="98"/>
      <c r="L69" s="98"/>
      <c r="M69" s="98"/>
      <c r="N69" s="98"/>
      <c r="O69" s="98"/>
      <c r="P69" s="98"/>
      <c r="Q69" s="98"/>
      <c r="R69" s="98"/>
      <c r="S69" s="98"/>
      <c r="T69" s="98"/>
      <c r="U69" s="98"/>
      <c r="Y69" s="95" t="str">
        <f>J69</f>
        <v>Maio</v>
      </c>
      <c r="Z69" s="95"/>
      <c r="AA69" s="95"/>
      <c r="AB69" s="95"/>
      <c r="AC69" s="95"/>
      <c r="AD69" s="95"/>
      <c r="AE69" s="95"/>
      <c r="AH69" s="96" t="str">
        <f>Y69</f>
        <v>Maio</v>
      </c>
      <c r="AI69" s="96"/>
      <c r="AJ69" s="96"/>
      <c r="AK69" s="96"/>
      <c r="AL69" s="96"/>
      <c r="AM69" s="96"/>
      <c r="AN69" s="96"/>
    </row>
    <row r="70" spans="1:40" ht="15.75" thickBot="1" x14ac:dyDescent="0.3">
      <c r="A70" s="99" t="s">
        <v>5</v>
      </c>
      <c r="B70" s="34" t="s">
        <v>6</v>
      </c>
      <c r="C70" s="22" t="s">
        <v>7</v>
      </c>
      <c r="D70" s="33" t="s">
        <v>8</v>
      </c>
      <c r="E70" s="22" t="s">
        <v>9</v>
      </c>
      <c r="F70" s="24" t="s">
        <v>10</v>
      </c>
      <c r="G70" s="23" t="s">
        <v>11</v>
      </c>
      <c r="H70" s="25" t="s">
        <v>12</v>
      </c>
      <c r="J70" s="6" t="s">
        <v>4</v>
      </c>
      <c r="K70" s="9">
        <v>45786</v>
      </c>
      <c r="L70" s="66">
        <v>45793</v>
      </c>
      <c r="M70" s="66">
        <v>45799</v>
      </c>
      <c r="N70" s="66">
        <v>45804</v>
      </c>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9"/>
      <c r="B71" s="27">
        <v>22503</v>
      </c>
      <c r="C71" s="27">
        <v>23130</v>
      </c>
      <c r="D71" s="27">
        <v>23130</v>
      </c>
      <c r="E71" s="27">
        <v>23643</v>
      </c>
      <c r="F71" s="27">
        <f>SUM(C71-B71)</f>
        <v>627</v>
      </c>
      <c r="G71" s="20">
        <f>SUM(E71-D71)</f>
        <v>513</v>
      </c>
      <c r="H71" s="21">
        <f>SUM(F71:G71)</f>
        <v>1140</v>
      </c>
      <c r="J71" s="7" t="s">
        <v>22</v>
      </c>
      <c r="K71" s="10">
        <v>262.02999999999997</v>
      </c>
      <c r="L71" s="11">
        <v>200.02</v>
      </c>
      <c r="M71" s="11">
        <v>215.11</v>
      </c>
      <c r="N71" s="11">
        <v>128.51</v>
      </c>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805.67</v>
      </c>
      <c r="AD72" s="8" t="s">
        <v>23</v>
      </c>
      <c r="AE72" s="13">
        <f>SUM(Z71:AE71)</f>
        <v>0</v>
      </c>
      <c r="AM72" s="8" t="s">
        <v>23</v>
      </c>
      <c r="AN72" s="13">
        <f>SUM(AI71:AN71)</f>
        <v>0</v>
      </c>
    </row>
    <row r="73" spans="1:40" ht="15.75" thickBot="1" x14ac:dyDescent="0.3">
      <c r="A73" s="19"/>
      <c r="B73" s="97" t="s">
        <v>24</v>
      </c>
      <c r="C73" s="97"/>
      <c r="D73" s="97"/>
      <c r="E73" s="97"/>
      <c r="F73" s="97"/>
      <c r="G73" s="97"/>
      <c r="H73" s="97"/>
      <c r="J73" s="98" t="s">
        <v>24</v>
      </c>
      <c r="K73" s="98"/>
      <c r="L73" s="98"/>
      <c r="M73" s="98"/>
      <c r="N73" s="98"/>
      <c r="O73" s="98"/>
      <c r="P73" s="98"/>
      <c r="Q73" s="98"/>
      <c r="R73" s="98"/>
      <c r="S73" s="98"/>
      <c r="T73" s="98"/>
      <c r="U73" s="98"/>
      <c r="Y73" s="95" t="str">
        <f>J73</f>
        <v>Junho</v>
      </c>
      <c r="Z73" s="95"/>
      <c r="AA73" s="95"/>
      <c r="AB73" s="95"/>
      <c r="AC73" s="95"/>
      <c r="AD73" s="95"/>
      <c r="AE73" s="95"/>
      <c r="AH73" s="96" t="str">
        <f>Y73</f>
        <v>Junho</v>
      </c>
      <c r="AI73" s="96"/>
      <c r="AJ73" s="96"/>
      <c r="AK73" s="96"/>
      <c r="AL73" s="96"/>
      <c r="AM73" s="96"/>
      <c r="AN73" s="96"/>
    </row>
    <row r="74" spans="1:40" ht="15.75" thickBot="1" x14ac:dyDescent="0.3">
      <c r="A74" s="99" t="s">
        <v>5</v>
      </c>
      <c r="B74" s="34" t="s">
        <v>6</v>
      </c>
      <c r="C74" s="22" t="s">
        <v>7</v>
      </c>
      <c r="D74" s="33" t="s">
        <v>8</v>
      </c>
      <c r="E74" s="22" t="s">
        <v>9</v>
      </c>
      <c r="F74" s="24" t="s">
        <v>10</v>
      </c>
      <c r="G74" s="23" t="s">
        <v>11</v>
      </c>
      <c r="H74" s="25" t="s">
        <v>12</v>
      </c>
      <c r="J74" s="6" t="s">
        <v>4</v>
      </c>
      <c r="K74" s="9">
        <v>45813</v>
      </c>
      <c r="L74" s="66">
        <v>45832</v>
      </c>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9"/>
      <c r="B75" s="27">
        <v>23643</v>
      </c>
      <c r="C75" s="27">
        <v>24712</v>
      </c>
      <c r="D75" s="27">
        <v>24712</v>
      </c>
      <c r="E75" s="27">
        <v>26004</v>
      </c>
      <c r="F75" s="27">
        <f>SUM(C75-B75)</f>
        <v>1069</v>
      </c>
      <c r="G75" s="20">
        <f>SUM(E75-D75)</f>
        <v>1292</v>
      </c>
      <c r="H75" s="21">
        <f>SUM(F75:G75)</f>
        <v>2361</v>
      </c>
      <c r="J75" s="7" t="s">
        <v>22</v>
      </c>
      <c r="K75" s="10">
        <v>243.15</v>
      </c>
      <c r="L75" s="11">
        <v>174.69</v>
      </c>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ht="18.75" x14ac:dyDescent="0.3">
      <c r="A76" s="88" t="s">
        <v>122</v>
      </c>
      <c r="J76" s="8"/>
      <c r="T76" s="8" t="s">
        <v>23</v>
      </c>
      <c r="U76" s="13">
        <f>SUM(K75:U75)</f>
        <v>417.84000000000003</v>
      </c>
      <c r="AD76" s="8" t="s">
        <v>23</v>
      </c>
      <c r="AE76" s="13">
        <f>SUM(Z75:AE75)</f>
        <v>0</v>
      </c>
      <c r="AM76" s="8" t="s">
        <v>23</v>
      </c>
      <c r="AN76" s="13">
        <f>SUM(AI75:AN75)</f>
        <v>0</v>
      </c>
    </row>
  </sheetData>
  <mergeCells count="93">
    <mergeCell ref="B73:H73"/>
    <mergeCell ref="J73:U73"/>
    <mergeCell ref="Y73:AE73"/>
    <mergeCell ref="AH73:AN73"/>
    <mergeCell ref="A74:A75"/>
    <mergeCell ref="B69:H69"/>
    <mergeCell ref="J69:U69"/>
    <mergeCell ref="Y69:AE69"/>
    <mergeCell ref="AH69:AN69"/>
    <mergeCell ref="A70:A71"/>
    <mergeCell ref="B65:H65"/>
    <mergeCell ref="J65:U65"/>
    <mergeCell ref="Y65:AE65"/>
    <mergeCell ref="AH65:AN65"/>
    <mergeCell ref="A66:A67"/>
    <mergeCell ref="B61:H61"/>
    <mergeCell ref="J61:U61"/>
    <mergeCell ref="Y61:AE61"/>
    <mergeCell ref="AH61:AN61"/>
    <mergeCell ref="A62:A63"/>
    <mergeCell ref="B57:H57"/>
    <mergeCell ref="J57:U57"/>
    <mergeCell ref="Y57:AE57"/>
    <mergeCell ref="AH57:AN57"/>
    <mergeCell ref="A58:A59"/>
    <mergeCell ref="B53:H53"/>
    <mergeCell ref="J53:U53"/>
    <mergeCell ref="Y53:AE53"/>
    <mergeCell ref="AH53:AN53"/>
    <mergeCell ref="A54:A5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99"/>
  <sheetViews>
    <sheetView showGridLines="0" topLeftCell="A76" workbookViewId="0">
      <selection activeCell="F109" sqref="F10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9" width="10.42578125" bestFit="1" customWidth="1"/>
    <col min="20" max="20" width="10.5703125" bestFit="1" customWidth="1"/>
    <col min="21" max="21" width="12.140625" bestFit="1" customWidth="1"/>
    <col min="26" max="26" width="10.42578125" bestFit="1" customWidth="1"/>
    <col min="37" max="39" width="10.140625" bestFit="1" customWidth="1"/>
  </cols>
  <sheetData>
    <row r="2" spans="1:40" x14ac:dyDescent="0.25">
      <c r="A2" t="s">
        <v>0</v>
      </c>
      <c r="B2" s="100" t="s">
        <v>114</v>
      </c>
      <c r="C2" s="100"/>
      <c r="D2" s="1" t="s">
        <v>1</v>
      </c>
      <c r="E2" s="78" t="s">
        <v>116</v>
      </c>
      <c r="F2" s="78"/>
      <c r="G2" s="79"/>
      <c r="H2" t="s">
        <v>45</v>
      </c>
      <c r="I2" s="89">
        <v>5325</v>
      </c>
    </row>
    <row r="3" spans="1:40" x14ac:dyDescent="0.25">
      <c r="A3" t="s">
        <v>113</v>
      </c>
      <c r="B3" s="106">
        <v>45386</v>
      </c>
      <c r="C3" s="100"/>
      <c r="D3" s="1" t="s">
        <v>1</v>
      </c>
      <c r="E3" s="78" t="s">
        <v>115</v>
      </c>
      <c r="F3" s="1"/>
      <c r="G3" s="79"/>
      <c r="H3" t="s">
        <v>124</v>
      </c>
      <c r="I3" s="90" t="s">
        <v>111</v>
      </c>
    </row>
    <row r="4" spans="1:40" x14ac:dyDescent="0.25">
      <c r="A4" t="s">
        <v>112</v>
      </c>
      <c r="B4" s="106">
        <v>45548</v>
      </c>
      <c r="C4" s="100"/>
      <c r="D4" s="1" t="s">
        <v>1</v>
      </c>
      <c r="E4" s="78" t="s">
        <v>110</v>
      </c>
      <c r="F4" s="1"/>
      <c r="H4" t="s">
        <v>124</v>
      </c>
      <c r="I4" s="90" t="s">
        <v>111</v>
      </c>
    </row>
    <row r="5" spans="1:40" x14ac:dyDescent="0.25">
      <c r="A5" t="s">
        <v>117</v>
      </c>
      <c r="B5" s="106">
        <v>45763</v>
      </c>
      <c r="C5" s="100"/>
      <c r="D5" s="1" t="s">
        <v>1</v>
      </c>
      <c r="E5" s="78" t="s">
        <v>118</v>
      </c>
      <c r="F5" s="1"/>
      <c r="H5" t="s">
        <v>124</v>
      </c>
      <c r="I5" s="90" t="s">
        <v>119</v>
      </c>
    </row>
    <row r="6" spans="1:40" x14ac:dyDescent="0.25">
      <c r="F6" s="1"/>
    </row>
    <row r="7" spans="1:40" x14ac:dyDescent="0.25">
      <c r="A7" t="s">
        <v>2</v>
      </c>
      <c r="B7" s="101">
        <v>3792.09</v>
      </c>
      <c r="C7" s="101"/>
      <c r="D7" s="1" t="s">
        <v>29</v>
      </c>
      <c r="E7" s="111">
        <v>50</v>
      </c>
      <c r="F7" s="100"/>
      <c r="H7" t="s">
        <v>65</v>
      </c>
      <c r="I7" s="91">
        <v>45539</v>
      </c>
      <c r="J7" s="1" t="s">
        <v>123</v>
      </c>
      <c r="K7" s="91">
        <v>45898</v>
      </c>
    </row>
    <row r="10" spans="1:40" ht="21" x14ac:dyDescent="0.35">
      <c r="A10" s="103" t="s">
        <v>28</v>
      </c>
      <c r="B10" s="103"/>
      <c r="C10" s="103"/>
      <c r="D10" s="103"/>
      <c r="E10" s="103"/>
      <c r="F10" s="103"/>
      <c r="G10" s="103"/>
      <c r="H10" s="103"/>
      <c r="J10" s="105" t="s">
        <v>26</v>
      </c>
      <c r="K10" s="105"/>
      <c r="L10" s="105"/>
      <c r="M10" s="105"/>
      <c r="N10" s="105"/>
      <c r="O10" s="105"/>
      <c r="P10" s="105"/>
      <c r="Q10" s="105"/>
      <c r="R10" s="105"/>
      <c r="S10" s="105"/>
      <c r="T10" s="105"/>
      <c r="U10" s="105"/>
      <c r="V10" s="2"/>
      <c r="W10" s="2"/>
      <c r="X10" s="2"/>
      <c r="Y10" s="104" t="s">
        <v>25</v>
      </c>
      <c r="Z10" s="104"/>
      <c r="AA10" s="104"/>
      <c r="AB10" s="104"/>
      <c r="AC10" s="104"/>
      <c r="AD10" s="104"/>
      <c r="AE10" s="104"/>
      <c r="AF10" s="2"/>
      <c r="AG10" s="2"/>
      <c r="AH10" s="104" t="s">
        <v>27</v>
      </c>
      <c r="AI10" s="104"/>
      <c r="AJ10" s="104"/>
      <c r="AK10" s="104"/>
      <c r="AL10" s="104"/>
      <c r="AM10" s="104"/>
      <c r="AN10" s="104"/>
    </row>
    <row r="11" spans="1:40" s="15" customFormat="1" ht="21" x14ac:dyDescent="0.35">
      <c r="A11" s="14"/>
      <c r="B11" s="14"/>
      <c r="C11" s="14"/>
      <c r="D11" s="14"/>
      <c r="E11" s="14"/>
      <c r="F11" s="14"/>
      <c r="G11" s="14"/>
      <c r="H11" s="14"/>
      <c r="J11" s="16"/>
      <c r="K11" s="16"/>
      <c r="L11" s="16"/>
      <c r="M11" s="16"/>
      <c r="N11" s="16"/>
      <c r="O11" s="16"/>
      <c r="P11" s="16"/>
      <c r="Q11" s="16"/>
      <c r="R11" s="16"/>
      <c r="S11" s="16"/>
      <c r="T11" s="16"/>
      <c r="U11" s="16"/>
      <c r="V11" s="17"/>
      <c r="W11" s="17"/>
      <c r="X11" s="17"/>
      <c r="Y11" s="18"/>
      <c r="Z11" s="18"/>
      <c r="AA11" s="18"/>
      <c r="AB11" s="18"/>
      <c r="AC11" s="18"/>
      <c r="AD11" s="18"/>
      <c r="AE11" s="18"/>
      <c r="AF11" s="17"/>
      <c r="AG11" s="17"/>
      <c r="AH11" s="18"/>
      <c r="AI11" s="18"/>
      <c r="AJ11" s="18"/>
      <c r="AK11" s="18"/>
      <c r="AL11" s="18"/>
      <c r="AM11" s="18"/>
      <c r="AN11" s="18"/>
    </row>
    <row r="12" spans="1:40" ht="15.75" thickBot="1" x14ac:dyDescent="0.3">
      <c r="A12" s="19"/>
      <c r="B12" s="97" t="s">
        <v>3</v>
      </c>
      <c r="C12" s="97"/>
      <c r="D12" s="97"/>
      <c r="E12" s="97"/>
      <c r="F12" s="97"/>
      <c r="G12" s="97"/>
      <c r="H12" s="97"/>
      <c r="J12" s="98" t="s">
        <v>3</v>
      </c>
      <c r="K12" s="98"/>
      <c r="L12" s="98"/>
      <c r="M12" s="98"/>
      <c r="N12" s="98"/>
      <c r="O12" s="98"/>
      <c r="P12" s="98"/>
      <c r="Q12" s="98"/>
      <c r="R12" s="98"/>
      <c r="S12" s="98"/>
      <c r="T12" s="98"/>
      <c r="U12" s="98"/>
      <c r="Y12" s="95" t="s">
        <v>3</v>
      </c>
      <c r="Z12" s="95"/>
      <c r="AA12" s="95"/>
      <c r="AB12" s="95"/>
      <c r="AC12" s="95"/>
      <c r="AD12" s="95"/>
      <c r="AE12" s="95"/>
      <c r="AH12" s="96" t="s">
        <v>3</v>
      </c>
      <c r="AI12" s="96"/>
      <c r="AJ12" s="96"/>
      <c r="AK12" s="96"/>
      <c r="AL12" s="96"/>
      <c r="AM12" s="96"/>
      <c r="AN12" s="96"/>
    </row>
    <row r="13" spans="1:40" ht="15.75" thickBot="1" x14ac:dyDescent="0.3">
      <c r="A13" s="99" t="s">
        <v>5</v>
      </c>
      <c r="B13" s="34" t="s">
        <v>6</v>
      </c>
      <c r="C13" s="22" t="s">
        <v>7</v>
      </c>
      <c r="D13" s="33" t="s">
        <v>8</v>
      </c>
      <c r="E13" s="22" t="s">
        <v>9</v>
      </c>
      <c r="F13" s="24" t="s">
        <v>10</v>
      </c>
      <c r="G13" s="23" t="s">
        <v>11</v>
      </c>
      <c r="H13" s="25" t="s">
        <v>12</v>
      </c>
      <c r="J13" s="28" t="s">
        <v>4</v>
      </c>
      <c r="K13" s="9"/>
      <c r="L13" s="4"/>
      <c r="M13" s="4"/>
      <c r="N13" s="4"/>
      <c r="O13" s="4"/>
      <c r="P13" s="4"/>
      <c r="Q13" s="4"/>
      <c r="R13" s="4"/>
      <c r="S13" s="4"/>
      <c r="T13" s="4"/>
      <c r="U13" s="5"/>
      <c r="Y13" s="6" t="s">
        <v>4</v>
      </c>
      <c r="Z13" s="9"/>
      <c r="AA13" s="4"/>
      <c r="AB13" s="4"/>
      <c r="AC13" s="4"/>
      <c r="AD13" s="4"/>
      <c r="AE13" s="5"/>
      <c r="AH13" s="6" t="s">
        <v>4</v>
      </c>
      <c r="AI13" s="9"/>
      <c r="AJ13" s="4"/>
      <c r="AK13" s="4"/>
      <c r="AL13" s="4"/>
      <c r="AM13" s="4"/>
      <c r="AN13" s="5"/>
    </row>
    <row r="14" spans="1:40" ht="15.75" thickBot="1" x14ac:dyDescent="0.3">
      <c r="A14" s="99"/>
      <c r="B14" s="26"/>
      <c r="C14" s="27"/>
      <c r="D14" s="27"/>
      <c r="E14" s="27"/>
      <c r="F14" s="27">
        <f>SUM(C14-B14)</f>
        <v>0</v>
      </c>
      <c r="G14" s="20">
        <f>SUM(E14-D14)</f>
        <v>0</v>
      </c>
      <c r="H14" s="21">
        <f>SUM(F14:G14)</f>
        <v>0</v>
      </c>
      <c r="J14" s="29" t="s">
        <v>22</v>
      </c>
      <c r="K14" s="10"/>
      <c r="L14" s="11"/>
      <c r="M14" s="11"/>
      <c r="N14" s="11"/>
      <c r="O14" s="11"/>
      <c r="P14" s="11"/>
      <c r="Q14" s="11"/>
      <c r="R14" s="11"/>
      <c r="S14" s="11"/>
      <c r="T14" s="11"/>
      <c r="U14" s="12"/>
      <c r="Y14" s="7" t="s">
        <v>22</v>
      </c>
      <c r="Z14" s="10"/>
      <c r="AA14" s="11"/>
      <c r="AB14" s="11"/>
      <c r="AC14" s="11"/>
      <c r="AD14" s="11"/>
      <c r="AE14" s="12"/>
      <c r="AH14" s="7" t="s">
        <v>22</v>
      </c>
      <c r="AI14" s="10"/>
      <c r="AJ14" s="11"/>
      <c r="AK14" s="11"/>
      <c r="AL14" s="11"/>
      <c r="AM14" s="11"/>
      <c r="AN14" s="12"/>
    </row>
    <row r="15" spans="1:40" x14ac:dyDescent="0.25">
      <c r="J15" s="8"/>
      <c r="T15" s="8" t="s">
        <v>23</v>
      </c>
      <c r="U15" s="13">
        <f>SUM(K14:U14)</f>
        <v>0</v>
      </c>
      <c r="AD15" s="8" t="s">
        <v>23</v>
      </c>
      <c r="AE15" s="13">
        <f>SUM(Z14:AE14)</f>
        <v>0</v>
      </c>
      <c r="AM15" s="8" t="s">
        <v>23</v>
      </c>
      <c r="AN15" s="13">
        <f>SUM(AI14:AN14)</f>
        <v>0</v>
      </c>
    </row>
    <row r="16" spans="1:40" ht="15.75" thickBot="1" x14ac:dyDescent="0.3">
      <c r="A16" s="19"/>
      <c r="B16" s="97" t="s">
        <v>13</v>
      </c>
      <c r="C16" s="97"/>
      <c r="D16" s="97"/>
      <c r="E16" s="97"/>
      <c r="F16" s="97"/>
      <c r="G16" s="97"/>
      <c r="H16" s="97"/>
      <c r="J16" s="98" t="s">
        <v>13</v>
      </c>
      <c r="K16" s="98"/>
      <c r="L16" s="98"/>
      <c r="M16" s="98"/>
      <c r="N16" s="98"/>
      <c r="O16" s="98"/>
      <c r="P16" s="98"/>
      <c r="Q16" s="98"/>
      <c r="R16" s="98"/>
      <c r="S16" s="98"/>
      <c r="T16" s="98"/>
      <c r="U16" s="98"/>
      <c r="Y16" s="95" t="str">
        <f>J16</f>
        <v>Março</v>
      </c>
      <c r="Z16" s="95"/>
      <c r="AA16" s="95"/>
      <c r="AB16" s="95"/>
      <c r="AC16" s="95"/>
      <c r="AD16" s="95"/>
      <c r="AE16" s="95"/>
      <c r="AH16" s="96" t="str">
        <f>Y16</f>
        <v>Março</v>
      </c>
      <c r="AI16" s="96"/>
      <c r="AJ16" s="96"/>
      <c r="AK16" s="96"/>
      <c r="AL16" s="96"/>
      <c r="AM16" s="96"/>
      <c r="AN16" s="96"/>
    </row>
    <row r="17" spans="1:40" ht="15.75" thickBot="1" x14ac:dyDescent="0.3">
      <c r="A17" s="99" t="s">
        <v>5</v>
      </c>
      <c r="B17" s="34" t="s">
        <v>6</v>
      </c>
      <c r="C17" s="22" t="s">
        <v>7</v>
      </c>
      <c r="D17" s="33" t="s">
        <v>8</v>
      </c>
      <c r="E17" s="22" t="s">
        <v>9</v>
      </c>
      <c r="F17" s="24" t="s">
        <v>10</v>
      </c>
      <c r="G17" s="23" t="s">
        <v>11</v>
      </c>
      <c r="H17" s="25" t="s">
        <v>12</v>
      </c>
      <c r="J17" s="6" t="s">
        <v>4</v>
      </c>
      <c r="K17" s="9"/>
      <c r="L17" s="4"/>
      <c r="M17" s="4"/>
      <c r="N17" s="4"/>
      <c r="O17" s="4"/>
      <c r="P17" s="4"/>
      <c r="Q17" s="4"/>
      <c r="R17" s="4"/>
      <c r="S17" s="4"/>
      <c r="T17" s="4"/>
      <c r="U17" s="5"/>
      <c r="Y17" s="6" t="s">
        <v>4</v>
      </c>
      <c r="Z17" s="9"/>
      <c r="AA17" s="4"/>
      <c r="AB17" s="4"/>
      <c r="AC17" s="4"/>
      <c r="AD17" s="4"/>
      <c r="AE17" s="5"/>
      <c r="AH17" s="6" t="s">
        <v>4</v>
      </c>
      <c r="AI17" s="9"/>
      <c r="AJ17" s="4"/>
      <c r="AK17" s="4"/>
      <c r="AL17" s="4"/>
      <c r="AM17" s="4"/>
      <c r="AN17" s="5"/>
    </row>
    <row r="18" spans="1:40" ht="15.75" thickBot="1" x14ac:dyDescent="0.3">
      <c r="A18" s="99"/>
      <c r="B18" s="26"/>
      <c r="C18" s="27"/>
      <c r="D18" s="27"/>
      <c r="E18" s="27"/>
      <c r="F18" s="27">
        <f>SUM(C18-B18)</f>
        <v>0</v>
      </c>
      <c r="G18" s="20">
        <f>SUM(E18-D18)</f>
        <v>0</v>
      </c>
      <c r="H18" s="21">
        <f>SUM(F18:G18)</f>
        <v>0</v>
      </c>
      <c r="J18" s="7" t="s">
        <v>22</v>
      </c>
      <c r="K18" s="10"/>
      <c r="L18" s="11"/>
      <c r="M18" s="11"/>
      <c r="N18" s="11"/>
      <c r="O18" s="11"/>
      <c r="P18" s="11"/>
      <c r="Q18" s="11"/>
      <c r="R18" s="11"/>
      <c r="S18" s="11"/>
      <c r="T18" s="11"/>
      <c r="U18" s="12"/>
      <c r="Y18" s="7" t="s">
        <v>22</v>
      </c>
      <c r="Z18" s="10"/>
      <c r="AA18" s="11"/>
      <c r="AB18" s="11"/>
      <c r="AC18" s="11"/>
      <c r="AD18" s="11"/>
      <c r="AE18" s="12"/>
      <c r="AH18" s="7" t="s">
        <v>22</v>
      </c>
      <c r="AI18" s="10"/>
      <c r="AJ18" s="11"/>
      <c r="AK18" s="11"/>
      <c r="AL18" s="11"/>
      <c r="AM18" s="11"/>
      <c r="AN18" s="12"/>
    </row>
    <row r="19" spans="1:40" x14ac:dyDescent="0.25">
      <c r="J19" s="8"/>
      <c r="T19" s="8" t="s">
        <v>23</v>
      </c>
      <c r="U19" s="13">
        <f>SUM(K18:U18)</f>
        <v>0</v>
      </c>
      <c r="AD19" s="8" t="s">
        <v>23</v>
      </c>
      <c r="AE19" s="13">
        <f>SUM(Z18:AE18)</f>
        <v>0</v>
      </c>
      <c r="AM19" s="8" t="s">
        <v>23</v>
      </c>
      <c r="AN19" s="13">
        <f>SUM(AI18:AN18)</f>
        <v>0</v>
      </c>
    </row>
    <row r="20" spans="1:40" ht="15.75" thickBot="1" x14ac:dyDescent="0.3">
      <c r="A20" s="19"/>
      <c r="B20" s="97" t="s">
        <v>14</v>
      </c>
      <c r="C20" s="97"/>
      <c r="D20" s="97"/>
      <c r="E20" s="97"/>
      <c r="F20" s="97"/>
      <c r="G20" s="97"/>
      <c r="H20" s="97"/>
      <c r="J20" s="98" t="s">
        <v>14</v>
      </c>
      <c r="K20" s="98"/>
      <c r="L20" s="98"/>
      <c r="M20" s="98"/>
      <c r="N20" s="98"/>
      <c r="O20" s="98"/>
      <c r="P20" s="98"/>
      <c r="Q20" s="98"/>
      <c r="R20" s="98"/>
      <c r="S20" s="98"/>
      <c r="T20" s="98"/>
      <c r="U20" s="98"/>
      <c r="Y20" s="95" t="str">
        <f>J20</f>
        <v>Abril</v>
      </c>
      <c r="Z20" s="95"/>
      <c r="AA20" s="95"/>
      <c r="AB20" s="95"/>
      <c r="AC20" s="95"/>
      <c r="AD20" s="95"/>
      <c r="AE20" s="95"/>
      <c r="AH20" s="96" t="str">
        <f>Y20</f>
        <v>Abril</v>
      </c>
      <c r="AI20" s="96"/>
      <c r="AJ20" s="96"/>
      <c r="AK20" s="96"/>
      <c r="AL20" s="96"/>
      <c r="AM20" s="96"/>
      <c r="AN20" s="96"/>
    </row>
    <row r="21" spans="1:40" ht="15.75" thickBot="1" x14ac:dyDescent="0.3">
      <c r="A21" s="99" t="s">
        <v>5</v>
      </c>
      <c r="B21" s="34" t="s">
        <v>6</v>
      </c>
      <c r="C21" s="22" t="s">
        <v>7</v>
      </c>
      <c r="D21" s="33" t="s">
        <v>8</v>
      </c>
      <c r="E21" s="22" t="s">
        <v>9</v>
      </c>
      <c r="F21" s="24" t="s">
        <v>10</v>
      </c>
      <c r="G21" s="23" t="s">
        <v>11</v>
      </c>
      <c r="H21" s="25" t="s">
        <v>12</v>
      </c>
      <c r="J21" s="6" t="s">
        <v>4</v>
      </c>
      <c r="K21" s="9"/>
      <c r="L21" s="4"/>
      <c r="M21" s="4"/>
      <c r="N21" s="4"/>
      <c r="O21" s="4"/>
      <c r="P21" s="4"/>
      <c r="Q21" s="4"/>
      <c r="R21" s="4"/>
      <c r="S21" s="4"/>
      <c r="T21" s="4"/>
      <c r="U21" s="5"/>
      <c r="Y21" s="6" t="s">
        <v>4</v>
      </c>
      <c r="Z21" s="9"/>
      <c r="AA21" s="4"/>
      <c r="AB21" s="4"/>
      <c r="AC21" s="4"/>
      <c r="AD21" s="4"/>
      <c r="AE21" s="5"/>
      <c r="AH21" s="6" t="s">
        <v>4</v>
      </c>
      <c r="AI21" s="9"/>
      <c r="AJ21" s="4"/>
      <c r="AK21" s="4"/>
      <c r="AL21" s="4"/>
      <c r="AM21" s="4"/>
      <c r="AN21" s="5"/>
    </row>
    <row r="22" spans="1:40" ht="15.75" thickBot="1" x14ac:dyDescent="0.3">
      <c r="A22" s="99"/>
      <c r="B22" s="26"/>
      <c r="C22" s="27"/>
      <c r="D22" s="27"/>
      <c r="E22" s="27"/>
      <c r="F22" s="27">
        <f>SUM(C22-B22)</f>
        <v>0</v>
      </c>
      <c r="G22" s="20">
        <f>SUM(E22-D22)</f>
        <v>0</v>
      </c>
      <c r="H22" s="21">
        <f>SUM(F22:G22)</f>
        <v>0</v>
      </c>
      <c r="J22" s="7" t="s">
        <v>22</v>
      </c>
      <c r="K22" s="30"/>
      <c r="L22" s="31"/>
      <c r="M22" s="31"/>
      <c r="N22" s="31"/>
      <c r="O22" s="31"/>
      <c r="P22" s="31"/>
      <c r="Q22" s="31"/>
      <c r="R22" s="31"/>
      <c r="S22" s="31"/>
      <c r="T22" s="31"/>
      <c r="U22" s="32"/>
      <c r="Y22" s="7" t="s">
        <v>22</v>
      </c>
      <c r="Z22" s="10"/>
      <c r="AA22" s="11"/>
      <c r="AB22" s="11"/>
      <c r="AC22" s="11"/>
      <c r="AD22" s="11"/>
      <c r="AE22" s="12"/>
      <c r="AH22" s="7" t="s">
        <v>22</v>
      </c>
      <c r="AI22" s="10"/>
      <c r="AJ22" s="11"/>
      <c r="AK22" s="11"/>
      <c r="AL22" s="11"/>
      <c r="AM22" s="11"/>
      <c r="AN22" s="12"/>
    </row>
    <row r="23" spans="1:40" x14ac:dyDescent="0.25">
      <c r="J23" s="8"/>
      <c r="T23" s="8" t="s">
        <v>23</v>
      </c>
      <c r="U23" s="13">
        <f>SUM(K22:U22)</f>
        <v>0</v>
      </c>
      <c r="AD23" s="8" t="s">
        <v>23</v>
      </c>
      <c r="AE23" s="13">
        <f>SUM(Z22:AE22)</f>
        <v>0</v>
      </c>
      <c r="AM23" s="8" t="s">
        <v>23</v>
      </c>
      <c r="AN23" s="13">
        <f>SUM(AI22:AN22)</f>
        <v>0</v>
      </c>
    </row>
    <row r="24" spans="1:40" ht="15.75" thickBot="1" x14ac:dyDescent="0.3">
      <c r="A24" s="19"/>
      <c r="B24" s="97" t="s">
        <v>15</v>
      </c>
      <c r="C24" s="97"/>
      <c r="D24" s="97"/>
      <c r="E24" s="97"/>
      <c r="F24" s="97"/>
      <c r="G24" s="97"/>
      <c r="H24" s="97"/>
      <c r="J24" s="98" t="s">
        <v>15</v>
      </c>
      <c r="K24" s="98"/>
      <c r="L24" s="98"/>
      <c r="M24" s="98"/>
      <c r="N24" s="98"/>
      <c r="O24" s="98"/>
      <c r="P24" s="98"/>
      <c r="Q24" s="98"/>
      <c r="R24" s="98"/>
      <c r="S24" s="98"/>
      <c r="T24" s="98"/>
      <c r="U24" s="98"/>
      <c r="Y24" s="95" t="str">
        <f>J24</f>
        <v>Maio</v>
      </c>
      <c r="Z24" s="95"/>
      <c r="AA24" s="95"/>
      <c r="AB24" s="95"/>
      <c r="AC24" s="95"/>
      <c r="AD24" s="95"/>
      <c r="AE24" s="95"/>
      <c r="AH24" s="96" t="str">
        <f>Y24</f>
        <v>Maio</v>
      </c>
      <c r="AI24" s="96"/>
      <c r="AJ24" s="96"/>
      <c r="AK24" s="96"/>
      <c r="AL24" s="96"/>
      <c r="AM24" s="96"/>
      <c r="AN24" s="96"/>
    </row>
    <row r="25" spans="1:40" ht="15.75" thickBot="1" x14ac:dyDescent="0.3">
      <c r="A25" s="99" t="s">
        <v>5</v>
      </c>
      <c r="B25" s="34" t="s">
        <v>6</v>
      </c>
      <c r="C25" s="22" t="s">
        <v>7</v>
      </c>
      <c r="D25" s="33" t="s">
        <v>8</v>
      </c>
      <c r="E25" s="22" t="s">
        <v>9</v>
      </c>
      <c r="F25" s="24" t="s">
        <v>10</v>
      </c>
      <c r="G25" s="23" t="s">
        <v>11</v>
      </c>
      <c r="H25" s="25" t="s">
        <v>12</v>
      </c>
      <c r="J25" s="6" t="s">
        <v>4</v>
      </c>
      <c r="K25" s="9"/>
      <c r="L25" s="4"/>
      <c r="M25" s="4"/>
      <c r="N25" s="4"/>
      <c r="O25" s="4"/>
      <c r="P25" s="4"/>
      <c r="Q25" s="4"/>
      <c r="R25" s="4"/>
      <c r="S25" s="4"/>
      <c r="T25" s="4"/>
      <c r="U25" s="5"/>
      <c r="Y25" s="6" t="s">
        <v>4</v>
      </c>
      <c r="Z25" s="9"/>
      <c r="AA25" s="4"/>
      <c r="AB25" s="4"/>
      <c r="AC25" s="4"/>
      <c r="AD25" s="4"/>
      <c r="AE25" s="5"/>
      <c r="AH25" s="6" t="s">
        <v>4</v>
      </c>
      <c r="AI25" s="9"/>
      <c r="AJ25" s="4"/>
      <c r="AK25" s="4"/>
      <c r="AL25" s="4"/>
      <c r="AM25" s="4"/>
      <c r="AN25" s="5"/>
    </row>
    <row r="26" spans="1:40" ht="15.75" thickBot="1" x14ac:dyDescent="0.3">
      <c r="A26" s="99"/>
      <c r="B26" s="26"/>
      <c r="C26" s="27"/>
      <c r="D26" s="27"/>
      <c r="E26" s="27"/>
      <c r="F26" s="27">
        <f>SUM(C26-B26)</f>
        <v>0</v>
      </c>
      <c r="G26" s="20">
        <f>SUM(E26-D26)</f>
        <v>0</v>
      </c>
      <c r="H26" s="21">
        <f>SUM(F26:G26)</f>
        <v>0</v>
      </c>
      <c r="J26" s="7" t="s">
        <v>22</v>
      </c>
      <c r="K26" s="10"/>
      <c r="L26" s="11"/>
      <c r="M26" s="11"/>
      <c r="N26" s="11"/>
      <c r="O26" s="11"/>
      <c r="P26" s="11"/>
      <c r="Q26" s="11"/>
      <c r="R26" s="11"/>
      <c r="S26" s="11"/>
      <c r="T26" s="11"/>
      <c r="U26" s="12"/>
      <c r="Y26" s="7" t="s">
        <v>22</v>
      </c>
      <c r="Z26" s="10"/>
      <c r="AA26" s="11"/>
      <c r="AB26" s="11"/>
      <c r="AC26" s="11"/>
      <c r="AD26" s="11"/>
      <c r="AE26" s="12"/>
      <c r="AH26" s="7" t="s">
        <v>22</v>
      </c>
      <c r="AI26" s="10"/>
      <c r="AJ26" s="11"/>
      <c r="AK26" s="11"/>
      <c r="AL26" s="11"/>
      <c r="AM26" s="11"/>
      <c r="AN26" s="12"/>
    </row>
    <row r="27" spans="1:40" x14ac:dyDescent="0.25">
      <c r="J27" s="8"/>
      <c r="T27" s="8" t="s">
        <v>23</v>
      </c>
      <c r="U27" s="13">
        <f>SUM(K26:U26)</f>
        <v>0</v>
      </c>
      <c r="AD27" s="8" t="s">
        <v>23</v>
      </c>
      <c r="AE27" s="13">
        <f>SUM(Z26:AE26)</f>
        <v>0</v>
      </c>
      <c r="AM27" s="8" t="s">
        <v>23</v>
      </c>
      <c r="AN27" s="13">
        <f>SUM(AI26:AN26)</f>
        <v>0</v>
      </c>
    </row>
    <row r="28" spans="1:40" ht="15.75" thickBot="1" x14ac:dyDescent="0.3">
      <c r="A28" s="19"/>
      <c r="B28" s="97" t="s">
        <v>24</v>
      </c>
      <c r="C28" s="97"/>
      <c r="D28" s="97"/>
      <c r="E28" s="97"/>
      <c r="F28" s="97"/>
      <c r="G28" s="97"/>
      <c r="H28" s="97"/>
      <c r="J28" s="98" t="s">
        <v>24</v>
      </c>
      <c r="K28" s="98"/>
      <c r="L28" s="98"/>
      <c r="M28" s="98"/>
      <c r="N28" s="98"/>
      <c r="O28" s="98"/>
      <c r="P28" s="98"/>
      <c r="Q28" s="98"/>
      <c r="R28" s="98"/>
      <c r="S28" s="98"/>
      <c r="T28" s="98"/>
      <c r="U28" s="98"/>
      <c r="Y28" s="95" t="str">
        <f>J28</f>
        <v>Junho</v>
      </c>
      <c r="Z28" s="95"/>
      <c r="AA28" s="95"/>
      <c r="AB28" s="95"/>
      <c r="AC28" s="95"/>
      <c r="AD28" s="95"/>
      <c r="AE28" s="95"/>
      <c r="AH28" s="96" t="str">
        <f>Y28</f>
        <v>Junho</v>
      </c>
      <c r="AI28" s="96"/>
      <c r="AJ28" s="96"/>
      <c r="AK28" s="96"/>
      <c r="AL28" s="96"/>
      <c r="AM28" s="96"/>
      <c r="AN28" s="96"/>
    </row>
    <row r="29" spans="1:40" ht="15.75" thickBot="1" x14ac:dyDescent="0.3">
      <c r="A29" s="99" t="s">
        <v>5</v>
      </c>
      <c r="B29" s="34" t="s">
        <v>6</v>
      </c>
      <c r="C29" s="22" t="s">
        <v>7</v>
      </c>
      <c r="D29" s="33" t="s">
        <v>8</v>
      </c>
      <c r="E29" s="22" t="s">
        <v>9</v>
      </c>
      <c r="F29" s="24" t="s">
        <v>10</v>
      </c>
      <c r="G29" s="23" t="s">
        <v>11</v>
      </c>
      <c r="H29" s="25" t="s">
        <v>12</v>
      </c>
      <c r="J29" s="6" t="s">
        <v>4</v>
      </c>
      <c r="K29" s="9"/>
      <c r="L29" s="4"/>
      <c r="M29" s="4"/>
      <c r="N29" s="4"/>
      <c r="O29" s="4"/>
      <c r="P29" s="4"/>
      <c r="Q29" s="4"/>
      <c r="R29" s="4"/>
      <c r="S29" s="4"/>
      <c r="T29" s="4"/>
      <c r="U29" s="5"/>
      <c r="Y29" s="6" t="s">
        <v>4</v>
      </c>
      <c r="Z29" s="9"/>
      <c r="AA29" s="4"/>
      <c r="AB29" s="4"/>
      <c r="AC29" s="4"/>
      <c r="AD29" s="4"/>
      <c r="AE29" s="5"/>
      <c r="AH29" s="6" t="s">
        <v>4</v>
      </c>
      <c r="AI29" s="9"/>
      <c r="AJ29" s="4"/>
      <c r="AK29" s="4"/>
      <c r="AL29" s="4"/>
      <c r="AM29" s="4"/>
      <c r="AN29" s="5"/>
    </row>
    <row r="30" spans="1:40" ht="15.75" thickBot="1" x14ac:dyDescent="0.3">
      <c r="A30" s="99"/>
      <c r="B30" s="26"/>
      <c r="C30" s="27"/>
      <c r="D30" s="27"/>
      <c r="E30" s="27"/>
      <c r="F30" s="27">
        <f>SUM(C30-B30)</f>
        <v>0</v>
      </c>
      <c r="G30" s="20">
        <f>SUM(E30-D30)</f>
        <v>0</v>
      </c>
      <c r="H30" s="21">
        <f>SUM(F30:G30)</f>
        <v>0</v>
      </c>
      <c r="J30" s="7" t="s">
        <v>22</v>
      </c>
      <c r="K30" s="10"/>
      <c r="L30" s="11"/>
      <c r="M30" s="11"/>
      <c r="N30" s="11"/>
      <c r="O30" s="11"/>
      <c r="P30" s="11"/>
      <c r="Q30" s="11"/>
      <c r="R30" s="11"/>
      <c r="S30" s="11"/>
      <c r="T30" s="11"/>
      <c r="U30" s="12"/>
      <c r="Y30" s="7" t="s">
        <v>22</v>
      </c>
      <c r="Z30" s="10"/>
      <c r="AA30" s="11"/>
      <c r="AB30" s="11"/>
      <c r="AC30" s="11"/>
      <c r="AD30" s="11"/>
      <c r="AE30" s="12"/>
      <c r="AH30" s="7" t="s">
        <v>22</v>
      </c>
      <c r="AI30" s="10"/>
      <c r="AJ30" s="11"/>
      <c r="AK30" s="11"/>
      <c r="AL30" s="11"/>
      <c r="AM30" s="11"/>
      <c r="AN30" s="12"/>
    </row>
    <row r="31" spans="1:40" x14ac:dyDescent="0.25">
      <c r="J31" s="8"/>
      <c r="T31" s="8" t="s">
        <v>23</v>
      </c>
      <c r="U31" s="13">
        <f>SUM(K30:U30)</f>
        <v>0</v>
      </c>
      <c r="AD31" s="8" t="s">
        <v>23</v>
      </c>
      <c r="AE31" s="13">
        <f>SUM(Z30:AE30)</f>
        <v>0</v>
      </c>
      <c r="AM31" s="8" t="s">
        <v>23</v>
      </c>
      <c r="AN31" s="13">
        <f>SUM(AI30:AN30)</f>
        <v>0</v>
      </c>
    </row>
    <row r="32" spans="1:40" ht="15.75" thickBot="1" x14ac:dyDescent="0.3">
      <c r="A32" s="19"/>
      <c r="B32" s="97" t="s">
        <v>16</v>
      </c>
      <c r="C32" s="97"/>
      <c r="D32" s="97"/>
      <c r="E32" s="97"/>
      <c r="F32" s="97"/>
      <c r="G32" s="97"/>
      <c r="H32" s="97"/>
      <c r="J32" s="98" t="s">
        <v>16</v>
      </c>
      <c r="K32" s="98"/>
      <c r="L32" s="98"/>
      <c r="M32" s="98"/>
      <c r="N32" s="98"/>
      <c r="O32" s="98"/>
      <c r="P32" s="98"/>
      <c r="Q32" s="98"/>
      <c r="R32" s="98"/>
      <c r="S32" s="98"/>
      <c r="T32" s="98"/>
      <c r="U32" s="98"/>
      <c r="Y32" s="95" t="str">
        <f>J32</f>
        <v>Julho</v>
      </c>
      <c r="Z32" s="95"/>
      <c r="AA32" s="95"/>
      <c r="AB32" s="95"/>
      <c r="AC32" s="95"/>
      <c r="AD32" s="95"/>
      <c r="AE32" s="95"/>
      <c r="AH32" s="96" t="str">
        <f>Y32</f>
        <v>Julho</v>
      </c>
      <c r="AI32" s="96"/>
      <c r="AJ32" s="96"/>
      <c r="AK32" s="96"/>
      <c r="AL32" s="96"/>
      <c r="AM32" s="96"/>
      <c r="AN32" s="96"/>
    </row>
    <row r="33" spans="1:40" ht="15.75" thickBot="1" x14ac:dyDescent="0.3">
      <c r="A33" s="99" t="s">
        <v>5</v>
      </c>
      <c r="B33" s="34" t="s">
        <v>6</v>
      </c>
      <c r="C33" s="22" t="s">
        <v>7</v>
      </c>
      <c r="D33" s="33" t="s">
        <v>8</v>
      </c>
      <c r="E33" s="22" t="s">
        <v>9</v>
      </c>
      <c r="F33" s="24" t="s">
        <v>10</v>
      </c>
      <c r="G33" s="23" t="s">
        <v>11</v>
      </c>
      <c r="H33" s="25" t="s">
        <v>12</v>
      </c>
      <c r="J33" s="6" t="s">
        <v>4</v>
      </c>
      <c r="K33" s="9"/>
      <c r="L33" s="4"/>
      <c r="M33" s="4"/>
      <c r="N33" s="4"/>
      <c r="O33" s="4"/>
      <c r="P33" s="4"/>
      <c r="Q33" s="4"/>
      <c r="R33" s="4"/>
      <c r="S33" s="4"/>
      <c r="T33" s="4"/>
      <c r="U33" s="5"/>
      <c r="Y33" s="6" t="s">
        <v>4</v>
      </c>
      <c r="Z33" s="9"/>
      <c r="AA33" s="4"/>
      <c r="AB33" s="4"/>
      <c r="AC33" s="4"/>
      <c r="AD33" s="4"/>
      <c r="AE33" s="5"/>
      <c r="AH33" s="6" t="s">
        <v>4</v>
      </c>
      <c r="AI33" s="9"/>
      <c r="AJ33" s="4"/>
      <c r="AK33" s="4"/>
      <c r="AL33" s="4"/>
      <c r="AM33" s="4"/>
      <c r="AN33" s="5"/>
    </row>
    <row r="34" spans="1:40" ht="15.75" thickBot="1" x14ac:dyDescent="0.3">
      <c r="A34" s="99"/>
      <c r="B34" s="26"/>
      <c r="C34" s="27"/>
      <c r="D34" s="27"/>
      <c r="E34" s="27"/>
      <c r="F34" s="27">
        <f>SUM(C34-B34)</f>
        <v>0</v>
      </c>
      <c r="G34" s="20">
        <f>SUM(E34-D34)</f>
        <v>0</v>
      </c>
      <c r="H34" s="21">
        <f>SUM(F34:G34)</f>
        <v>0</v>
      </c>
      <c r="J34" s="7" t="s">
        <v>22</v>
      </c>
      <c r="K34" s="10"/>
      <c r="L34" s="11"/>
      <c r="M34" s="11"/>
      <c r="N34" s="11"/>
      <c r="O34" s="11"/>
      <c r="P34" s="11"/>
      <c r="Q34" s="11"/>
      <c r="R34" s="11"/>
      <c r="S34" s="11"/>
      <c r="T34" s="11"/>
      <c r="U34" s="12"/>
      <c r="Y34" s="7" t="s">
        <v>22</v>
      </c>
      <c r="Z34" s="10"/>
      <c r="AA34" s="11"/>
      <c r="AB34" s="11"/>
      <c r="AC34" s="11"/>
      <c r="AD34" s="11"/>
      <c r="AE34" s="12"/>
      <c r="AH34" s="7" t="s">
        <v>22</v>
      </c>
      <c r="AI34" s="10"/>
      <c r="AJ34" s="11"/>
      <c r="AK34" s="11"/>
      <c r="AL34" s="11"/>
      <c r="AM34" s="11"/>
      <c r="AN34" s="12"/>
    </row>
    <row r="35" spans="1:40" x14ac:dyDescent="0.25">
      <c r="J35" s="8"/>
      <c r="T35" s="8" t="s">
        <v>23</v>
      </c>
      <c r="U35" s="13">
        <f>SUM(K34:U34)</f>
        <v>0</v>
      </c>
      <c r="AD35" s="8" t="s">
        <v>23</v>
      </c>
      <c r="AE35" s="13">
        <f>SUM(Z34:AE34)</f>
        <v>0</v>
      </c>
      <c r="AM35" s="8" t="s">
        <v>23</v>
      </c>
      <c r="AN35" s="13">
        <f>SUM(AI34:AN34)</f>
        <v>0</v>
      </c>
    </row>
    <row r="36" spans="1:40" ht="15.75" thickBot="1" x14ac:dyDescent="0.3">
      <c r="A36" s="19"/>
      <c r="B36" s="97" t="s">
        <v>17</v>
      </c>
      <c r="C36" s="97"/>
      <c r="D36" s="97"/>
      <c r="E36" s="97"/>
      <c r="F36" s="97"/>
      <c r="G36" s="97"/>
      <c r="H36" s="97"/>
      <c r="J36" s="98" t="s">
        <v>17</v>
      </c>
      <c r="K36" s="98"/>
      <c r="L36" s="98"/>
      <c r="M36" s="98"/>
      <c r="N36" s="98"/>
      <c r="O36" s="98"/>
      <c r="P36" s="98"/>
      <c r="Q36" s="98"/>
      <c r="R36" s="98"/>
      <c r="S36" s="98"/>
      <c r="T36" s="98"/>
      <c r="U36" s="98"/>
      <c r="Y36" s="95" t="str">
        <f>J36</f>
        <v>Agosto</v>
      </c>
      <c r="Z36" s="95"/>
      <c r="AA36" s="95"/>
      <c r="AB36" s="95"/>
      <c r="AC36" s="95"/>
      <c r="AD36" s="95"/>
      <c r="AE36" s="95"/>
      <c r="AH36" s="96" t="str">
        <f>Y36</f>
        <v>Agosto</v>
      </c>
      <c r="AI36" s="96"/>
      <c r="AJ36" s="96"/>
      <c r="AK36" s="96"/>
      <c r="AL36" s="96"/>
      <c r="AM36" s="96"/>
      <c r="AN36" s="96"/>
    </row>
    <row r="37" spans="1:40" ht="15.75" thickBot="1" x14ac:dyDescent="0.3">
      <c r="A37" s="99" t="s">
        <v>5</v>
      </c>
      <c r="B37" s="34" t="s">
        <v>6</v>
      </c>
      <c r="C37" s="22" t="s">
        <v>7</v>
      </c>
      <c r="D37" s="33" t="s">
        <v>8</v>
      </c>
      <c r="E37" s="22" t="s">
        <v>9</v>
      </c>
      <c r="F37" s="24" t="s">
        <v>10</v>
      </c>
      <c r="G37" s="23" t="s">
        <v>11</v>
      </c>
      <c r="H37" s="25" t="s">
        <v>12</v>
      </c>
      <c r="J37" s="6" t="s">
        <v>4</v>
      </c>
      <c r="K37" s="9"/>
      <c r="L37" s="4"/>
      <c r="M37" s="4"/>
      <c r="N37" s="4"/>
      <c r="O37" s="4"/>
      <c r="P37" s="4"/>
      <c r="Q37" s="4"/>
      <c r="R37" s="4"/>
      <c r="S37" s="4"/>
      <c r="T37" s="4"/>
      <c r="U37" s="5"/>
      <c r="Y37" s="6" t="s">
        <v>4</v>
      </c>
      <c r="Z37" s="9"/>
      <c r="AA37" s="4"/>
      <c r="AB37" s="4"/>
      <c r="AC37" s="4"/>
      <c r="AD37" s="4"/>
      <c r="AE37" s="5"/>
      <c r="AH37" s="6" t="s">
        <v>4</v>
      </c>
      <c r="AI37" s="9"/>
      <c r="AJ37" s="4"/>
      <c r="AK37" s="4"/>
      <c r="AL37" s="4"/>
      <c r="AM37" s="4"/>
      <c r="AN37" s="5"/>
    </row>
    <row r="38" spans="1:40" ht="15.75" thickBot="1" x14ac:dyDescent="0.3">
      <c r="A38" s="99"/>
      <c r="B38" s="26"/>
      <c r="C38" s="27"/>
      <c r="D38" s="27"/>
      <c r="E38" s="27"/>
      <c r="F38" s="27">
        <f>SUM(C38-B38)</f>
        <v>0</v>
      </c>
      <c r="G38" s="20">
        <f>SUM(E38-D38)</f>
        <v>0</v>
      </c>
      <c r="H38" s="21">
        <f>SUM(F38:G38)</f>
        <v>0</v>
      </c>
      <c r="J38" s="7" t="s">
        <v>22</v>
      </c>
      <c r="K38" s="10"/>
      <c r="L38" s="11"/>
      <c r="M38" s="11"/>
      <c r="N38" s="11"/>
      <c r="O38" s="11"/>
      <c r="P38" s="11"/>
      <c r="Q38" s="11"/>
      <c r="R38" s="11"/>
      <c r="S38" s="11"/>
      <c r="T38" s="11"/>
      <c r="U38" s="12"/>
      <c r="Y38" s="7" t="s">
        <v>22</v>
      </c>
      <c r="Z38" s="10"/>
      <c r="AA38" s="11"/>
      <c r="AB38" s="11"/>
      <c r="AC38" s="11"/>
      <c r="AD38" s="11"/>
      <c r="AE38" s="12"/>
      <c r="AH38" s="7" t="s">
        <v>22</v>
      </c>
      <c r="AI38" s="10"/>
      <c r="AJ38" s="11"/>
      <c r="AK38" s="11"/>
      <c r="AL38" s="11"/>
      <c r="AM38" s="11"/>
      <c r="AN38" s="12"/>
    </row>
    <row r="39" spans="1:40" x14ac:dyDescent="0.25">
      <c r="J39" s="8"/>
      <c r="T39" s="8" t="s">
        <v>23</v>
      </c>
      <c r="U39" s="13">
        <f>SUM(K38:U38)</f>
        <v>0</v>
      </c>
      <c r="AD39" s="8" t="s">
        <v>23</v>
      </c>
      <c r="AE39" s="13">
        <f>SUM(Z38:AE38)</f>
        <v>0</v>
      </c>
      <c r="AM39" s="8" t="s">
        <v>23</v>
      </c>
      <c r="AN39" s="13">
        <f>SUM(AI38:AN38)</f>
        <v>0</v>
      </c>
    </row>
    <row r="40" spans="1:40" ht="15.75" thickBot="1" x14ac:dyDescent="0.3">
      <c r="A40" s="19"/>
      <c r="B40" s="97" t="s">
        <v>18</v>
      </c>
      <c r="C40" s="97"/>
      <c r="D40" s="97"/>
      <c r="E40" s="97"/>
      <c r="F40" s="97"/>
      <c r="G40" s="97"/>
      <c r="H40" s="97"/>
      <c r="J40" s="98" t="s">
        <v>18</v>
      </c>
      <c r="K40" s="98"/>
      <c r="L40" s="98"/>
      <c r="M40" s="98"/>
      <c r="N40" s="98"/>
      <c r="O40" s="98"/>
      <c r="P40" s="98"/>
      <c r="Q40" s="98"/>
      <c r="R40" s="98"/>
      <c r="S40" s="98"/>
      <c r="T40" s="98"/>
      <c r="U40" s="98"/>
      <c r="Y40" s="95" t="str">
        <f>J40</f>
        <v>Setembro</v>
      </c>
      <c r="Z40" s="95"/>
      <c r="AA40" s="95"/>
      <c r="AB40" s="95"/>
      <c r="AC40" s="95"/>
      <c r="AD40" s="95"/>
      <c r="AE40" s="95"/>
      <c r="AH40" s="96" t="str">
        <f>Y40</f>
        <v>Setembro</v>
      </c>
      <c r="AI40" s="96"/>
      <c r="AJ40" s="96"/>
      <c r="AK40" s="96"/>
      <c r="AL40" s="96"/>
      <c r="AM40" s="96"/>
      <c r="AN40" s="96"/>
    </row>
    <row r="41" spans="1:40" ht="15.75" thickBot="1" x14ac:dyDescent="0.3">
      <c r="A41" s="99" t="s">
        <v>5</v>
      </c>
      <c r="B41" s="34" t="s">
        <v>6</v>
      </c>
      <c r="C41" s="22" t="s">
        <v>7</v>
      </c>
      <c r="D41" s="33" t="s">
        <v>8</v>
      </c>
      <c r="E41" s="22" t="s">
        <v>9</v>
      </c>
      <c r="F41" s="24" t="s">
        <v>10</v>
      </c>
      <c r="G41" s="23" t="s">
        <v>11</v>
      </c>
      <c r="H41" s="25" t="s">
        <v>12</v>
      </c>
      <c r="J41" s="6" t="s">
        <v>4</v>
      </c>
      <c r="K41" s="9">
        <v>45541</v>
      </c>
      <c r="L41" s="66">
        <v>45546</v>
      </c>
      <c r="M41" s="66">
        <v>45547</v>
      </c>
      <c r="N41" s="66">
        <v>45552</v>
      </c>
      <c r="O41" s="66">
        <v>45554</v>
      </c>
      <c r="P41" s="66">
        <v>45559</v>
      </c>
      <c r="Q41" s="66">
        <v>45561</v>
      </c>
      <c r="R41" s="4"/>
      <c r="S41" s="4"/>
      <c r="T41" s="4"/>
      <c r="U41" s="5"/>
      <c r="Y41" s="6" t="s">
        <v>4</v>
      </c>
      <c r="Z41" s="9"/>
      <c r="AA41" s="4"/>
      <c r="AB41" s="4"/>
      <c r="AC41" s="4"/>
      <c r="AD41" s="4"/>
      <c r="AE41" s="5"/>
      <c r="AH41" s="6" t="s">
        <v>4</v>
      </c>
      <c r="AI41" s="9"/>
      <c r="AJ41" s="4"/>
      <c r="AK41" s="4"/>
      <c r="AL41" s="4"/>
      <c r="AM41" s="4"/>
      <c r="AN41" s="5"/>
    </row>
    <row r="42" spans="1:40" ht="15.75" thickBot="1" x14ac:dyDescent="0.3">
      <c r="A42" s="99"/>
      <c r="B42" s="26">
        <v>32</v>
      </c>
      <c r="C42" s="27"/>
      <c r="D42" s="27"/>
      <c r="E42" s="27">
        <v>3830</v>
      </c>
      <c r="F42" s="27">
        <f>SUM(C42-B42)</f>
        <v>-32</v>
      </c>
      <c r="G42" s="20">
        <f>SUM(E42-D42)</f>
        <v>3830</v>
      </c>
      <c r="H42" s="21">
        <f>SUM(F42:G42)</f>
        <v>3798</v>
      </c>
      <c r="J42" s="7" t="s">
        <v>22</v>
      </c>
      <c r="K42" s="10">
        <v>130.22999999999999</v>
      </c>
      <c r="L42" s="11">
        <v>240.05</v>
      </c>
      <c r="M42" s="11">
        <v>116</v>
      </c>
      <c r="N42" s="11">
        <v>216.46</v>
      </c>
      <c r="O42" s="11">
        <v>161.74</v>
      </c>
      <c r="P42" s="11">
        <v>244.17</v>
      </c>
      <c r="Q42" s="11">
        <v>150.01</v>
      </c>
      <c r="R42" s="11"/>
      <c r="S42" s="11"/>
      <c r="T42" s="11"/>
      <c r="U42" s="12"/>
      <c r="Y42" s="7" t="s">
        <v>22</v>
      </c>
      <c r="Z42" s="10"/>
      <c r="AA42" s="11"/>
      <c r="AB42" s="11"/>
      <c r="AC42" s="11"/>
      <c r="AD42" s="11"/>
      <c r="AE42" s="12"/>
      <c r="AH42" s="7" t="s">
        <v>22</v>
      </c>
      <c r="AI42" s="10"/>
      <c r="AJ42" s="11"/>
      <c r="AK42" s="11"/>
      <c r="AL42" s="11"/>
      <c r="AM42" s="11"/>
      <c r="AN42" s="12"/>
    </row>
    <row r="43" spans="1:40" x14ac:dyDescent="0.25">
      <c r="J43" s="8"/>
      <c r="T43" s="8" t="s">
        <v>23</v>
      </c>
      <c r="U43" s="13">
        <f>SUM(K42:U42)</f>
        <v>1258.6600000000001</v>
      </c>
      <c r="AD43" s="8" t="s">
        <v>23</v>
      </c>
      <c r="AE43" s="13">
        <f>SUM(Z42:AE42)</f>
        <v>0</v>
      </c>
      <c r="AM43" s="8" t="s">
        <v>23</v>
      </c>
      <c r="AN43" s="13">
        <f>SUM(AI42:AN42)</f>
        <v>0</v>
      </c>
    </row>
    <row r="44" spans="1:40" ht="15.75" thickBot="1" x14ac:dyDescent="0.3">
      <c r="A44" s="19"/>
      <c r="B44" s="97" t="s">
        <v>19</v>
      </c>
      <c r="C44" s="97"/>
      <c r="D44" s="97"/>
      <c r="E44" s="97"/>
      <c r="F44" s="97"/>
      <c r="G44" s="97"/>
      <c r="H44" s="97"/>
      <c r="J44" s="98" t="s">
        <v>19</v>
      </c>
      <c r="K44" s="98"/>
      <c r="L44" s="98"/>
      <c r="M44" s="98"/>
      <c r="N44" s="98"/>
      <c r="O44" s="98"/>
      <c r="P44" s="98"/>
      <c r="Q44" s="98"/>
      <c r="R44" s="98"/>
      <c r="S44" s="98"/>
      <c r="T44" s="98"/>
      <c r="U44" s="98"/>
      <c r="Y44" s="95" t="str">
        <f>J44</f>
        <v>Outubro</v>
      </c>
      <c r="Z44" s="95"/>
      <c r="AA44" s="95"/>
      <c r="AB44" s="95"/>
      <c r="AC44" s="95"/>
      <c r="AD44" s="95"/>
      <c r="AE44" s="95"/>
      <c r="AH44" s="96" t="str">
        <f>Y44</f>
        <v>Outubro</v>
      </c>
      <c r="AI44" s="96"/>
      <c r="AJ44" s="96"/>
      <c r="AK44" s="96"/>
      <c r="AL44" s="96"/>
      <c r="AM44" s="96"/>
      <c r="AN44" s="96"/>
    </row>
    <row r="45" spans="1:40" ht="15.75" thickBot="1" x14ac:dyDescent="0.3">
      <c r="A45" s="99" t="s">
        <v>5</v>
      </c>
      <c r="B45" s="34" t="s">
        <v>6</v>
      </c>
      <c r="C45" s="22" t="s">
        <v>7</v>
      </c>
      <c r="D45" s="33" t="s">
        <v>8</v>
      </c>
      <c r="E45" s="22" t="s">
        <v>9</v>
      </c>
      <c r="F45" s="24" t="s">
        <v>10</v>
      </c>
      <c r="G45" s="23" t="s">
        <v>11</v>
      </c>
      <c r="H45" s="25" t="s">
        <v>12</v>
      </c>
      <c r="J45" s="6" t="s">
        <v>4</v>
      </c>
      <c r="K45" s="9">
        <v>45566</v>
      </c>
      <c r="L45" s="66">
        <v>45569</v>
      </c>
      <c r="M45" s="66">
        <v>45572</v>
      </c>
      <c r="N45" s="66">
        <v>45575</v>
      </c>
      <c r="O45" s="66">
        <v>45580</v>
      </c>
      <c r="P45" s="66">
        <v>45582</v>
      </c>
      <c r="Q45" s="66">
        <v>45587</v>
      </c>
      <c r="R45" s="66">
        <v>45589</v>
      </c>
      <c r="S45" s="66">
        <v>45594</v>
      </c>
      <c r="T45" s="66"/>
      <c r="U45" s="71"/>
      <c r="Y45" s="6" t="s">
        <v>4</v>
      </c>
      <c r="Z45" s="9">
        <v>45568</v>
      </c>
      <c r="AA45" s="4"/>
      <c r="AB45" s="4"/>
      <c r="AC45" s="4"/>
      <c r="AD45" s="4"/>
      <c r="AE45" s="5"/>
      <c r="AH45" s="6" t="s">
        <v>4</v>
      </c>
      <c r="AI45" s="9"/>
      <c r="AJ45" s="4"/>
      <c r="AK45" s="4"/>
      <c r="AL45" s="4"/>
      <c r="AM45" s="4"/>
      <c r="AN45" s="5"/>
    </row>
    <row r="46" spans="1:40" ht="15.75" thickBot="1" x14ac:dyDescent="0.3">
      <c r="A46" s="99"/>
      <c r="B46" s="26">
        <v>44598</v>
      </c>
      <c r="C46" s="27"/>
      <c r="D46" s="27"/>
      <c r="E46" s="27">
        <v>48235</v>
      </c>
      <c r="F46" s="27">
        <f>SUM(C46-B46)</f>
        <v>-44598</v>
      </c>
      <c r="G46" s="20">
        <f>SUM(E46-D46)</f>
        <v>48235</v>
      </c>
      <c r="H46" s="21">
        <f>SUM(F46:G46)</f>
        <v>3637</v>
      </c>
      <c r="J46" s="7" t="s">
        <v>22</v>
      </c>
      <c r="K46" s="10">
        <v>205.44</v>
      </c>
      <c r="L46" s="11">
        <v>229.84</v>
      </c>
      <c r="M46" s="11">
        <v>298.67</v>
      </c>
      <c r="N46" s="11">
        <v>260.32</v>
      </c>
      <c r="O46" s="11">
        <v>273.61</v>
      </c>
      <c r="P46" s="11">
        <v>218.31</v>
      </c>
      <c r="Q46" s="11">
        <v>286.44</v>
      </c>
      <c r="R46" s="11">
        <v>265.08</v>
      </c>
      <c r="S46" s="11">
        <v>263.95</v>
      </c>
      <c r="T46" s="11"/>
      <c r="U46" s="12"/>
      <c r="Y46" s="7" t="s">
        <v>22</v>
      </c>
      <c r="Z46" s="10">
        <v>50</v>
      </c>
      <c r="AA46" s="11"/>
      <c r="AB46" s="11"/>
      <c r="AC46" s="11"/>
      <c r="AD46" s="11"/>
      <c r="AE46" s="12"/>
      <c r="AH46" s="7" t="s">
        <v>22</v>
      </c>
      <c r="AI46" s="10"/>
      <c r="AJ46" s="11"/>
      <c r="AK46" s="11"/>
      <c r="AL46" s="11"/>
      <c r="AM46" s="11"/>
      <c r="AN46" s="12"/>
    </row>
    <row r="47" spans="1:40" x14ac:dyDescent="0.25">
      <c r="J47" s="8"/>
      <c r="T47" s="8" t="s">
        <v>23</v>
      </c>
      <c r="U47" s="13">
        <f>SUM(K46:U46)</f>
        <v>2301.66</v>
      </c>
      <c r="AD47" s="8" t="s">
        <v>23</v>
      </c>
      <c r="AE47" s="13">
        <f>SUM(Z46:AE46)</f>
        <v>50</v>
      </c>
      <c r="AM47" s="8" t="s">
        <v>23</v>
      </c>
      <c r="AN47" s="13">
        <f>SUM(AI46:AN46)</f>
        <v>0</v>
      </c>
    </row>
    <row r="48" spans="1:40" ht="15.75" thickBot="1" x14ac:dyDescent="0.3">
      <c r="A48" s="19"/>
      <c r="B48" s="97" t="s">
        <v>20</v>
      </c>
      <c r="C48" s="97"/>
      <c r="D48" s="97"/>
      <c r="E48" s="97"/>
      <c r="F48" s="97"/>
      <c r="G48" s="97"/>
      <c r="H48" s="97"/>
      <c r="J48" s="98" t="s">
        <v>20</v>
      </c>
      <c r="K48" s="98"/>
      <c r="L48" s="98"/>
      <c r="M48" s="98"/>
      <c r="N48" s="98"/>
      <c r="O48" s="98"/>
      <c r="P48" s="98"/>
      <c r="Q48" s="98"/>
      <c r="R48" s="98"/>
      <c r="S48" s="98"/>
      <c r="T48" s="98"/>
      <c r="U48" s="98"/>
      <c r="Y48" s="95" t="str">
        <f>J48</f>
        <v>Novembro</v>
      </c>
      <c r="Z48" s="95"/>
      <c r="AA48" s="95"/>
      <c r="AB48" s="95"/>
      <c r="AC48" s="95"/>
      <c r="AD48" s="95"/>
      <c r="AE48" s="95"/>
      <c r="AH48" s="96" t="str">
        <f>Y48</f>
        <v>Novembro</v>
      </c>
      <c r="AI48" s="96"/>
      <c r="AJ48" s="96"/>
      <c r="AK48" s="96"/>
      <c r="AL48" s="96"/>
      <c r="AM48" s="96"/>
      <c r="AN48" s="96"/>
    </row>
    <row r="49" spans="1:40" ht="15.75" thickBot="1" x14ac:dyDescent="0.3">
      <c r="A49" s="99" t="s">
        <v>5</v>
      </c>
      <c r="B49" s="34" t="s">
        <v>6</v>
      </c>
      <c r="C49" s="22" t="s">
        <v>7</v>
      </c>
      <c r="D49" s="33" t="s">
        <v>8</v>
      </c>
      <c r="E49" s="22" t="s">
        <v>9</v>
      </c>
      <c r="F49" s="24" t="s">
        <v>10</v>
      </c>
      <c r="G49" s="23" t="s">
        <v>11</v>
      </c>
      <c r="H49" s="25" t="s">
        <v>12</v>
      </c>
      <c r="J49" s="6" t="s">
        <v>4</v>
      </c>
      <c r="K49" s="9">
        <v>45597</v>
      </c>
      <c r="L49" s="66">
        <v>45604</v>
      </c>
      <c r="M49" s="66">
        <v>45624</v>
      </c>
      <c r="N49" s="66">
        <v>45625</v>
      </c>
      <c r="O49" s="4"/>
      <c r="P49" s="4"/>
      <c r="Q49" s="4"/>
      <c r="R49" s="4"/>
      <c r="S49" s="4"/>
      <c r="T49" s="4"/>
      <c r="U49" s="5"/>
      <c r="Y49" s="6" t="s">
        <v>4</v>
      </c>
      <c r="Z49" s="9"/>
      <c r="AA49" s="4"/>
      <c r="AB49" s="4"/>
      <c r="AC49" s="4"/>
      <c r="AD49" s="4"/>
      <c r="AE49" s="5"/>
      <c r="AH49" s="6" t="s">
        <v>4</v>
      </c>
      <c r="AI49" s="9"/>
      <c r="AJ49" s="4"/>
      <c r="AK49" s="4"/>
      <c r="AL49" s="4"/>
      <c r="AM49" s="4"/>
      <c r="AN49" s="5"/>
    </row>
    <row r="50" spans="1:40" ht="15.75" thickBot="1" x14ac:dyDescent="0.3">
      <c r="A50" s="99"/>
      <c r="B50" s="26"/>
      <c r="C50" s="27"/>
      <c r="D50" s="27">
        <v>39082</v>
      </c>
      <c r="E50" s="27">
        <v>40148</v>
      </c>
      <c r="F50" s="27">
        <f>SUM(C50-B50)</f>
        <v>0</v>
      </c>
      <c r="G50" s="20">
        <f>SUM(E50-D50)</f>
        <v>1066</v>
      </c>
      <c r="H50" s="21">
        <f>SUM(F50:G50)</f>
        <v>1066</v>
      </c>
      <c r="J50" s="7" t="s">
        <v>22</v>
      </c>
      <c r="K50" s="10">
        <v>264.19</v>
      </c>
      <c r="L50" s="11">
        <v>278.74</v>
      </c>
      <c r="M50" s="11">
        <v>295.02999999999997</v>
      </c>
      <c r="N50" s="11">
        <v>182.06</v>
      </c>
      <c r="O50" s="11"/>
      <c r="P50" s="11"/>
      <c r="Q50" s="11"/>
      <c r="R50" s="11"/>
      <c r="S50" s="11"/>
      <c r="T50" s="11"/>
      <c r="U50" s="12"/>
      <c r="Y50" s="7" t="s">
        <v>22</v>
      </c>
      <c r="Z50" s="10"/>
      <c r="AA50" s="11"/>
      <c r="AB50" s="11"/>
      <c r="AC50" s="11"/>
      <c r="AD50" s="11"/>
      <c r="AE50" s="12"/>
      <c r="AH50" s="7" t="s">
        <v>22</v>
      </c>
      <c r="AI50" s="10"/>
      <c r="AJ50" s="11"/>
      <c r="AK50" s="11"/>
      <c r="AL50" s="11"/>
      <c r="AM50" s="11"/>
      <c r="AN50" s="12"/>
    </row>
    <row r="51" spans="1:40" x14ac:dyDescent="0.25">
      <c r="J51" s="8"/>
      <c r="T51" s="8" t="s">
        <v>23</v>
      </c>
      <c r="U51" s="13">
        <f>SUM(K50:U50)</f>
        <v>1020.02</v>
      </c>
      <c r="AD51" s="8" t="s">
        <v>23</v>
      </c>
      <c r="AE51" s="13">
        <f>SUM(Z50:AE50)</f>
        <v>0</v>
      </c>
      <c r="AM51" s="8" t="s">
        <v>23</v>
      </c>
      <c r="AN51" s="13">
        <f>SUM(AI50:AN50)</f>
        <v>0</v>
      </c>
    </row>
    <row r="52" spans="1:40" ht="15.75" thickBot="1" x14ac:dyDescent="0.3">
      <c r="A52" s="19"/>
      <c r="B52" s="97" t="s">
        <v>21</v>
      </c>
      <c r="C52" s="97"/>
      <c r="D52" s="97"/>
      <c r="E52" s="97"/>
      <c r="F52" s="97"/>
      <c r="G52" s="97"/>
      <c r="H52" s="97"/>
      <c r="J52" s="98" t="s">
        <v>21</v>
      </c>
      <c r="K52" s="98"/>
      <c r="L52" s="98"/>
      <c r="M52" s="98"/>
      <c r="N52" s="98"/>
      <c r="O52" s="98"/>
      <c r="P52" s="98"/>
      <c r="Q52" s="98"/>
      <c r="R52" s="98"/>
      <c r="S52" s="98"/>
      <c r="T52" s="98"/>
      <c r="U52" s="98"/>
      <c r="Y52" s="95" t="str">
        <f>J52</f>
        <v>Dezembro</v>
      </c>
      <c r="Z52" s="95"/>
      <c r="AA52" s="95"/>
      <c r="AB52" s="95"/>
      <c r="AC52" s="95"/>
      <c r="AD52" s="95"/>
      <c r="AE52" s="95"/>
      <c r="AH52" s="96" t="str">
        <f>Y52</f>
        <v>Dezembro</v>
      </c>
      <c r="AI52" s="96"/>
      <c r="AJ52" s="96"/>
      <c r="AK52" s="96"/>
      <c r="AL52" s="96"/>
      <c r="AM52" s="96"/>
      <c r="AN52" s="96"/>
    </row>
    <row r="53" spans="1:40" ht="15.75" thickBot="1" x14ac:dyDescent="0.3">
      <c r="A53" s="99" t="s">
        <v>5</v>
      </c>
      <c r="B53" s="34" t="s">
        <v>6</v>
      </c>
      <c r="C53" s="22" t="s">
        <v>7</v>
      </c>
      <c r="D53" s="33" t="s">
        <v>8</v>
      </c>
      <c r="E53" s="22" t="s">
        <v>9</v>
      </c>
      <c r="F53" s="24" t="s">
        <v>10</v>
      </c>
      <c r="G53" s="23" t="s">
        <v>11</v>
      </c>
      <c r="H53" s="25" t="s">
        <v>12</v>
      </c>
      <c r="J53" s="6" t="s">
        <v>4</v>
      </c>
      <c r="K53" s="9">
        <v>45629</v>
      </c>
      <c r="L53" s="66">
        <v>45630</v>
      </c>
      <c r="M53" s="66">
        <v>45632</v>
      </c>
      <c r="N53" s="4"/>
      <c r="O53" s="4"/>
      <c r="P53" s="4"/>
      <c r="Q53" s="4"/>
      <c r="R53" s="4"/>
      <c r="S53" s="4"/>
      <c r="T53" s="4"/>
      <c r="U53" s="5"/>
      <c r="Y53" s="6" t="s">
        <v>4</v>
      </c>
      <c r="Z53" s="9"/>
      <c r="AA53" s="4"/>
      <c r="AB53" s="4"/>
      <c r="AC53" s="4"/>
      <c r="AD53" s="4"/>
      <c r="AE53" s="5"/>
      <c r="AH53" s="6" t="s">
        <v>4</v>
      </c>
      <c r="AI53" s="9"/>
      <c r="AJ53" s="4"/>
      <c r="AK53" s="4"/>
      <c r="AL53" s="4"/>
      <c r="AM53" s="4"/>
      <c r="AN53" s="5"/>
    </row>
    <row r="54" spans="1:40" ht="15.75" thickBot="1" x14ac:dyDescent="0.3">
      <c r="A54" s="99"/>
      <c r="B54" s="26">
        <v>34889</v>
      </c>
      <c r="C54" s="27">
        <v>36397</v>
      </c>
      <c r="D54" s="27">
        <v>36397</v>
      </c>
      <c r="E54" s="27">
        <v>37062</v>
      </c>
      <c r="F54" s="27">
        <f>SUM(C54-B54)</f>
        <v>1508</v>
      </c>
      <c r="G54" s="20">
        <f>SUM(E54-D54)</f>
        <v>665</v>
      </c>
      <c r="H54" s="21">
        <f>SUM(F54:G54)</f>
        <v>2173</v>
      </c>
      <c r="J54" s="7" t="s">
        <v>22</v>
      </c>
      <c r="K54" s="10">
        <v>298.08999999999997</v>
      </c>
      <c r="L54" s="11">
        <v>245.04</v>
      </c>
      <c r="M54" s="11">
        <v>213.89</v>
      </c>
      <c r="N54" s="11"/>
      <c r="O54" s="11"/>
      <c r="P54" s="11"/>
      <c r="Q54" s="11"/>
      <c r="R54" s="11"/>
      <c r="S54" s="11"/>
      <c r="T54" s="11"/>
      <c r="U54" s="12"/>
      <c r="Y54" s="7" t="s">
        <v>22</v>
      </c>
      <c r="Z54" s="10"/>
      <c r="AA54" s="11"/>
      <c r="AB54" s="11"/>
      <c r="AC54" s="11"/>
      <c r="AD54" s="11"/>
      <c r="AE54" s="12"/>
      <c r="AH54" s="7" t="s">
        <v>22</v>
      </c>
      <c r="AI54" s="10"/>
      <c r="AJ54" s="11"/>
      <c r="AK54" s="11"/>
      <c r="AL54" s="11"/>
      <c r="AM54" s="11"/>
      <c r="AN54" s="12"/>
    </row>
    <row r="55" spans="1:40" x14ac:dyDescent="0.25">
      <c r="J55" s="8"/>
      <c r="T55" s="8" t="s">
        <v>23</v>
      </c>
      <c r="U55" s="13">
        <f>SUM(K54:U54)</f>
        <v>757.02</v>
      </c>
      <c r="AD55" s="8" t="s">
        <v>23</v>
      </c>
      <c r="AE55" s="13">
        <f>SUM(Z54:AE54)</f>
        <v>0</v>
      </c>
      <c r="AM55" s="8" t="s">
        <v>23</v>
      </c>
      <c r="AN55" s="13">
        <f>SUM(AI54:AN54)</f>
        <v>0</v>
      </c>
    </row>
    <row r="56" spans="1:40" ht="15.75" thickBot="1" x14ac:dyDescent="0.3">
      <c r="A56" s="19"/>
      <c r="B56" s="97" t="s">
        <v>102</v>
      </c>
      <c r="C56" s="97"/>
      <c r="D56" s="97"/>
      <c r="E56" s="97"/>
      <c r="F56" s="97"/>
      <c r="G56" s="97"/>
      <c r="H56" s="97"/>
      <c r="J56" s="98" t="s">
        <v>102</v>
      </c>
      <c r="K56" s="98"/>
      <c r="L56" s="98"/>
      <c r="M56" s="98"/>
      <c r="N56" s="98"/>
      <c r="O56" s="98"/>
      <c r="P56" s="98"/>
      <c r="Q56" s="98"/>
      <c r="R56" s="98"/>
      <c r="S56" s="98"/>
      <c r="T56" s="98"/>
      <c r="U56" s="98"/>
      <c r="Y56" s="95" t="str">
        <f>J56</f>
        <v>Janeiro</v>
      </c>
      <c r="Z56" s="95"/>
      <c r="AA56" s="95"/>
      <c r="AB56" s="95"/>
      <c r="AC56" s="95"/>
      <c r="AD56" s="95"/>
      <c r="AE56" s="95"/>
      <c r="AH56" s="96" t="str">
        <f>Y56</f>
        <v>Janeiro</v>
      </c>
      <c r="AI56" s="96"/>
      <c r="AJ56" s="96"/>
      <c r="AK56" s="96"/>
      <c r="AL56" s="96"/>
      <c r="AM56" s="96"/>
      <c r="AN56" s="96"/>
    </row>
    <row r="57" spans="1:40" ht="15.75" thickBot="1" x14ac:dyDescent="0.3">
      <c r="A57" s="99" t="s">
        <v>5</v>
      </c>
      <c r="B57" s="34" t="s">
        <v>6</v>
      </c>
      <c r="C57" s="22" t="s">
        <v>7</v>
      </c>
      <c r="D57" s="33" t="s">
        <v>8</v>
      </c>
      <c r="E57" s="22" t="s">
        <v>9</v>
      </c>
      <c r="F57" s="24" t="s">
        <v>10</v>
      </c>
      <c r="G57" s="23" t="s">
        <v>11</v>
      </c>
      <c r="H57" s="25" t="s">
        <v>12</v>
      </c>
      <c r="J57" s="6" t="s">
        <v>4</v>
      </c>
      <c r="K57" s="9">
        <v>45664</v>
      </c>
      <c r="L57" s="66">
        <v>45666</v>
      </c>
      <c r="M57" s="80">
        <v>45671</v>
      </c>
      <c r="N57" s="66">
        <v>45678</v>
      </c>
      <c r="O57" s="66">
        <v>45680</v>
      </c>
      <c r="P57" s="4"/>
      <c r="Q57" s="4"/>
      <c r="R57" s="4"/>
      <c r="S57" s="4"/>
      <c r="T57" s="4"/>
      <c r="U57" s="5"/>
      <c r="Y57" s="6" t="s">
        <v>4</v>
      </c>
      <c r="Z57" s="9"/>
      <c r="AA57" s="4"/>
      <c r="AB57" s="4"/>
      <c r="AC57" s="4"/>
      <c r="AD57" s="4"/>
      <c r="AE57" s="5"/>
      <c r="AH57" s="6" t="s">
        <v>4</v>
      </c>
      <c r="AI57" s="9"/>
      <c r="AJ57" s="4"/>
      <c r="AK57" s="4"/>
      <c r="AL57" s="4"/>
      <c r="AM57" s="4"/>
      <c r="AN57" s="5"/>
    </row>
    <row r="58" spans="1:40" ht="15.75" thickBot="1" x14ac:dyDescent="0.3">
      <c r="A58" s="99"/>
      <c r="B58" s="26">
        <v>38017</v>
      </c>
      <c r="C58" s="27">
        <v>38983</v>
      </c>
      <c r="D58" s="27">
        <v>38983</v>
      </c>
      <c r="E58" s="27">
        <v>40970</v>
      </c>
      <c r="F58" s="27">
        <f>SUM(C58-B58)</f>
        <v>966</v>
      </c>
      <c r="G58" s="20">
        <f>SUM(E58-D58)</f>
        <v>1987</v>
      </c>
      <c r="H58" s="21">
        <f>SUM(F58:G58)</f>
        <v>2953</v>
      </c>
      <c r="J58" s="7" t="s">
        <v>22</v>
      </c>
      <c r="K58" s="10">
        <v>289.38</v>
      </c>
      <c r="L58" s="11">
        <v>163.02000000000001</v>
      </c>
      <c r="M58" s="11">
        <v>297.13</v>
      </c>
      <c r="N58" s="11">
        <v>294.01</v>
      </c>
      <c r="O58" s="11">
        <v>177.67</v>
      </c>
      <c r="P58" s="11"/>
      <c r="Q58" s="11"/>
      <c r="R58" s="11"/>
      <c r="S58" s="11"/>
      <c r="T58" s="11"/>
      <c r="U58" s="12"/>
      <c r="Y58" s="7" t="s">
        <v>22</v>
      </c>
      <c r="Z58" s="10"/>
      <c r="AA58" s="11"/>
      <c r="AB58" s="11"/>
      <c r="AC58" s="11"/>
      <c r="AD58" s="11"/>
      <c r="AE58" s="12"/>
      <c r="AH58" s="7" t="s">
        <v>22</v>
      </c>
      <c r="AI58" s="10"/>
      <c r="AJ58" s="11"/>
      <c r="AK58" s="11"/>
      <c r="AL58" s="11"/>
      <c r="AM58" s="11"/>
      <c r="AN58" s="12"/>
    </row>
    <row r="59" spans="1:40" x14ac:dyDescent="0.25">
      <c r="J59" s="8"/>
      <c r="T59" s="8" t="s">
        <v>23</v>
      </c>
      <c r="U59" s="13">
        <f>SUM(K58:U58)</f>
        <v>1221.21</v>
      </c>
      <c r="AD59" s="8" t="s">
        <v>23</v>
      </c>
      <c r="AE59" s="13">
        <f>SUM(Z58:AE58)</f>
        <v>0</v>
      </c>
      <c r="AM59" s="8" t="s">
        <v>23</v>
      </c>
      <c r="AN59" s="13">
        <f>SUM(AI58:AN58)</f>
        <v>0</v>
      </c>
    </row>
    <row r="60" spans="1:40" ht="15.75" thickBot="1" x14ac:dyDescent="0.3">
      <c r="A60" s="19"/>
      <c r="B60" s="97" t="s">
        <v>3</v>
      </c>
      <c r="C60" s="97"/>
      <c r="D60" s="97"/>
      <c r="E60" s="97"/>
      <c r="F60" s="97"/>
      <c r="G60" s="97"/>
      <c r="H60" s="97"/>
      <c r="J60" s="98" t="s">
        <v>3</v>
      </c>
      <c r="K60" s="98"/>
      <c r="L60" s="98"/>
      <c r="M60" s="98"/>
      <c r="N60" s="98"/>
      <c r="O60" s="98"/>
      <c r="P60" s="98"/>
      <c r="Q60" s="98"/>
      <c r="R60" s="98"/>
      <c r="S60" s="98"/>
      <c r="T60" s="98"/>
      <c r="U60" s="98"/>
      <c r="Y60" s="95" t="str">
        <f>J60</f>
        <v>Fevereiro</v>
      </c>
      <c r="Z60" s="95"/>
      <c r="AA60" s="95"/>
      <c r="AB60" s="95"/>
      <c r="AC60" s="95"/>
      <c r="AD60" s="95"/>
      <c r="AE60" s="95"/>
      <c r="AH60" s="96" t="str">
        <f>Y60</f>
        <v>Fevereiro</v>
      </c>
      <c r="AI60" s="96"/>
      <c r="AJ60" s="96"/>
      <c r="AK60" s="96"/>
      <c r="AL60" s="96"/>
      <c r="AM60" s="96"/>
      <c r="AN60" s="96"/>
    </row>
    <row r="61" spans="1:40" ht="15.75" thickBot="1" x14ac:dyDescent="0.3">
      <c r="A61" s="99" t="s">
        <v>5</v>
      </c>
      <c r="B61" s="34" t="s">
        <v>6</v>
      </c>
      <c r="C61" s="22" t="s">
        <v>7</v>
      </c>
      <c r="D61" s="33" t="s">
        <v>8</v>
      </c>
      <c r="E61" s="22" t="s">
        <v>9</v>
      </c>
      <c r="F61" s="24" t="s">
        <v>10</v>
      </c>
      <c r="G61" s="23" t="s">
        <v>11</v>
      </c>
      <c r="H61" s="25" t="s">
        <v>12</v>
      </c>
      <c r="J61" s="6" t="s">
        <v>4</v>
      </c>
      <c r="K61" s="9">
        <v>45692</v>
      </c>
      <c r="L61" s="66">
        <v>45695</v>
      </c>
      <c r="M61" s="66">
        <v>45699</v>
      </c>
      <c r="N61" s="66">
        <v>45701</v>
      </c>
      <c r="O61" s="66">
        <v>45706</v>
      </c>
      <c r="P61" s="66">
        <v>45708</v>
      </c>
      <c r="Q61" s="66">
        <v>45713</v>
      </c>
      <c r="R61" s="66">
        <v>45715</v>
      </c>
      <c r="S61" s="4"/>
      <c r="T61" s="4"/>
      <c r="U61" s="5"/>
      <c r="Y61" s="6" t="s">
        <v>4</v>
      </c>
      <c r="Z61" s="9"/>
      <c r="AA61" s="4"/>
      <c r="AB61" s="4"/>
      <c r="AC61" s="4"/>
      <c r="AD61" s="4"/>
      <c r="AE61" s="5"/>
      <c r="AH61" s="6" t="s">
        <v>4</v>
      </c>
      <c r="AI61" s="9"/>
      <c r="AJ61" s="4"/>
      <c r="AK61" s="4"/>
      <c r="AL61" s="4"/>
      <c r="AM61" s="4"/>
      <c r="AN61" s="5"/>
    </row>
    <row r="62" spans="1:40" ht="15.75" thickBot="1" x14ac:dyDescent="0.3">
      <c r="A62" s="99"/>
      <c r="B62" s="26">
        <v>40970</v>
      </c>
      <c r="C62" s="27">
        <v>42521</v>
      </c>
      <c r="D62" s="27">
        <v>42521</v>
      </c>
      <c r="E62" s="27">
        <v>43856</v>
      </c>
      <c r="F62" s="27">
        <f>SUM(C62-B62)</f>
        <v>1551</v>
      </c>
      <c r="G62" s="20">
        <f>SUM(E62-D62)</f>
        <v>1335</v>
      </c>
      <c r="H62" s="21">
        <f>SUM(F62:G62)</f>
        <v>2886</v>
      </c>
      <c r="J62" s="7" t="s">
        <v>22</v>
      </c>
      <c r="K62" s="10">
        <v>288.33999999999997</v>
      </c>
      <c r="L62" s="11">
        <v>255.62</v>
      </c>
      <c r="M62" s="11">
        <v>251.82</v>
      </c>
      <c r="N62" s="11">
        <v>164.43</v>
      </c>
      <c r="O62" s="11">
        <v>293.99</v>
      </c>
      <c r="P62" s="11">
        <v>161.65</v>
      </c>
      <c r="Q62" s="11">
        <v>291.12</v>
      </c>
      <c r="R62" s="11">
        <v>197.97</v>
      </c>
      <c r="S62" s="11"/>
      <c r="T62" s="11"/>
      <c r="U62" s="12"/>
      <c r="Y62" s="7" t="s">
        <v>22</v>
      </c>
      <c r="Z62" s="10"/>
      <c r="AA62" s="11"/>
      <c r="AB62" s="11"/>
      <c r="AC62" s="11"/>
      <c r="AD62" s="11"/>
      <c r="AE62" s="12"/>
      <c r="AH62" s="7" t="s">
        <v>22</v>
      </c>
      <c r="AI62" s="10"/>
      <c r="AJ62" s="11"/>
      <c r="AK62" s="11"/>
      <c r="AL62" s="11"/>
      <c r="AM62" s="11"/>
      <c r="AN62" s="12"/>
    </row>
    <row r="63" spans="1:40" x14ac:dyDescent="0.25">
      <c r="J63" s="8"/>
      <c r="T63" s="8" t="s">
        <v>23</v>
      </c>
      <c r="U63" s="13">
        <f>SUM(K62:U62)</f>
        <v>1904.9400000000003</v>
      </c>
      <c r="AD63" s="8" t="s">
        <v>23</v>
      </c>
      <c r="AE63" s="13">
        <f>SUM(Z62:AE62)</f>
        <v>0</v>
      </c>
      <c r="AM63" s="8" t="s">
        <v>23</v>
      </c>
      <c r="AN63" s="13">
        <f>SUM(AI62:AN62)</f>
        <v>0</v>
      </c>
    </row>
    <row r="64" spans="1:40" ht="15.75" thickBot="1" x14ac:dyDescent="0.3">
      <c r="A64" s="19"/>
      <c r="B64" s="97" t="s">
        <v>13</v>
      </c>
      <c r="C64" s="97"/>
      <c r="D64" s="97"/>
      <c r="E64" s="97"/>
      <c r="F64" s="97"/>
      <c r="G64" s="97"/>
      <c r="H64" s="97"/>
      <c r="J64" s="98" t="s">
        <v>13</v>
      </c>
      <c r="K64" s="98"/>
      <c r="L64" s="98"/>
      <c r="M64" s="98"/>
      <c r="N64" s="98"/>
      <c r="O64" s="98"/>
      <c r="P64" s="98"/>
      <c r="Q64" s="98"/>
      <c r="R64" s="98"/>
      <c r="S64" s="98"/>
      <c r="T64" s="98"/>
      <c r="U64" s="98"/>
      <c r="Y64" s="95" t="str">
        <f>J64</f>
        <v>Março</v>
      </c>
      <c r="Z64" s="95"/>
      <c r="AA64" s="95"/>
      <c r="AB64" s="95"/>
      <c r="AC64" s="95"/>
      <c r="AD64" s="95"/>
      <c r="AE64" s="95"/>
      <c r="AH64" s="96" t="str">
        <f>Y64</f>
        <v>Março</v>
      </c>
      <c r="AI64" s="96"/>
      <c r="AJ64" s="96"/>
      <c r="AK64" s="96"/>
      <c r="AL64" s="96"/>
      <c r="AM64" s="96"/>
      <c r="AN64" s="96"/>
    </row>
    <row r="65" spans="1:40" ht="15.75" thickBot="1" x14ac:dyDescent="0.3">
      <c r="A65" s="99" t="s">
        <v>5</v>
      </c>
      <c r="B65" s="34" t="s">
        <v>6</v>
      </c>
      <c r="C65" s="22" t="s">
        <v>7</v>
      </c>
      <c r="D65" s="33" t="s">
        <v>8</v>
      </c>
      <c r="E65" s="22" t="s">
        <v>9</v>
      </c>
      <c r="F65" s="24" t="s">
        <v>10</v>
      </c>
      <c r="G65" s="23" t="s">
        <v>11</v>
      </c>
      <c r="H65" s="25" t="s">
        <v>12</v>
      </c>
      <c r="J65" s="6" t="s">
        <v>4</v>
      </c>
      <c r="K65" s="9">
        <v>45727</v>
      </c>
      <c r="L65" s="66">
        <v>45729</v>
      </c>
      <c r="M65" s="9">
        <v>45734</v>
      </c>
      <c r="N65" s="66">
        <v>45736</v>
      </c>
      <c r="O65" s="66">
        <v>45741</v>
      </c>
      <c r="P65" s="66">
        <v>45743</v>
      </c>
      <c r="Q65" s="9">
        <v>45747</v>
      </c>
      <c r="R65" s="9"/>
      <c r="S65" s="4"/>
      <c r="T65" s="4"/>
      <c r="U65" s="5"/>
      <c r="Y65" s="6" t="s">
        <v>4</v>
      </c>
      <c r="Z65" s="9">
        <v>45729</v>
      </c>
      <c r="AA65" s="4"/>
      <c r="AB65" s="4"/>
      <c r="AC65" s="4"/>
      <c r="AD65" s="4"/>
      <c r="AE65" s="5"/>
      <c r="AH65" s="6" t="s">
        <v>4</v>
      </c>
      <c r="AI65" s="9"/>
      <c r="AJ65" s="4"/>
      <c r="AK65" s="4"/>
      <c r="AL65" s="4"/>
      <c r="AM65" s="4"/>
      <c r="AN65" s="5"/>
    </row>
    <row r="66" spans="1:40" ht="15.75" thickBot="1" x14ac:dyDescent="0.3">
      <c r="A66" s="99"/>
      <c r="B66" s="27">
        <v>43856</v>
      </c>
      <c r="C66" s="27">
        <v>44882</v>
      </c>
      <c r="D66" s="27">
        <v>44882</v>
      </c>
      <c r="E66" s="27">
        <v>46751</v>
      </c>
      <c r="F66" s="27">
        <f>SUM(C66-B66)</f>
        <v>1026</v>
      </c>
      <c r="G66" s="20">
        <f>SUM(E66-D66)</f>
        <v>1869</v>
      </c>
      <c r="H66" s="21">
        <f>SUM(F66:G66)</f>
        <v>2895</v>
      </c>
      <c r="J66" s="7" t="s">
        <v>22</v>
      </c>
      <c r="K66" s="10">
        <v>300.22000000000003</v>
      </c>
      <c r="L66" s="11">
        <v>167.68</v>
      </c>
      <c r="M66" s="10">
        <v>293.05</v>
      </c>
      <c r="N66" s="11">
        <v>160.71</v>
      </c>
      <c r="O66" s="11">
        <v>253.49</v>
      </c>
      <c r="P66" s="11">
        <v>255.54</v>
      </c>
      <c r="Q66" s="10">
        <v>299.48</v>
      </c>
      <c r="R66" s="10"/>
      <c r="S66" s="11"/>
      <c r="T66" s="11"/>
      <c r="U66" s="12"/>
      <c r="Y66" s="7" t="s">
        <v>22</v>
      </c>
      <c r="Z66" s="10">
        <v>50</v>
      </c>
      <c r="AA66" s="11"/>
      <c r="AB66" s="11"/>
      <c r="AC66" s="11"/>
      <c r="AD66" s="11"/>
      <c r="AE66" s="12"/>
      <c r="AH66" s="7" t="s">
        <v>22</v>
      </c>
      <c r="AI66" s="10"/>
      <c r="AJ66" s="11"/>
      <c r="AK66" s="11"/>
      <c r="AL66" s="11"/>
      <c r="AM66" s="11"/>
      <c r="AN66" s="12"/>
    </row>
    <row r="67" spans="1:40" x14ac:dyDescent="0.25">
      <c r="J67" s="8"/>
      <c r="T67" s="8" t="s">
        <v>23</v>
      </c>
      <c r="U67" s="13">
        <f>SUM(K66:U66)</f>
        <v>1730.17</v>
      </c>
      <c r="AD67" s="8" t="s">
        <v>23</v>
      </c>
      <c r="AE67" s="13">
        <f>SUM(Z66:AE66)</f>
        <v>50</v>
      </c>
      <c r="AM67" s="8" t="s">
        <v>23</v>
      </c>
      <c r="AN67" s="13">
        <f>SUM(AI66:AN66)</f>
        <v>0</v>
      </c>
    </row>
    <row r="68" spans="1:40" ht="15.75" thickBot="1" x14ac:dyDescent="0.3">
      <c r="A68" s="19"/>
      <c r="B68" s="97" t="s">
        <v>14</v>
      </c>
      <c r="C68" s="97"/>
      <c r="D68" s="97"/>
      <c r="E68" s="97"/>
      <c r="F68" s="97"/>
      <c r="G68" s="97"/>
      <c r="H68" s="97"/>
      <c r="J68" s="98" t="s">
        <v>14</v>
      </c>
      <c r="K68" s="98"/>
      <c r="L68" s="98"/>
      <c r="M68" s="98"/>
      <c r="N68" s="98"/>
      <c r="O68" s="98"/>
      <c r="P68" s="98"/>
      <c r="Q68" s="98"/>
      <c r="R68" s="98"/>
      <c r="S68" s="98"/>
      <c r="T68" s="98"/>
      <c r="U68" s="98"/>
      <c r="Y68" s="95" t="str">
        <f t="shared" ref="Y68" si="0">J68</f>
        <v>Abril</v>
      </c>
      <c r="Z68" s="95"/>
      <c r="AA68" s="95"/>
      <c r="AB68" s="95"/>
      <c r="AC68" s="95"/>
      <c r="AD68" s="95"/>
      <c r="AE68" s="95"/>
      <c r="AH68" s="96" t="str">
        <f t="shared" ref="AH68" si="1">Y68</f>
        <v>Abril</v>
      </c>
      <c r="AI68" s="96"/>
      <c r="AJ68" s="96"/>
      <c r="AK68" s="96"/>
      <c r="AL68" s="96"/>
      <c r="AM68" s="96"/>
      <c r="AN68" s="96"/>
    </row>
    <row r="69" spans="1:40" ht="15.75" thickBot="1" x14ac:dyDescent="0.3">
      <c r="A69" s="99" t="s">
        <v>5</v>
      </c>
      <c r="B69" s="34" t="s">
        <v>6</v>
      </c>
      <c r="C69" s="22" t="s">
        <v>7</v>
      </c>
      <c r="D69" s="33" t="s">
        <v>8</v>
      </c>
      <c r="E69" s="22" t="s">
        <v>9</v>
      </c>
      <c r="F69" s="24" t="s">
        <v>10</v>
      </c>
      <c r="G69" s="23" t="s">
        <v>11</v>
      </c>
      <c r="H69" s="25" t="s">
        <v>12</v>
      </c>
      <c r="J69" s="6" t="s">
        <v>4</v>
      </c>
      <c r="K69" s="9">
        <v>45750</v>
      </c>
      <c r="L69" s="66">
        <v>45755</v>
      </c>
      <c r="M69" s="66">
        <v>45757</v>
      </c>
      <c r="N69" s="66">
        <v>45761</v>
      </c>
      <c r="O69" s="66">
        <v>45764</v>
      </c>
      <c r="P69" s="66">
        <v>45768</v>
      </c>
      <c r="Q69" s="66">
        <v>45771</v>
      </c>
      <c r="R69" s="66">
        <v>45775</v>
      </c>
      <c r="S69" s="4"/>
      <c r="T69" s="4"/>
      <c r="U69" s="5"/>
      <c r="Y69" s="6" t="s">
        <v>4</v>
      </c>
      <c r="Z69" s="9">
        <v>45751</v>
      </c>
      <c r="AA69" s="4"/>
      <c r="AB69" s="4"/>
      <c r="AC69" s="4"/>
      <c r="AD69" s="4"/>
      <c r="AE69" s="5"/>
      <c r="AH69" s="6" t="s">
        <v>4</v>
      </c>
      <c r="AI69" s="9"/>
      <c r="AJ69" s="4"/>
      <c r="AK69" s="4"/>
      <c r="AL69" s="4"/>
      <c r="AM69" s="4"/>
      <c r="AN69" s="5"/>
    </row>
    <row r="70" spans="1:40" ht="15.75" thickBot="1" x14ac:dyDescent="0.3">
      <c r="A70" s="99"/>
      <c r="B70" s="27">
        <v>46751</v>
      </c>
      <c r="C70" s="27">
        <v>48434</v>
      </c>
      <c r="D70" s="27">
        <v>10171</v>
      </c>
      <c r="E70" s="27">
        <v>11879</v>
      </c>
      <c r="F70" s="27">
        <f t="shared" ref="F70" si="2">SUM(C70-B70)</f>
        <v>1683</v>
      </c>
      <c r="G70" s="20">
        <f t="shared" ref="G70" si="3">SUM(E70-D70)</f>
        <v>1708</v>
      </c>
      <c r="H70" s="21">
        <f t="shared" ref="H70" si="4">SUM(F70:G70)</f>
        <v>3391</v>
      </c>
      <c r="J70" s="7" t="s">
        <v>22</v>
      </c>
      <c r="K70" s="10">
        <v>164</v>
      </c>
      <c r="L70" s="11">
        <v>292.02</v>
      </c>
      <c r="M70" s="11">
        <v>177.45</v>
      </c>
      <c r="N70" s="11">
        <v>257.07</v>
      </c>
      <c r="O70" s="11">
        <v>202.27</v>
      </c>
      <c r="P70" s="11">
        <v>255.6</v>
      </c>
      <c r="Q70" s="11">
        <v>260.08999999999997</v>
      </c>
      <c r="R70" s="11">
        <v>276.24</v>
      </c>
      <c r="S70" s="11"/>
      <c r="T70" s="11"/>
      <c r="U70" s="12"/>
      <c r="Y70" s="7" t="s">
        <v>22</v>
      </c>
      <c r="Z70" s="10">
        <v>50</v>
      </c>
      <c r="AA70" s="11"/>
      <c r="AB70" s="11"/>
      <c r="AC70" s="11"/>
      <c r="AD70" s="11"/>
      <c r="AE70" s="12"/>
      <c r="AH70" s="7" t="s">
        <v>22</v>
      </c>
      <c r="AI70" s="10"/>
      <c r="AJ70" s="11"/>
      <c r="AK70" s="11"/>
      <c r="AL70" s="11"/>
      <c r="AM70" s="11"/>
      <c r="AN70" s="12"/>
    </row>
    <row r="71" spans="1:40" x14ac:dyDescent="0.25">
      <c r="A71" s="86"/>
      <c r="J71" s="8"/>
      <c r="T71" s="8" t="s">
        <v>23</v>
      </c>
      <c r="U71" s="13">
        <f t="shared" ref="U71" si="5">SUM(K70:U70)</f>
        <v>1884.7399999999998</v>
      </c>
      <c r="AD71" s="8" t="s">
        <v>23</v>
      </c>
      <c r="AE71" s="13">
        <f t="shared" ref="AE71" si="6">SUM(Z70:AE70)</f>
        <v>50</v>
      </c>
      <c r="AM71" s="8" t="s">
        <v>23</v>
      </c>
      <c r="AN71" s="13">
        <f t="shared" ref="AN71" si="7">SUM(AI70:AN70)</f>
        <v>0</v>
      </c>
    </row>
    <row r="72" spans="1:40" ht="15.75" thickBot="1" x14ac:dyDescent="0.3">
      <c r="A72" s="19"/>
      <c r="B72" s="97" t="s">
        <v>15</v>
      </c>
      <c r="C72" s="97"/>
      <c r="D72" s="97"/>
      <c r="E72" s="97"/>
      <c r="F72" s="97"/>
      <c r="G72" s="97"/>
      <c r="H72" s="97"/>
      <c r="J72" s="98" t="s">
        <v>15</v>
      </c>
      <c r="K72" s="98"/>
      <c r="L72" s="98"/>
      <c r="M72" s="98"/>
      <c r="N72" s="98"/>
      <c r="O72" s="98"/>
      <c r="P72" s="98"/>
      <c r="Q72" s="98"/>
      <c r="R72" s="98"/>
      <c r="S72" s="98"/>
      <c r="T72" s="98"/>
      <c r="U72" s="98"/>
      <c r="Y72" s="95" t="str">
        <f t="shared" ref="Y72" si="8">J72</f>
        <v>Maio</v>
      </c>
      <c r="Z72" s="95"/>
      <c r="AA72" s="95"/>
      <c r="AB72" s="95"/>
      <c r="AC72" s="95"/>
      <c r="AD72" s="95"/>
      <c r="AE72" s="95"/>
      <c r="AH72" s="96" t="str">
        <f t="shared" ref="AH72" si="9">Y72</f>
        <v>Maio</v>
      </c>
      <c r="AI72" s="96"/>
      <c r="AJ72" s="96"/>
      <c r="AK72" s="96"/>
      <c r="AL72" s="96"/>
      <c r="AM72" s="96"/>
      <c r="AN72" s="96"/>
    </row>
    <row r="73" spans="1:40" ht="15.75" thickBot="1" x14ac:dyDescent="0.3">
      <c r="A73" s="99" t="s">
        <v>5</v>
      </c>
      <c r="B73" s="34" t="s">
        <v>6</v>
      </c>
      <c r="C73" s="22" t="s">
        <v>7</v>
      </c>
      <c r="D73" s="33" t="s">
        <v>8</v>
      </c>
      <c r="E73" s="22" t="s">
        <v>9</v>
      </c>
      <c r="F73" s="24" t="s">
        <v>10</v>
      </c>
      <c r="G73" s="23" t="s">
        <v>11</v>
      </c>
      <c r="H73" s="25" t="s">
        <v>12</v>
      </c>
      <c r="J73" s="6" t="s">
        <v>4</v>
      </c>
      <c r="K73" s="9">
        <v>45778</v>
      </c>
      <c r="L73" s="66">
        <v>45790</v>
      </c>
      <c r="M73" s="66">
        <v>45796</v>
      </c>
      <c r="N73" s="66">
        <v>45800</v>
      </c>
      <c r="O73" s="66">
        <v>45803</v>
      </c>
      <c r="P73" s="66">
        <v>45806</v>
      </c>
      <c r="Q73" s="66"/>
      <c r="R73" s="66"/>
      <c r="S73" s="4"/>
      <c r="T73" s="4"/>
      <c r="U73" s="5"/>
      <c r="Y73" s="6" t="s">
        <v>4</v>
      </c>
      <c r="Z73" s="9"/>
      <c r="AA73" s="4"/>
      <c r="AB73" s="4"/>
      <c r="AC73" s="4"/>
      <c r="AD73" s="4"/>
      <c r="AE73" s="5"/>
      <c r="AH73" s="6" t="s">
        <v>4</v>
      </c>
      <c r="AI73" s="9"/>
      <c r="AJ73" s="4"/>
      <c r="AK73" s="4"/>
      <c r="AL73" s="4"/>
      <c r="AM73" s="4"/>
      <c r="AN73" s="5"/>
    </row>
    <row r="74" spans="1:40" ht="15.75" thickBot="1" x14ac:dyDescent="0.3">
      <c r="A74" s="99"/>
      <c r="B74" s="27">
        <v>11879</v>
      </c>
      <c r="C74" s="27">
        <v>12820</v>
      </c>
      <c r="D74" s="27">
        <v>12820</v>
      </c>
      <c r="E74" s="27">
        <v>14778</v>
      </c>
      <c r="F74" s="27">
        <f t="shared" ref="F74" si="10">SUM(C74-B74)</f>
        <v>941</v>
      </c>
      <c r="G74" s="20">
        <f t="shared" ref="G74" si="11">SUM(E74-D74)</f>
        <v>1958</v>
      </c>
      <c r="H74" s="21">
        <f t="shared" ref="H74" si="12">SUM(F74:G74)</f>
        <v>2899</v>
      </c>
      <c r="J74" s="7" t="s">
        <v>22</v>
      </c>
      <c r="K74" s="10">
        <v>141</v>
      </c>
      <c r="L74" s="11">
        <v>274.45</v>
      </c>
      <c r="M74" s="11">
        <v>212.02</v>
      </c>
      <c r="N74" s="11">
        <v>208.26</v>
      </c>
      <c r="O74" s="11">
        <v>241.77</v>
      </c>
      <c r="P74" s="11">
        <v>248.07</v>
      </c>
      <c r="Q74" s="11"/>
      <c r="R74" s="11"/>
      <c r="S74" s="11"/>
      <c r="T74" s="11"/>
      <c r="U74" s="12"/>
      <c r="Y74" s="7" t="s">
        <v>22</v>
      </c>
      <c r="Z74" s="10"/>
      <c r="AA74" s="11"/>
      <c r="AB74" s="11"/>
      <c r="AC74" s="11"/>
      <c r="AD74" s="11"/>
      <c r="AE74" s="12"/>
      <c r="AH74" s="7" t="s">
        <v>22</v>
      </c>
      <c r="AI74" s="10"/>
      <c r="AJ74" s="11"/>
      <c r="AK74" s="11"/>
      <c r="AL74" s="11"/>
      <c r="AM74" s="11"/>
      <c r="AN74" s="12"/>
    </row>
    <row r="75" spans="1:40" x14ac:dyDescent="0.25">
      <c r="J75" s="8"/>
      <c r="T75" s="8" t="s">
        <v>23</v>
      </c>
      <c r="U75" s="13">
        <f t="shared" ref="U75" si="13">SUM(K74:U74)</f>
        <v>1325.57</v>
      </c>
      <c r="AD75" s="8" t="s">
        <v>23</v>
      </c>
      <c r="AE75" s="13">
        <f t="shared" ref="AE75" si="14">SUM(Z74:AE74)</f>
        <v>0</v>
      </c>
      <c r="AM75" s="8" t="s">
        <v>23</v>
      </c>
      <c r="AN75" s="13">
        <f t="shared" ref="AN75" si="15">SUM(AI74:AN74)</f>
        <v>0</v>
      </c>
    </row>
    <row r="76" spans="1:40" ht="15.75" thickBot="1" x14ac:dyDescent="0.3">
      <c r="A76" s="19"/>
      <c r="B76" s="97" t="s">
        <v>24</v>
      </c>
      <c r="C76" s="97"/>
      <c r="D76" s="97"/>
      <c r="E76" s="97"/>
      <c r="F76" s="97"/>
      <c r="G76" s="97"/>
      <c r="H76" s="97"/>
      <c r="J76" s="98" t="s">
        <v>24</v>
      </c>
      <c r="K76" s="98"/>
      <c r="L76" s="98"/>
      <c r="M76" s="98"/>
      <c r="N76" s="98"/>
      <c r="O76" s="98"/>
      <c r="P76" s="98"/>
      <c r="Q76" s="98"/>
      <c r="R76" s="98"/>
      <c r="S76" s="98"/>
      <c r="T76" s="98"/>
      <c r="U76" s="98"/>
      <c r="Y76" s="95" t="str">
        <f t="shared" ref="Y76" si="16">J76</f>
        <v>Junho</v>
      </c>
      <c r="Z76" s="95"/>
      <c r="AA76" s="95"/>
      <c r="AB76" s="95"/>
      <c r="AC76" s="95"/>
      <c r="AD76" s="95"/>
      <c r="AE76" s="95"/>
      <c r="AH76" s="96" t="str">
        <f t="shared" ref="AH76" si="17">Y76</f>
        <v>Junho</v>
      </c>
      <c r="AI76" s="96"/>
      <c r="AJ76" s="96"/>
      <c r="AK76" s="96"/>
      <c r="AL76" s="96"/>
      <c r="AM76" s="96"/>
      <c r="AN76" s="96"/>
    </row>
    <row r="77" spans="1:40" ht="15.75" thickBot="1" x14ac:dyDescent="0.3">
      <c r="A77" s="99" t="s">
        <v>5</v>
      </c>
      <c r="B77" s="34" t="s">
        <v>6</v>
      </c>
      <c r="C77" s="22" t="s">
        <v>7</v>
      </c>
      <c r="D77" s="33" t="s">
        <v>8</v>
      </c>
      <c r="E77" s="22" t="s">
        <v>9</v>
      </c>
      <c r="F77" s="24" t="s">
        <v>10</v>
      </c>
      <c r="G77" s="23" t="s">
        <v>11</v>
      </c>
      <c r="H77" s="25" t="s">
        <v>12</v>
      </c>
      <c r="J77" s="6" t="s">
        <v>4</v>
      </c>
      <c r="K77" s="9">
        <v>45811</v>
      </c>
      <c r="L77" s="66">
        <v>45813</v>
      </c>
      <c r="M77" s="66">
        <v>45818</v>
      </c>
      <c r="N77" s="66">
        <v>45820</v>
      </c>
      <c r="O77" s="66">
        <v>45824</v>
      </c>
      <c r="P77" s="66">
        <v>45827</v>
      </c>
      <c r="Q77" s="66">
        <v>45832</v>
      </c>
      <c r="R77" s="66">
        <v>45835</v>
      </c>
      <c r="S77" s="4"/>
      <c r="T77" s="4"/>
      <c r="U77" s="5"/>
      <c r="Y77" s="6" t="s">
        <v>4</v>
      </c>
      <c r="Z77" s="9"/>
      <c r="AA77" s="4"/>
      <c r="AB77" s="4"/>
      <c r="AC77" s="4"/>
      <c r="AD77" s="4"/>
      <c r="AE77" s="5"/>
      <c r="AH77" s="6" t="s">
        <v>4</v>
      </c>
      <c r="AI77" s="9"/>
      <c r="AJ77" s="4"/>
      <c r="AK77" s="4"/>
      <c r="AL77" s="4"/>
      <c r="AM77" s="4"/>
      <c r="AN77" s="5"/>
    </row>
    <row r="78" spans="1:40" ht="15.75" thickBot="1" x14ac:dyDescent="0.3">
      <c r="A78" s="99"/>
      <c r="B78" s="27">
        <v>14778</v>
      </c>
      <c r="C78" s="27">
        <v>16150</v>
      </c>
      <c r="D78" s="27">
        <v>16150</v>
      </c>
      <c r="E78" s="27">
        <v>17314</v>
      </c>
      <c r="F78" s="27">
        <f t="shared" ref="F78" si="18">SUM(C78-B78)</f>
        <v>1372</v>
      </c>
      <c r="G78" s="20">
        <f t="shared" ref="G78" si="19">SUM(E78-D78)</f>
        <v>1164</v>
      </c>
      <c r="H78" s="21">
        <f t="shared" ref="H78" si="20">SUM(F78:G78)</f>
        <v>2536</v>
      </c>
      <c r="J78" s="7" t="s">
        <v>22</v>
      </c>
      <c r="K78" s="10">
        <v>272.39</v>
      </c>
      <c r="L78" s="11">
        <v>151.66</v>
      </c>
      <c r="M78" s="11">
        <v>202.63</v>
      </c>
      <c r="N78" s="11">
        <v>139.83000000000001</v>
      </c>
      <c r="O78" s="11">
        <v>233.75</v>
      </c>
      <c r="P78" s="11">
        <v>217.25</v>
      </c>
      <c r="Q78" s="11">
        <v>233.86</v>
      </c>
      <c r="R78" s="11">
        <v>227.78</v>
      </c>
      <c r="S78" s="11"/>
      <c r="T78" s="11"/>
      <c r="U78" s="12"/>
      <c r="Y78" s="7" t="s">
        <v>22</v>
      </c>
      <c r="Z78" s="10"/>
      <c r="AA78" s="11"/>
      <c r="AB78" s="11"/>
      <c r="AC78" s="11"/>
      <c r="AD78" s="11"/>
      <c r="AE78" s="12"/>
      <c r="AH78" s="7" t="s">
        <v>22</v>
      </c>
      <c r="AI78" s="10"/>
      <c r="AJ78" s="11"/>
      <c r="AK78" s="11"/>
      <c r="AL78" s="11"/>
      <c r="AM78" s="11"/>
      <c r="AN78" s="12"/>
    </row>
    <row r="79" spans="1:40" x14ac:dyDescent="0.25">
      <c r="J79" s="8"/>
      <c r="T79" s="8" t="s">
        <v>23</v>
      </c>
      <c r="U79" s="13">
        <f t="shared" ref="U79" si="21">SUM(K78:U78)</f>
        <v>1679.1499999999999</v>
      </c>
      <c r="AD79" s="8" t="s">
        <v>23</v>
      </c>
      <c r="AE79" s="13">
        <f t="shared" ref="AE79" si="22">SUM(Z78:AE78)</f>
        <v>0</v>
      </c>
      <c r="AM79" s="8" t="s">
        <v>23</v>
      </c>
      <c r="AN79" s="13">
        <f t="shared" ref="AN79" si="23">SUM(AI78:AN78)</f>
        <v>0</v>
      </c>
    </row>
    <row r="80" spans="1:40" ht="15.75" thickBot="1" x14ac:dyDescent="0.3">
      <c r="A80" s="19"/>
      <c r="B80" s="97" t="s">
        <v>16</v>
      </c>
      <c r="C80" s="97"/>
      <c r="D80" s="97"/>
      <c r="E80" s="97"/>
      <c r="F80" s="97"/>
      <c r="G80" s="97"/>
      <c r="H80" s="97"/>
      <c r="J80" s="98" t="s">
        <v>16</v>
      </c>
      <c r="K80" s="98"/>
      <c r="L80" s="98"/>
      <c r="M80" s="98"/>
      <c r="N80" s="98"/>
      <c r="O80" s="98"/>
      <c r="P80" s="98"/>
      <c r="Q80" s="98"/>
      <c r="R80" s="98"/>
      <c r="S80" s="98"/>
      <c r="T80" s="98"/>
      <c r="U80" s="98"/>
      <c r="Y80" s="95" t="str">
        <f t="shared" ref="Y80" si="24">J80</f>
        <v>Julho</v>
      </c>
      <c r="Z80" s="95"/>
      <c r="AA80" s="95"/>
      <c r="AB80" s="95"/>
      <c r="AC80" s="95"/>
      <c r="AD80" s="95"/>
      <c r="AE80" s="95"/>
      <c r="AH80" s="96" t="str">
        <f t="shared" ref="AH80" si="25">Y80</f>
        <v>Julho</v>
      </c>
      <c r="AI80" s="96"/>
      <c r="AJ80" s="96"/>
      <c r="AK80" s="96"/>
      <c r="AL80" s="96"/>
      <c r="AM80" s="96"/>
      <c r="AN80" s="96"/>
    </row>
    <row r="81" spans="1:40" ht="15.75" thickBot="1" x14ac:dyDescent="0.3">
      <c r="A81" s="99" t="s">
        <v>5</v>
      </c>
      <c r="B81" s="34" t="s">
        <v>6</v>
      </c>
      <c r="C81" s="22" t="s">
        <v>7</v>
      </c>
      <c r="D81" s="33" t="s">
        <v>8</v>
      </c>
      <c r="E81" s="22" t="s">
        <v>9</v>
      </c>
      <c r="F81" s="24" t="s">
        <v>10</v>
      </c>
      <c r="G81" s="23" t="s">
        <v>11</v>
      </c>
      <c r="H81" s="25" t="s">
        <v>12</v>
      </c>
      <c r="J81" s="6" t="s">
        <v>4</v>
      </c>
      <c r="K81" s="9">
        <v>45839</v>
      </c>
      <c r="L81" s="66">
        <v>45841</v>
      </c>
      <c r="M81" s="66">
        <v>45846</v>
      </c>
      <c r="N81" s="66">
        <v>45848</v>
      </c>
      <c r="O81" s="66">
        <v>45853</v>
      </c>
      <c r="P81" s="66">
        <v>45855</v>
      </c>
      <c r="Q81" s="66">
        <v>45860</v>
      </c>
      <c r="R81" s="66">
        <v>45862</v>
      </c>
      <c r="S81" s="66">
        <v>45867</v>
      </c>
      <c r="T81" s="66">
        <v>45869</v>
      </c>
      <c r="U81" s="5"/>
      <c r="Y81" s="6" t="s">
        <v>4</v>
      </c>
      <c r="Z81" s="9"/>
      <c r="AA81" s="4"/>
      <c r="AB81" s="4"/>
      <c r="AC81" s="4"/>
      <c r="AD81" s="4"/>
      <c r="AE81" s="5"/>
      <c r="AH81" s="6" t="s">
        <v>4</v>
      </c>
      <c r="AI81" s="9"/>
      <c r="AJ81" s="4"/>
      <c r="AK81" s="4"/>
      <c r="AL81" s="4"/>
      <c r="AM81" s="4"/>
      <c r="AN81" s="5"/>
    </row>
    <row r="82" spans="1:40" ht="15.75" thickBot="1" x14ac:dyDescent="0.3">
      <c r="A82" s="99"/>
      <c r="B82" s="27">
        <v>17314</v>
      </c>
      <c r="C82" s="27">
        <v>18507</v>
      </c>
      <c r="D82" s="27">
        <v>18507</v>
      </c>
      <c r="E82" s="27">
        <v>20442</v>
      </c>
      <c r="F82" s="27">
        <f t="shared" ref="F82" si="26">SUM(C82-B82)</f>
        <v>1193</v>
      </c>
      <c r="G82" s="20">
        <f t="shared" ref="G82" si="27">SUM(E82-D82)</f>
        <v>1935</v>
      </c>
      <c r="H82" s="21">
        <f t="shared" ref="H82" si="28">SUM(F82:G82)</f>
        <v>3128</v>
      </c>
      <c r="J82" s="7" t="s">
        <v>22</v>
      </c>
      <c r="K82" s="10">
        <v>260.79000000000002</v>
      </c>
      <c r="L82" s="11">
        <v>146</v>
      </c>
      <c r="M82" s="11">
        <v>249.84</v>
      </c>
      <c r="N82" s="11">
        <v>125.75</v>
      </c>
      <c r="O82" s="11">
        <v>250</v>
      </c>
      <c r="P82" s="11">
        <v>153.37</v>
      </c>
      <c r="Q82" s="11">
        <v>280.01</v>
      </c>
      <c r="R82" s="11">
        <v>286.02999999999997</v>
      </c>
      <c r="S82" s="11">
        <v>296.57</v>
      </c>
      <c r="T82" s="11">
        <v>153.28</v>
      </c>
      <c r="U82" s="12"/>
      <c r="Y82" s="7" t="s">
        <v>22</v>
      </c>
      <c r="Z82" s="10"/>
      <c r="AA82" s="11"/>
      <c r="AB82" s="11"/>
      <c r="AC82" s="11"/>
      <c r="AD82" s="11"/>
      <c r="AE82" s="12"/>
      <c r="AH82" s="7" t="s">
        <v>22</v>
      </c>
      <c r="AI82" s="10"/>
      <c r="AJ82" s="11"/>
      <c r="AK82" s="11"/>
      <c r="AL82" s="11"/>
      <c r="AM82" s="11"/>
      <c r="AN82" s="12"/>
    </row>
    <row r="83" spans="1:40" x14ac:dyDescent="0.25">
      <c r="J83" s="8"/>
      <c r="T83" s="8" t="s">
        <v>23</v>
      </c>
      <c r="U83" s="13">
        <f t="shared" ref="U83" si="29">SUM(K82:U82)</f>
        <v>2201.6400000000003</v>
      </c>
      <c r="AD83" s="8" t="s">
        <v>23</v>
      </c>
      <c r="AE83" s="13">
        <f t="shared" ref="AE83" si="30">SUM(Z82:AE82)</f>
        <v>0</v>
      </c>
      <c r="AM83" s="8" t="s">
        <v>23</v>
      </c>
      <c r="AN83" s="13">
        <f t="shared" ref="AN83" si="31">SUM(AI82:AN82)</f>
        <v>0</v>
      </c>
    </row>
    <row r="84" spans="1:40" ht="15.75" thickBot="1" x14ac:dyDescent="0.3">
      <c r="A84" s="19"/>
      <c r="B84" s="97" t="s">
        <v>17</v>
      </c>
      <c r="C84" s="97"/>
      <c r="D84" s="97"/>
      <c r="E84" s="97"/>
      <c r="F84" s="97"/>
      <c r="G84" s="97"/>
      <c r="H84" s="97"/>
      <c r="J84" s="98" t="s">
        <v>17</v>
      </c>
      <c r="K84" s="98"/>
      <c r="L84" s="98"/>
      <c r="M84" s="98"/>
      <c r="N84" s="98"/>
      <c r="O84" s="98"/>
      <c r="P84" s="98"/>
      <c r="Q84" s="98"/>
      <c r="R84" s="98"/>
      <c r="S84" s="98"/>
      <c r="T84" s="98"/>
      <c r="U84" s="98"/>
      <c r="Y84" s="95" t="str">
        <f t="shared" ref="Y84" si="32">J84</f>
        <v>Agosto</v>
      </c>
      <c r="Z84" s="95"/>
      <c r="AA84" s="95"/>
      <c r="AB84" s="95"/>
      <c r="AC84" s="95"/>
      <c r="AD84" s="95"/>
      <c r="AE84" s="95"/>
      <c r="AH84" s="96" t="str">
        <f t="shared" ref="AH84" si="33">Y84</f>
        <v>Agosto</v>
      </c>
      <c r="AI84" s="96"/>
      <c r="AJ84" s="96"/>
      <c r="AK84" s="96"/>
      <c r="AL84" s="96"/>
      <c r="AM84" s="96"/>
      <c r="AN84" s="96"/>
    </row>
    <row r="85" spans="1:40" ht="15.75" thickBot="1" x14ac:dyDescent="0.3">
      <c r="A85" s="99" t="s">
        <v>5</v>
      </c>
      <c r="B85" s="34" t="s">
        <v>6</v>
      </c>
      <c r="C85" s="22" t="s">
        <v>7</v>
      </c>
      <c r="D85" s="33" t="s">
        <v>8</v>
      </c>
      <c r="E85" s="22" t="s">
        <v>9</v>
      </c>
      <c r="F85" s="24" t="s">
        <v>10</v>
      </c>
      <c r="G85" s="23" t="s">
        <v>11</v>
      </c>
      <c r="H85" s="25" t="s">
        <v>12</v>
      </c>
      <c r="J85" s="6" t="s">
        <v>4</v>
      </c>
      <c r="K85" s="9">
        <v>45871</v>
      </c>
      <c r="L85" s="66">
        <v>45876</v>
      </c>
      <c r="M85" s="66">
        <v>45883</v>
      </c>
      <c r="N85" s="66">
        <v>45888</v>
      </c>
      <c r="O85" s="66">
        <v>45890</v>
      </c>
      <c r="P85" s="66">
        <v>45895</v>
      </c>
      <c r="Q85" s="66">
        <v>45897</v>
      </c>
      <c r="R85" s="66">
        <v>45898</v>
      </c>
      <c r="S85" s="4"/>
      <c r="T85" s="4"/>
      <c r="U85" s="5"/>
      <c r="Y85" s="6" t="s">
        <v>4</v>
      </c>
      <c r="Z85" s="9"/>
      <c r="AA85" s="4"/>
      <c r="AB85" s="4"/>
      <c r="AC85" s="4"/>
      <c r="AD85" s="4"/>
      <c r="AE85" s="5"/>
      <c r="AH85" s="6" t="s">
        <v>4</v>
      </c>
      <c r="AI85" s="9"/>
      <c r="AJ85" s="4"/>
      <c r="AK85" s="4"/>
      <c r="AL85" s="4"/>
      <c r="AM85" s="4"/>
      <c r="AN85" s="5"/>
    </row>
    <row r="86" spans="1:40" ht="15.75" thickBot="1" x14ac:dyDescent="0.3">
      <c r="A86" s="99"/>
      <c r="B86" s="27">
        <v>20442</v>
      </c>
      <c r="C86" s="27">
        <v>22167</v>
      </c>
      <c r="D86" s="27">
        <v>22167</v>
      </c>
      <c r="E86" s="27">
        <v>23599</v>
      </c>
      <c r="F86" s="27">
        <f t="shared" ref="F86" si="34">SUM(C86-B86)</f>
        <v>1725</v>
      </c>
      <c r="G86" s="20">
        <f t="shared" ref="G86" si="35">SUM(E86-D86)</f>
        <v>1432</v>
      </c>
      <c r="H86" s="21">
        <f t="shared" ref="H86" si="36">SUM(F86:G86)</f>
        <v>3157</v>
      </c>
      <c r="J86" s="7" t="s">
        <v>22</v>
      </c>
      <c r="K86" s="10">
        <v>266.19</v>
      </c>
      <c r="L86" s="11">
        <v>255.72</v>
      </c>
      <c r="M86" s="11">
        <v>147</v>
      </c>
      <c r="N86" s="11">
        <v>287.01</v>
      </c>
      <c r="O86" s="11">
        <v>81.819999999999993</v>
      </c>
      <c r="P86" s="11">
        <v>283.01</v>
      </c>
      <c r="Q86" s="11">
        <v>215.88</v>
      </c>
      <c r="R86" s="11">
        <v>94.27</v>
      </c>
      <c r="S86" s="11"/>
      <c r="T86" s="11"/>
      <c r="U86" s="12"/>
      <c r="Y86" s="7" t="s">
        <v>22</v>
      </c>
      <c r="Z86" s="10"/>
      <c r="AA86" s="11"/>
      <c r="AB86" s="11"/>
      <c r="AC86" s="11"/>
      <c r="AD86" s="11"/>
      <c r="AE86" s="12"/>
      <c r="AH86" s="7" t="s">
        <v>22</v>
      </c>
      <c r="AI86" s="10"/>
      <c r="AJ86" s="11"/>
      <c r="AK86" s="11"/>
      <c r="AL86" s="11"/>
      <c r="AM86" s="11"/>
      <c r="AN86" s="12"/>
    </row>
    <row r="87" spans="1:40" x14ac:dyDescent="0.25">
      <c r="J87" s="8"/>
      <c r="T87" s="8" t="s">
        <v>23</v>
      </c>
      <c r="U87" s="13">
        <f t="shared" ref="U87" si="37">SUM(K86:U86)</f>
        <v>1630.9</v>
      </c>
      <c r="AD87" s="8" t="s">
        <v>23</v>
      </c>
      <c r="AE87" s="13">
        <f t="shared" ref="AE87" si="38">SUM(Z86:AE86)</f>
        <v>0</v>
      </c>
      <c r="AM87" s="8" t="s">
        <v>23</v>
      </c>
      <c r="AN87" s="13">
        <f t="shared" ref="AN87" si="39">SUM(AI86:AN86)</f>
        <v>0</v>
      </c>
    </row>
    <row r="88" spans="1:40" ht="15.75" thickBot="1" x14ac:dyDescent="0.3">
      <c r="A88" s="19"/>
      <c r="B88" s="97" t="s">
        <v>18</v>
      </c>
      <c r="C88" s="97"/>
      <c r="D88" s="97"/>
      <c r="E88" s="97"/>
      <c r="F88" s="97"/>
      <c r="G88" s="97"/>
      <c r="H88" s="97"/>
      <c r="J88" s="98" t="s">
        <v>18</v>
      </c>
      <c r="K88" s="98"/>
      <c r="L88" s="98"/>
      <c r="M88" s="98"/>
      <c r="N88" s="98"/>
      <c r="O88" s="98"/>
      <c r="P88" s="98"/>
      <c r="Q88" s="98"/>
      <c r="R88" s="98"/>
      <c r="S88" s="98"/>
      <c r="T88" s="98"/>
      <c r="U88" s="98"/>
      <c r="Y88" s="95" t="str">
        <f t="shared" ref="Y88" si="40">J88</f>
        <v>Setembro</v>
      </c>
      <c r="Z88" s="95"/>
      <c r="AA88" s="95"/>
      <c r="AB88" s="95"/>
      <c r="AC88" s="95"/>
      <c r="AD88" s="95"/>
      <c r="AE88" s="95"/>
      <c r="AH88" s="96" t="str">
        <f t="shared" ref="AH88" si="41">Y88</f>
        <v>Setembro</v>
      </c>
      <c r="AI88" s="96"/>
      <c r="AJ88" s="96"/>
      <c r="AK88" s="96"/>
      <c r="AL88" s="96"/>
      <c r="AM88" s="96"/>
      <c r="AN88" s="96"/>
    </row>
    <row r="89" spans="1:40" ht="15.75" thickBot="1" x14ac:dyDescent="0.3">
      <c r="A89" s="99" t="s">
        <v>5</v>
      </c>
      <c r="B89" s="34" t="s">
        <v>6</v>
      </c>
      <c r="C89" s="22" t="s">
        <v>7</v>
      </c>
      <c r="D89" s="33" t="s">
        <v>8</v>
      </c>
      <c r="E89" s="22" t="s">
        <v>9</v>
      </c>
      <c r="F89" s="24" t="s">
        <v>10</v>
      </c>
      <c r="G89" s="23" t="s">
        <v>11</v>
      </c>
      <c r="H89" s="25" t="s">
        <v>12</v>
      </c>
      <c r="J89" s="6" t="s">
        <v>4</v>
      </c>
      <c r="K89" s="9"/>
      <c r="L89" s="66"/>
      <c r="M89" s="66"/>
      <c r="N89" s="66"/>
      <c r="O89" s="66"/>
      <c r="P89" s="66"/>
      <c r="Q89" s="66"/>
      <c r="R89" s="66"/>
      <c r="S89" s="4"/>
      <c r="T89" s="4"/>
      <c r="U89" s="5"/>
      <c r="Y89" s="6" t="s">
        <v>4</v>
      </c>
      <c r="Z89" s="9"/>
      <c r="AA89" s="4"/>
      <c r="AB89" s="4"/>
      <c r="AC89" s="4"/>
      <c r="AD89" s="4"/>
      <c r="AE89" s="5"/>
      <c r="AH89" s="6" t="s">
        <v>4</v>
      </c>
      <c r="AI89" s="9"/>
      <c r="AJ89" s="4"/>
      <c r="AK89" s="4"/>
      <c r="AL89" s="4"/>
      <c r="AM89" s="4"/>
      <c r="AN89" s="5"/>
    </row>
    <row r="90" spans="1:40" ht="15.75" thickBot="1" x14ac:dyDescent="0.3">
      <c r="A90" s="99"/>
      <c r="B90" s="26"/>
      <c r="C90" s="27"/>
      <c r="D90" s="27"/>
      <c r="E90" s="27"/>
      <c r="F90" s="27">
        <f t="shared" ref="F90" si="42">SUM(C90-B90)</f>
        <v>0</v>
      </c>
      <c r="G90" s="20">
        <f t="shared" ref="G90" si="43">SUM(E90-D90)</f>
        <v>0</v>
      </c>
      <c r="H90" s="21">
        <f t="shared" ref="H90" si="44">SUM(F90:G90)</f>
        <v>0</v>
      </c>
      <c r="J90" s="7" t="s">
        <v>22</v>
      </c>
      <c r="K90" s="10"/>
      <c r="L90" s="11"/>
      <c r="M90" s="11"/>
      <c r="N90" s="11"/>
      <c r="O90" s="11"/>
      <c r="P90" s="11"/>
      <c r="Q90" s="11"/>
      <c r="R90" s="11"/>
      <c r="S90" s="11"/>
      <c r="T90" s="11"/>
      <c r="U90" s="12"/>
      <c r="Y90" s="7" t="s">
        <v>22</v>
      </c>
      <c r="Z90" s="10"/>
      <c r="AA90" s="11"/>
      <c r="AB90" s="11"/>
      <c r="AC90" s="11"/>
      <c r="AD90" s="11"/>
      <c r="AE90" s="12"/>
      <c r="AH90" s="7" t="s">
        <v>22</v>
      </c>
      <c r="AI90" s="10"/>
      <c r="AJ90" s="11"/>
      <c r="AK90" s="11"/>
      <c r="AL90" s="11"/>
      <c r="AM90" s="11"/>
      <c r="AN90" s="12"/>
    </row>
    <row r="91" spans="1:40" x14ac:dyDescent="0.25">
      <c r="J91" s="8"/>
      <c r="T91" s="8" t="s">
        <v>23</v>
      </c>
      <c r="U91" s="13">
        <f t="shared" ref="U91" si="45">SUM(K90:U90)</f>
        <v>0</v>
      </c>
      <c r="AD91" s="8" t="s">
        <v>23</v>
      </c>
      <c r="AE91" s="13">
        <f t="shared" ref="AE91" si="46">SUM(Z90:AE90)</f>
        <v>0</v>
      </c>
      <c r="AM91" s="8" t="s">
        <v>23</v>
      </c>
      <c r="AN91" s="13">
        <f t="shared" ref="AN91" si="47">SUM(AI90:AN90)</f>
        <v>0</v>
      </c>
    </row>
    <row r="92" spans="1:40" ht="15.75" thickBot="1" x14ac:dyDescent="0.3">
      <c r="A92" s="19"/>
      <c r="B92" s="97" t="s">
        <v>19</v>
      </c>
      <c r="C92" s="97"/>
      <c r="D92" s="97"/>
      <c r="E92" s="97"/>
      <c r="F92" s="97"/>
      <c r="G92" s="97"/>
      <c r="H92" s="97"/>
      <c r="J92" s="98" t="s">
        <v>19</v>
      </c>
      <c r="K92" s="98"/>
      <c r="L92" s="98"/>
      <c r="M92" s="98"/>
      <c r="N92" s="98"/>
      <c r="O92" s="98"/>
      <c r="P92" s="98"/>
      <c r="Q92" s="98"/>
      <c r="R92" s="98"/>
      <c r="S92" s="98"/>
      <c r="T92" s="98"/>
      <c r="U92" s="98"/>
      <c r="Y92" s="95" t="str">
        <f t="shared" ref="Y92" si="48">J92</f>
        <v>Outubro</v>
      </c>
      <c r="Z92" s="95"/>
      <c r="AA92" s="95"/>
      <c r="AB92" s="95"/>
      <c r="AC92" s="95"/>
      <c r="AD92" s="95"/>
      <c r="AE92" s="95"/>
      <c r="AH92" s="96" t="str">
        <f t="shared" ref="AH92" si="49">Y92</f>
        <v>Outubro</v>
      </c>
      <c r="AI92" s="96"/>
      <c r="AJ92" s="96"/>
      <c r="AK92" s="96"/>
      <c r="AL92" s="96"/>
      <c r="AM92" s="96"/>
      <c r="AN92" s="96"/>
    </row>
    <row r="93" spans="1:40" ht="15.75" thickBot="1" x14ac:dyDescent="0.3">
      <c r="A93" s="99" t="s">
        <v>5</v>
      </c>
      <c r="B93" s="34" t="s">
        <v>6</v>
      </c>
      <c r="C93" s="22" t="s">
        <v>7</v>
      </c>
      <c r="D93" s="33" t="s">
        <v>8</v>
      </c>
      <c r="E93" s="22" t="s">
        <v>9</v>
      </c>
      <c r="F93" s="24" t="s">
        <v>10</v>
      </c>
      <c r="G93" s="23" t="s">
        <v>11</v>
      </c>
      <c r="H93" s="25" t="s">
        <v>12</v>
      </c>
      <c r="J93" s="6" t="s">
        <v>4</v>
      </c>
      <c r="K93" s="9"/>
      <c r="L93" s="66"/>
      <c r="M93" s="66"/>
      <c r="N93" s="66"/>
      <c r="O93" s="66"/>
      <c r="P93" s="66"/>
      <c r="Q93" s="66"/>
      <c r="R93" s="66"/>
      <c r="S93" s="4"/>
      <c r="T93" s="4"/>
      <c r="U93" s="5"/>
      <c r="Y93" s="6" t="s">
        <v>4</v>
      </c>
      <c r="Z93" s="9"/>
      <c r="AA93" s="4"/>
      <c r="AB93" s="4"/>
      <c r="AC93" s="4"/>
      <c r="AD93" s="4"/>
      <c r="AE93" s="5"/>
      <c r="AH93" s="6" t="s">
        <v>4</v>
      </c>
      <c r="AI93" s="9"/>
      <c r="AJ93" s="4"/>
      <c r="AK93" s="4"/>
      <c r="AL93" s="4"/>
      <c r="AM93" s="4"/>
      <c r="AN93" s="5"/>
    </row>
    <row r="94" spans="1:40" ht="15.75" thickBot="1" x14ac:dyDescent="0.3">
      <c r="A94" s="99"/>
      <c r="B94" s="26"/>
      <c r="C94" s="27"/>
      <c r="D94" s="27"/>
      <c r="E94" s="27"/>
      <c r="F94" s="27">
        <f t="shared" ref="F94" si="50">SUM(C94-B94)</f>
        <v>0</v>
      </c>
      <c r="G94" s="20">
        <f t="shared" ref="G94" si="51">SUM(E94-D94)</f>
        <v>0</v>
      </c>
      <c r="H94" s="21">
        <f t="shared" ref="H94" si="52">SUM(F94:G94)</f>
        <v>0</v>
      </c>
      <c r="J94" s="7" t="s">
        <v>22</v>
      </c>
      <c r="K94" s="10"/>
      <c r="L94" s="11"/>
      <c r="M94" s="11"/>
      <c r="N94" s="11"/>
      <c r="O94" s="11"/>
      <c r="P94" s="11"/>
      <c r="Q94" s="11"/>
      <c r="R94" s="11"/>
      <c r="S94" s="11"/>
      <c r="T94" s="11"/>
      <c r="U94" s="12"/>
      <c r="Y94" s="7" t="s">
        <v>22</v>
      </c>
      <c r="Z94" s="10"/>
      <c r="AA94" s="11"/>
      <c r="AB94" s="11"/>
      <c r="AC94" s="11"/>
      <c r="AD94" s="11"/>
      <c r="AE94" s="12"/>
      <c r="AH94" s="7" t="s">
        <v>22</v>
      </c>
      <c r="AI94" s="10"/>
      <c r="AJ94" s="11"/>
      <c r="AK94" s="11"/>
      <c r="AL94" s="11"/>
      <c r="AM94" s="11"/>
      <c r="AN94" s="12"/>
    </row>
    <row r="95" spans="1:40" x14ac:dyDescent="0.25">
      <c r="J95" s="8"/>
      <c r="T95" s="8" t="s">
        <v>23</v>
      </c>
      <c r="U95" s="13">
        <f t="shared" ref="U95" si="53">SUM(K94:U94)</f>
        <v>0</v>
      </c>
      <c r="AD95" s="8" t="s">
        <v>23</v>
      </c>
      <c r="AE95" s="13">
        <f t="shared" ref="AE95" si="54">SUM(Z94:AE94)</f>
        <v>0</v>
      </c>
      <c r="AM95" s="8" t="s">
        <v>23</v>
      </c>
      <c r="AN95" s="13">
        <f t="shared" ref="AN95" si="55">SUM(AI94:AN94)</f>
        <v>0</v>
      </c>
    </row>
    <row r="96" spans="1:40" ht="15.75" thickBot="1" x14ac:dyDescent="0.3">
      <c r="A96" s="19"/>
      <c r="B96" s="97" t="s">
        <v>20</v>
      </c>
      <c r="C96" s="97"/>
      <c r="D96" s="97"/>
      <c r="E96" s="97"/>
      <c r="F96" s="97"/>
      <c r="G96" s="97"/>
      <c r="H96" s="97"/>
      <c r="J96" s="98" t="s">
        <v>20</v>
      </c>
      <c r="K96" s="98"/>
      <c r="L96" s="98"/>
      <c r="M96" s="98"/>
      <c r="N96" s="98"/>
      <c r="O96" s="98"/>
      <c r="P96" s="98"/>
      <c r="Q96" s="98"/>
      <c r="R96" s="98"/>
      <c r="S96" s="98"/>
      <c r="T96" s="98"/>
      <c r="U96" s="98"/>
      <c r="Y96" s="95" t="str">
        <f t="shared" ref="Y96" si="56">J96</f>
        <v>Novembro</v>
      </c>
      <c r="Z96" s="95"/>
      <c r="AA96" s="95"/>
      <c r="AB96" s="95"/>
      <c r="AC96" s="95"/>
      <c r="AD96" s="95"/>
      <c r="AE96" s="95"/>
      <c r="AH96" s="96" t="str">
        <f t="shared" ref="AH96" si="57">Y96</f>
        <v>Novembro</v>
      </c>
      <c r="AI96" s="96"/>
      <c r="AJ96" s="96"/>
      <c r="AK96" s="96"/>
      <c r="AL96" s="96"/>
      <c r="AM96" s="96"/>
      <c r="AN96" s="96"/>
    </row>
    <row r="97" spans="1:40" ht="15.75" thickBot="1" x14ac:dyDescent="0.3">
      <c r="A97" s="99" t="s">
        <v>5</v>
      </c>
      <c r="B97" s="34" t="s">
        <v>6</v>
      </c>
      <c r="C97" s="22" t="s">
        <v>7</v>
      </c>
      <c r="D97" s="33" t="s">
        <v>8</v>
      </c>
      <c r="E97" s="22" t="s">
        <v>9</v>
      </c>
      <c r="F97" s="24" t="s">
        <v>10</v>
      </c>
      <c r="G97" s="23" t="s">
        <v>11</v>
      </c>
      <c r="H97" s="25" t="s">
        <v>12</v>
      </c>
      <c r="J97" s="6" t="s">
        <v>4</v>
      </c>
      <c r="K97" s="9"/>
      <c r="L97" s="66"/>
      <c r="M97" s="66"/>
      <c r="N97" s="66"/>
      <c r="O97" s="66"/>
      <c r="P97" s="66"/>
      <c r="Q97" s="66"/>
      <c r="R97" s="66"/>
      <c r="S97" s="4"/>
      <c r="T97" s="4"/>
      <c r="U97" s="5"/>
      <c r="Y97" s="6" t="s">
        <v>4</v>
      </c>
      <c r="Z97" s="9"/>
      <c r="AA97" s="4"/>
      <c r="AB97" s="4"/>
      <c r="AC97" s="4"/>
      <c r="AD97" s="4"/>
      <c r="AE97" s="5"/>
      <c r="AH97" s="6" t="s">
        <v>4</v>
      </c>
      <c r="AI97" s="9"/>
      <c r="AJ97" s="4"/>
      <c r="AK97" s="4"/>
      <c r="AL97" s="4"/>
      <c r="AM97" s="4"/>
      <c r="AN97" s="5"/>
    </row>
    <row r="98" spans="1:40" ht="15.75" thickBot="1" x14ac:dyDescent="0.3">
      <c r="A98" s="99"/>
      <c r="B98" s="26"/>
      <c r="C98" s="27"/>
      <c r="D98" s="27"/>
      <c r="E98" s="27"/>
      <c r="F98" s="27">
        <f t="shared" ref="F98" si="58">SUM(C98-B98)</f>
        <v>0</v>
      </c>
      <c r="G98" s="20">
        <f t="shared" ref="G98" si="59">SUM(E98-D98)</f>
        <v>0</v>
      </c>
      <c r="H98" s="21">
        <f t="shared" ref="H98" si="60">SUM(F98:G98)</f>
        <v>0</v>
      </c>
      <c r="J98" s="7" t="s">
        <v>22</v>
      </c>
      <c r="K98" s="10"/>
      <c r="L98" s="11"/>
      <c r="M98" s="11"/>
      <c r="N98" s="11"/>
      <c r="O98" s="11"/>
      <c r="P98" s="11"/>
      <c r="Q98" s="11"/>
      <c r="R98" s="11"/>
      <c r="S98" s="11"/>
      <c r="T98" s="11"/>
      <c r="U98" s="12"/>
      <c r="Y98" s="7" t="s">
        <v>22</v>
      </c>
      <c r="Z98" s="10"/>
      <c r="AA98" s="11"/>
      <c r="AB98" s="11"/>
      <c r="AC98" s="11"/>
      <c r="AD98" s="11"/>
      <c r="AE98" s="12"/>
      <c r="AH98" s="7" t="s">
        <v>22</v>
      </c>
      <c r="AI98" s="10"/>
      <c r="AJ98" s="11"/>
      <c r="AK98" s="11"/>
      <c r="AL98" s="11"/>
      <c r="AM98" s="11"/>
      <c r="AN98" s="12"/>
    </row>
    <row r="99" spans="1:40" x14ac:dyDescent="0.25">
      <c r="J99" s="8"/>
      <c r="T99" s="8" t="s">
        <v>23</v>
      </c>
      <c r="U99" s="13">
        <f t="shared" ref="U99" si="61">SUM(K98:U98)</f>
        <v>0</v>
      </c>
      <c r="AD99" s="8" t="s">
        <v>23</v>
      </c>
      <c r="AE99" s="13">
        <f t="shared" ref="AE99" si="62">SUM(Z98:AE98)</f>
        <v>0</v>
      </c>
      <c r="AM99" s="8" t="s">
        <v>23</v>
      </c>
      <c r="AN99" s="13">
        <f t="shared" ref="AN99" si="63">SUM(AI98:AN98)</f>
        <v>0</v>
      </c>
    </row>
  </sheetData>
  <mergeCells count="120">
    <mergeCell ref="A61:A62"/>
    <mergeCell ref="B56:H56"/>
    <mergeCell ref="J56:U56"/>
    <mergeCell ref="Y56:AE56"/>
    <mergeCell ref="AH56:AN56"/>
    <mergeCell ref="A57:A58"/>
    <mergeCell ref="B60:H60"/>
    <mergeCell ref="J60:U60"/>
    <mergeCell ref="Y60:AE60"/>
    <mergeCell ref="AH60:AN60"/>
    <mergeCell ref="A53:A54"/>
    <mergeCell ref="B44:H44"/>
    <mergeCell ref="J44:U44"/>
    <mergeCell ref="Y44:AE44"/>
    <mergeCell ref="AH44:AN44"/>
    <mergeCell ref="A45:A46"/>
    <mergeCell ref="B48:H48"/>
    <mergeCell ref="J48:U48"/>
    <mergeCell ref="Y48:AE48"/>
    <mergeCell ref="AH48:AN48"/>
    <mergeCell ref="A49:A50"/>
    <mergeCell ref="B52:H52"/>
    <mergeCell ref="J52:U52"/>
    <mergeCell ref="Y52:AE52"/>
    <mergeCell ref="AH52:AN52"/>
    <mergeCell ref="A41:A42"/>
    <mergeCell ref="B32:H32"/>
    <mergeCell ref="J32:U32"/>
    <mergeCell ref="Y32:AE32"/>
    <mergeCell ref="AH32:AN32"/>
    <mergeCell ref="A33:A34"/>
    <mergeCell ref="B36:H36"/>
    <mergeCell ref="J36:U36"/>
    <mergeCell ref="Y36:AE36"/>
    <mergeCell ref="AH36:AN36"/>
    <mergeCell ref="A37:A38"/>
    <mergeCell ref="B40:H40"/>
    <mergeCell ref="J40:U40"/>
    <mergeCell ref="Y40:AE40"/>
    <mergeCell ref="AH40:AN40"/>
    <mergeCell ref="A29:A30"/>
    <mergeCell ref="B20:H20"/>
    <mergeCell ref="J20:U20"/>
    <mergeCell ref="Y20:AE20"/>
    <mergeCell ref="AH20:AN20"/>
    <mergeCell ref="A21:A22"/>
    <mergeCell ref="B24:H24"/>
    <mergeCell ref="J24:U24"/>
    <mergeCell ref="Y24:AE24"/>
    <mergeCell ref="AH24:AN24"/>
    <mergeCell ref="A25:A26"/>
    <mergeCell ref="B28:H28"/>
    <mergeCell ref="J28:U28"/>
    <mergeCell ref="Y28:AE28"/>
    <mergeCell ref="AH28:AN28"/>
    <mergeCell ref="B2:C2"/>
    <mergeCell ref="B7:C7"/>
    <mergeCell ref="E7:F7"/>
    <mergeCell ref="A10:H10"/>
    <mergeCell ref="A17:A18"/>
    <mergeCell ref="A13:A14"/>
    <mergeCell ref="B16:H16"/>
    <mergeCell ref="Y10:AE10"/>
    <mergeCell ref="AH10:AN10"/>
    <mergeCell ref="B12:H12"/>
    <mergeCell ref="J12:U12"/>
    <mergeCell ref="Y12:AE12"/>
    <mergeCell ref="AH12:AN12"/>
    <mergeCell ref="J10:U10"/>
    <mergeCell ref="J16:U16"/>
    <mergeCell ref="Y16:AE16"/>
    <mergeCell ref="AH16:AN16"/>
    <mergeCell ref="B3:C3"/>
    <mergeCell ref="B4:C4"/>
    <mergeCell ref="B5:C5"/>
    <mergeCell ref="B68:H68"/>
    <mergeCell ref="J68:U68"/>
    <mergeCell ref="Y68:AE68"/>
    <mergeCell ref="AH68:AN68"/>
    <mergeCell ref="A69:A70"/>
    <mergeCell ref="B64:H64"/>
    <mergeCell ref="J64:U64"/>
    <mergeCell ref="Y64:AE64"/>
    <mergeCell ref="AH64:AN64"/>
    <mergeCell ref="A65:A66"/>
    <mergeCell ref="Y80:AE80"/>
    <mergeCell ref="AH80:AN80"/>
    <mergeCell ref="A81:A82"/>
    <mergeCell ref="B76:H76"/>
    <mergeCell ref="J76:U76"/>
    <mergeCell ref="Y76:AE76"/>
    <mergeCell ref="AH76:AN76"/>
    <mergeCell ref="A77:A78"/>
    <mergeCell ref="B72:H72"/>
    <mergeCell ref="J72:U72"/>
    <mergeCell ref="Y72:AE72"/>
    <mergeCell ref="AH72:AN72"/>
    <mergeCell ref="A73:A74"/>
    <mergeCell ref="B80:H80"/>
    <mergeCell ref="J80:U80"/>
    <mergeCell ref="B96:H96"/>
    <mergeCell ref="J96:U96"/>
    <mergeCell ref="Y96:AE96"/>
    <mergeCell ref="AH96:AN96"/>
    <mergeCell ref="A97:A98"/>
    <mergeCell ref="B92:H92"/>
    <mergeCell ref="J92:U92"/>
    <mergeCell ref="Y92:AE92"/>
    <mergeCell ref="AH92:AN92"/>
    <mergeCell ref="A93:A94"/>
    <mergeCell ref="B88:H88"/>
    <mergeCell ref="J88:U88"/>
    <mergeCell ref="Y88:AE88"/>
    <mergeCell ref="AH88:AN88"/>
    <mergeCell ref="A89:A90"/>
    <mergeCell ref="B84:H84"/>
    <mergeCell ref="J84:U84"/>
    <mergeCell ref="Y84:AE84"/>
    <mergeCell ref="AH84:AN84"/>
    <mergeCell ref="A85:A86"/>
  </mergeCells>
  <phoneticPr fontId="3" type="noConversion"/>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N80"/>
  <sheetViews>
    <sheetView showGridLines="0" workbookViewId="0">
      <selection activeCell="E2" sqref="E2:F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5.42578125" bestFit="1" customWidth="1"/>
    <col min="9" max="9" width="20.42578125" customWidth="1"/>
    <col min="10" max="10" width="13.42578125" bestFit="1" customWidth="1"/>
    <col min="11" max="13" width="10.42578125" bestFit="1" customWidth="1"/>
    <col min="14" max="14" width="10.5703125" bestFit="1" customWidth="1"/>
    <col min="15" max="18" width="10.42578125" bestFit="1" customWidth="1"/>
    <col min="21" max="21" width="12.140625" bestFit="1" customWidth="1"/>
    <col min="24" max="27" width="10.42578125" bestFit="1" customWidth="1"/>
    <col min="29" max="29" width="9.5703125" bestFit="1" customWidth="1"/>
    <col min="34" max="36" width="10.140625" bestFit="1" customWidth="1"/>
  </cols>
  <sheetData>
    <row r="2" spans="1:37" x14ac:dyDescent="0.25">
      <c r="A2" t="s">
        <v>0</v>
      </c>
      <c r="B2" s="100" t="s">
        <v>84</v>
      </c>
      <c r="C2" s="100"/>
      <c r="D2" s="1" t="s">
        <v>1</v>
      </c>
      <c r="E2" s="100" t="s">
        <v>83</v>
      </c>
      <c r="F2" s="100"/>
      <c r="H2" t="s">
        <v>65</v>
      </c>
      <c r="I2" s="67">
        <v>45422</v>
      </c>
    </row>
    <row r="3" spans="1:37" x14ac:dyDescent="0.25">
      <c r="F3" s="1"/>
    </row>
    <row r="4" spans="1:37" x14ac:dyDescent="0.25">
      <c r="A4" t="s">
        <v>2</v>
      </c>
      <c r="B4" s="101">
        <v>3455.99</v>
      </c>
      <c r="C4" s="101"/>
      <c r="D4" s="1" t="s">
        <v>29</v>
      </c>
      <c r="E4" s="111">
        <v>50</v>
      </c>
      <c r="F4" s="100"/>
      <c r="H4" t="s">
        <v>121</v>
      </c>
      <c r="I4" s="67">
        <v>45844</v>
      </c>
    </row>
    <row r="7" spans="1:37"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104" t="s">
        <v>25</v>
      </c>
      <c r="X7" s="104"/>
      <c r="Y7" s="104"/>
      <c r="Z7" s="104"/>
      <c r="AA7" s="104"/>
      <c r="AB7" s="104"/>
      <c r="AC7" s="104"/>
      <c r="AD7" s="2"/>
      <c r="AE7" s="104" t="s">
        <v>27</v>
      </c>
      <c r="AF7" s="104"/>
      <c r="AG7" s="104"/>
      <c r="AH7" s="104"/>
      <c r="AI7" s="104"/>
      <c r="AJ7" s="104"/>
      <c r="AK7" s="104"/>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7" t="s">
        <v>3</v>
      </c>
      <c r="C9" s="97"/>
      <c r="D9" s="97"/>
      <c r="E9" s="97"/>
      <c r="F9" s="97"/>
      <c r="G9" s="97"/>
      <c r="H9" s="97"/>
      <c r="J9" s="98" t="s">
        <v>3</v>
      </c>
      <c r="K9" s="98"/>
      <c r="L9" s="98"/>
      <c r="M9" s="98"/>
      <c r="N9" s="98"/>
      <c r="O9" s="98"/>
      <c r="P9" s="98"/>
      <c r="Q9" s="98"/>
      <c r="R9" s="98"/>
      <c r="S9" s="98"/>
      <c r="T9" s="98"/>
      <c r="U9" s="98"/>
      <c r="W9" s="95" t="s">
        <v>3</v>
      </c>
      <c r="X9" s="95"/>
      <c r="Y9" s="95"/>
      <c r="Z9" s="95"/>
      <c r="AA9" s="95"/>
      <c r="AB9" s="95"/>
      <c r="AC9" s="95"/>
      <c r="AE9" s="96" t="s">
        <v>3</v>
      </c>
      <c r="AF9" s="96"/>
      <c r="AG9" s="96"/>
      <c r="AH9" s="96"/>
      <c r="AI9" s="96"/>
      <c r="AJ9" s="96"/>
      <c r="AK9" s="96"/>
    </row>
    <row r="10" spans="1:37"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7" t="s">
        <v>13</v>
      </c>
      <c r="C13" s="97"/>
      <c r="D13" s="97"/>
      <c r="E13" s="97"/>
      <c r="F13" s="97"/>
      <c r="G13" s="97"/>
      <c r="H13" s="97"/>
      <c r="J13" s="98" t="s">
        <v>13</v>
      </c>
      <c r="K13" s="98"/>
      <c r="L13" s="98"/>
      <c r="M13" s="98"/>
      <c r="N13" s="98"/>
      <c r="O13" s="98"/>
      <c r="P13" s="98"/>
      <c r="Q13" s="98"/>
      <c r="R13" s="98"/>
      <c r="S13" s="98"/>
      <c r="T13" s="98"/>
      <c r="U13" s="98"/>
      <c r="W13" s="95" t="str">
        <f>J13</f>
        <v>Março</v>
      </c>
      <c r="X13" s="95"/>
      <c r="Y13" s="95"/>
      <c r="Z13" s="95"/>
      <c r="AA13" s="95"/>
      <c r="AB13" s="95"/>
      <c r="AC13" s="95"/>
      <c r="AE13" s="96" t="str">
        <f>W13</f>
        <v>Março</v>
      </c>
      <c r="AF13" s="96"/>
      <c r="AG13" s="96"/>
      <c r="AH13" s="96"/>
      <c r="AI13" s="96"/>
      <c r="AJ13" s="96"/>
      <c r="AK13" s="96"/>
    </row>
    <row r="14" spans="1:37" ht="15.75" thickBot="1" x14ac:dyDescent="0.3">
      <c r="A14" s="99"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97" t="s">
        <v>14</v>
      </c>
      <c r="C17" s="97"/>
      <c r="D17" s="97"/>
      <c r="E17" s="97"/>
      <c r="F17" s="97"/>
      <c r="G17" s="97"/>
      <c r="H17" s="97"/>
      <c r="J17" s="98" t="s">
        <v>14</v>
      </c>
      <c r="K17" s="98"/>
      <c r="L17" s="98"/>
      <c r="M17" s="98"/>
      <c r="N17" s="98"/>
      <c r="O17" s="98"/>
      <c r="P17" s="98"/>
      <c r="Q17" s="98"/>
      <c r="R17" s="98"/>
      <c r="S17" s="98"/>
      <c r="T17" s="98"/>
      <c r="U17" s="98"/>
      <c r="W17" s="95" t="str">
        <f>J17</f>
        <v>Abril</v>
      </c>
      <c r="X17" s="95"/>
      <c r="Y17" s="95"/>
      <c r="Z17" s="95"/>
      <c r="AA17" s="95"/>
      <c r="AB17" s="95"/>
      <c r="AC17" s="95"/>
      <c r="AE17" s="96" t="str">
        <f>W17</f>
        <v>Abril</v>
      </c>
      <c r="AF17" s="96"/>
      <c r="AG17" s="96"/>
      <c r="AH17" s="96"/>
      <c r="AI17" s="96"/>
      <c r="AJ17" s="96"/>
      <c r="AK17" s="96"/>
    </row>
    <row r="18" spans="1:37"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97" t="s">
        <v>15</v>
      </c>
      <c r="C21" s="97"/>
      <c r="D21" s="97"/>
      <c r="E21" s="97"/>
      <c r="F21" s="97"/>
      <c r="G21" s="97"/>
      <c r="H21" s="97"/>
      <c r="J21" s="98" t="s">
        <v>15</v>
      </c>
      <c r="K21" s="98"/>
      <c r="L21" s="98"/>
      <c r="M21" s="98"/>
      <c r="N21" s="98"/>
      <c r="O21" s="98"/>
      <c r="P21" s="98"/>
      <c r="Q21" s="98"/>
      <c r="R21" s="98"/>
      <c r="S21" s="98"/>
      <c r="T21" s="98"/>
      <c r="U21" s="98"/>
      <c r="W21" s="95" t="str">
        <f>J21</f>
        <v>Maio</v>
      </c>
      <c r="X21" s="95"/>
      <c r="Y21" s="95"/>
      <c r="Z21" s="95"/>
      <c r="AA21" s="95"/>
      <c r="AB21" s="95"/>
      <c r="AC21" s="95"/>
      <c r="AE21" s="96" t="str">
        <f>W21</f>
        <v>Maio</v>
      </c>
      <c r="AF21" s="96"/>
      <c r="AG21" s="96"/>
      <c r="AH21" s="96"/>
      <c r="AI21" s="96"/>
      <c r="AJ21" s="96"/>
      <c r="AK21" s="96"/>
    </row>
    <row r="22" spans="1:37" ht="15.75" thickBot="1" x14ac:dyDescent="0.3">
      <c r="A22" s="99" t="s">
        <v>5</v>
      </c>
      <c r="B22" s="34" t="s">
        <v>6</v>
      </c>
      <c r="C22" s="22" t="s">
        <v>7</v>
      </c>
      <c r="D22" s="33" t="s">
        <v>8</v>
      </c>
      <c r="E22" s="22" t="s">
        <v>9</v>
      </c>
      <c r="F22" s="24" t="s">
        <v>10</v>
      </c>
      <c r="G22" s="23" t="s">
        <v>11</v>
      </c>
      <c r="H22" s="25" t="s">
        <v>12</v>
      </c>
      <c r="J22" s="6" t="s">
        <v>4</v>
      </c>
      <c r="K22" s="9">
        <v>45426</v>
      </c>
      <c r="L22" s="66">
        <v>45430</v>
      </c>
      <c r="M22" s="66">
        <v>45442</v>
      </c>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99"/>
      <c r="B23" s="26">
        <v>17196</v>
      </c>
      <c r="C23" s="27"/>
      <c r="D23" s="27"/>
      <c r="E23" s="27">
        <v>20665</v>
      </c>
      <c r="F23" s="27">
        <f>SUM(C23-B23)</f>
        <v>-17196</v>
      </c>
      <c r="G23" s="20">
        <f>SUM(E23-D23)</f>
        <v>20665</v>
      </c>
      <c r="H23" s="21">
        <f>SUM(F23:G23)</f>
        <v>3469</v>
      </c>
      <c r="J23" s="7" t="s">
        <v>22</v>
      </c>
      <c r="K23" s="10">
        <v>330.48</v>
      </c>
      <c r="L23" s="11">
        <v>189.72</v>
      </c>
      <c r="M23" s="11">
        <v>205.02</v>
      </c>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725.22</v>
      </c>
      <c r="AB24" s="8" t="s">
        <v>23</v>
      </c>
      <c r="AC24" s="13">
        <f>SUM(X23:AC23)</f>
        <v>0</v>
      </c>
      <c r="AJ24" s="8" t="s">
        <v>23</v>
      </c>
      <c r="AK24" s="13">
        <f>SUM(AF23:AK23)</f>
        <v>0</v>
      </c>
    </row>
    <row r="25" spans="1:37" ht="15.75" thickBot="1" x14ac:dyDescent="0.3">
      <c r="A25" s="19"/>
      <c r="B25" s="97" t="s">
        <v>24</v>
      </c>
      <c r="C25" s="97"/>
      <c r="D25" s="97"/>
      <c r="E25" s="97"/>
      <c r="F25" s="97"/>
      <c r="G25" s="97"/>
      <c r="H25" s="97"/>
      <c r="J25" s="98" t="s">
        <v>24</v>
      </c>
      <c r="K25" s="98"/>
      <c r="L25" s="98"/>
      <c r="M25" s="98"/>
      <c r="N25" s="98"/>
      <c r="O25" s="98"/>
      <c r="P25" s="98"/>
      <c r="Q25" s="98"/>
      <c r="R25" s="98"/>
      <c r="S25" s="98"/>
      <c r="T25" s="98"/>
      <c r="U25" s="98"/>
      <c r="W25" s="95" t="str">
        <f>J25</f>
        <v>Junho</v>
      </c>
      <c r="X25" s="95"/>
      <c r="Y25" s="95"/>
      <c r="Z25" s="95"/>
      <c r="AA25" s="95"/>
      <c r="AB25" s="95"/>
      <c r="AC25" s="95"/>
      <c r="AE25" s="96" t="str">
        <f>W25</f>
        <v>Junho</v>
      </c>
      <c r="AF25" s="96"/>
      <c r="AG25" s="96"/>
      <c r="AH25" s="96"/>
      <c r="AI25" s="96"/>
      <c r="AJ25" s="96"/>
      <c r="AK25" s="96"/>
    </row>
    <row r="26" spans="1:37" ht="15.75" thickBot="1" x14ac:dyDescent="0.3">
      <c r="A26" s="99" t="s">
        <v>5</v>
      </c>
      <c r="B26" s="34" t="s">
        <v>6</v>
      </c>
      <c r="C26" s="22" t="s">
        <v>7</v>
      </c>
      <c r="D26" s="33" t="s">
        <v>8</v>
      </c>
      <c r="E26" s="22" t="s">
        <v>9</v>
      </c>
      <c r="F26" s="24" t="s">
        <v>10</v>
      </c>
      <c r="G26" s="23" t="s">
        <v>11</v>
      </c>
      <c r="H26" s="25" t="s">
        <v>12</v>
      </c>
      <c r="J26" s="6" t="s">
        <v>4</v>
      </c>
      <c r="K26" s="9">
        <v>45449</v>
      </c>
      <c r="L26" s="66">
        <v>45454</v>
      </c>
      <c r="M26" s="66">
        <v>45461</v>
      </c>
      <c r="N26" s="4"/>
      <c r="O26" s="4"/>
      <c r="P26" s="4"/>
      <c r="Q26" s="4"/>
      <c r="R26" s="4"/>
      <c r="S26" s="4"/>
      <c r="T26" s="4"/>
      <c r="U26" s="5"/>
      <c r="W26" s="6" t="s">
        <v>4</v>
      </c>
      <c r="X26" s="9">
        <v>45446</v>
      </c>
      <c r="Y26" s="4"/>
      <c r="Z26" s="4"/>
      <c r="AA26" s="4"/>
      <c r="AB26" s="4"/>
      <c r="AC26" s="5"/>
      <c r="AE26" s="6" t="s">
        <v>4</v>
      </c>
      <c r="AF26" s="9"/>
      <c r="AG26" s="4"/>
      <c r="AH26" s="4"/>
      <c r="AI26" s="4"/>
      <c r="AJ26" s="4"/>
      <c r="AK26" s="5"/>
    </row>
    <row r="27" spans="1:37" ht="15.75" thickBot="1" x14ac:dyDescent="0.3">
      <c r="A27" s="99"/>
      <c r="B27" s="26">
        <v>20665</v>
      </c>
      <c r="C27" s="27"/>
      <c r="D27" s="27"/>
      <c r="E27" s="27">
        <v>21695</v>
      </c>
      <c r="F27" s="27">
        <f>SUM(C27-B27)</f>
        <v>-20665</v>
      </c>
      <c r="G27" s="20">
        <f>SUM(E27-D27)</f>
        <v>21695</v>
      </c>
      <c r="H27" s="21">
        <f>SUM(F27:G27)</f>
        <v>1030</v>
      </c>
      <c r="J27" s="7" t="s">
        <v>22</v>
      </c>
      <c r="K27" s="10">
        <v>238.01</v>
      </c>
      <c r="L27" s="11">
        <v>315</v>
      </c>
      <c r="M27" s="11">
        <v>250.06</v>
      </c>
      <c r="N27" s="11"/>
      <c r="O27" s="11"/>
      <c r="P27" s="11"/>
      <c r="Q27" s="11"/>
      <c r="R27" s="11"/>
      <c r="S27" s="11"/>
      <c r="T27" s="11"/>
      <c r="U27" s="12"/>
      <c r="W27" s="7" t="s">
        <v>22</v>
      </c>
      <c r="X27" s="10">
        <v>50</v>
      </c>
      <c r="Y27" s="11"/>
      <c r="Z27" s="11"/>
      <c r="AA27" s="11"/>
      <c r="AB27" s="11"/>
      <c r="AC27" s="12"/>
      <c r="AE27" s="7" t="s">
        <v>22</v>
      </c>
      <c r="AF27" s="10"/>
      <c r="AG27" s="11"/>
      <c r="AH27" s="11"/>
      <c r="AI27" s="11"/>
      <c r="AJ27" s="11"/>
      <c r="AK27" s="12"/>
    </row>
    <row r="28" spans="1:37" x14ac:dyDescent="0.25">
      <c r="J28" s="8"/>
      <c r="T28" s="8" t="s">
        <v>23</v>
      </c>
      <c r="U28" s="13">
        <f>SUM(K27:U27)</f>
        <v>803.06999999999994</v>
      </c>
      <c r="AB28" s="8" t="s">
        <v>23</v>
      </c>
      <c r="AC28" s="13">
        <f>SUM(X27:AC27)</f>
        <v>50</v>
      </c>
      <c r="AJ28" s="8" t="s">
        <v>23</v>
      </c>
      <c r="AK28" s="13">
        <f>SUM(AF27:AK27)</f>
        <v>0</v>
      </c>
    </row>
    <row r="29" spans="1:37" ht="15.75" thickBot="1" x14ac:dyDescent="0.3">
      <c r="A29" s="19"/>
      <c r="B29" s="97" t="s">
        <v>16</v>
      </c>
      <c r="C29" s="97"/>
      <c r="D29" s="97"/>
      <c r="E29" s="97"/>
      <c r="F29" s="97"/>
      <c r="G29" s="97"/>
      <c r="H29" s="97"/>
      <c r="J29" s="98" t="s">
        <v>16</v>
      </c>
      <c r="K29" s="98"/>
      <c r="L29" s="98"/>
      <c r="M29" s="98"/>
      <c r="N29" s="98"/>
      <c r="O29" s="98"/>
      <c r="P29" s="98"/>
      <c r="Q29" s="98"/>
      <c r="R29" s="98"/>
      <c r="S29" s="98"/>
      <c r="T29" s="98"/>
      <c r="U29" s="98"/>
      <c r="W29" s="95" t="str">
        <f>J29</f>
        <v>Julho</v>
      </c>
      <c r="X29" s="95"/>
      <c r="Y29" s="95"/>
      <c r="Z29" s="95"/>
      <c r="AA29" s="95"/>
      <c r="AB29" s="95"/>
      <c r="AC29" s="95"/>
      <c r="AE29" s="96" t="str">
        <f>W29</f>
        <v>Julho</v>
      </c>
      <c r="AF29" s="96"/>
      <c r="AG29" s="96"/>
      <c r="AH29" s="96"/>
      <c r="AI29" s="96"/>
      <c r="AJ29" s="96"/>
      <c r="AK29" s="96"/>
    </row>
    <row r="30" spans="1:37" ht="15.75" thickBot="1" x14ac:dyDescent="0.3">
      <c r="A30" s="99" t="s">
        <v>5</v>
      </c>
      <c r="B30" s="34" t="s">
        <v>6</v>
      </c>
      <c r="C30" s="22" t="s">
        <v>7</v>
      </c>
      <c r="D30" s="33" t="s">
        <v>8</v>
      </c>
      <c r="E30" s="22" t="s">
        <v>9</v>
      </c>
      <c r="F30" s="24" t="s">
        <v>10</v>
      </c>
      <c r="G30" s="23" t="s">
        <v>11</v>
      </c>
      <c r="H30" s="25" t="s">
        <v>12</v>
      </c>
      <c r="J30" s="6" t="s">
        <v>4</v>
      </c>
      <c r="K30" s="9">
        <v>45475</v>
      </c>
      <c r="L30" s="66">
        <v>45484</v>
      </c>
      <c r="M30" s="66">
        <v>45495</v>
      </c>
      <c r="N30" s="4"/>
      <c r="O30" s="4"/>
      <c r="P30" s="4"/>
      <c r="Q30" s="4"/>
      <c r="R30" s="4"/>
      <c r="S30" s="4"/>
      <c r="T30" s="4"/>
      <c r="U30" s="5"/>
      <c r="W30" s="6" t="s">
        <v>4</v>
      </c>
      <c r="X30" s="9">
        <v>45507</v>
      </c>
      <c r="Y30" s="66">
        <v>45521</v>
      </c>
      <c r="Z30" s="4"/>
      <c r="AA30" s="4"/>
      <c r="AB30" s="4"/>
      <c r="AC30" s="5"/>
      <c r="AE30" s="6" t="s">
        <v>4</v>
      </c>
      <c r="AF30" s="9"/>
      <c r="AG30" s="4"/>
      <c r="AH30" s="4"/>
      <c r="AI30" s="4"/>
      <c r="AJ30" s="4"/>
      <c r="AK30" s="5"/>
    </row>
    <row r="31" spans="1:37" ht="15.75" thickBot="1" x14ac:dyDescent="0.3">
      <c r="A31" s="99"/>
      <c r="B31" s="26">
        <v>21695</v>
      </c>
      <c r="C31" s="27"/>
      <c r="D31" s="27"/>
      <c r="E31" s="27">
        <v>23214</v>
      </c>
      <c r="F31" s="27">
        <f>SUM(C31-B31)</f>
        <v>-21695</v>
      </c>
      <c r="G31" s="20">
        <f>SUM(E31-D31)</f>
        <v>23214</v>
      </c>
      <c r="H31" s="21">
        <f>SUM(F31:G31)</f>
        <v>1519</v>
      </c>
      <c r="J31" s="7" t="s">
        <v>22</v>
      </c>
      <c r="K31" s="10">
        <v>330.48</v>
      </c>
      <c r="L31" s="11">
        <v>283.52</v>
      </c>
      <c r="M31" s="11">
        <v>313.36</v>
      </c>
      <c r="N31" s="11"/>
      <c r="O31" s="11"/>
      <c r="P31" s="11"/>
      <c r="Q31" s="11"/>
      <c r="R31" s="11"/>
      <c r="S31" s="11"/>
      <c r="T31" s="11"/>
      <c r="U31" s="12"/>
      <c r="W31" s="7" t="s">
        <v>22</v>
      </c>
      <c r="X31" s="10">
        <v>50</v>
      </c>
      <c r="Y31" s="11">
        <v>50</v>
      </c>
      <c r="Z31" s="11"/>
      <c r="AA31" s="11"/>
      <c r="AB31" s="11"/>
      <c r="AC31" s="12"/>
      <c r="AE31" s="7" t="s">
        <v>22</v>
      </c>
      <c r="AF31" s="10"/>
      <c r="AG31" s="11"/>
      <c r="AH31" s="11"/>
      <c r="AI31" s="11"/>
      <c r="AJ31" s="11"/>
      <c r="AK31" s="12"/>
    </row>
    <row r="32" spans="1:37" x14ac:dyDescent="0.25">
      <c r="J32" s="8"/>
      <c r="T32" s="8" t="s">
        <v>23</v>
      </c>
      <c r="U32" s="13">
        <f>SUM(K31:U31)</f>
        <v>927.36</v>
      </c>
      <c r="AB32" s="8" t="s">
        <v>23</v>
      </c>
      <c r="AC32" s="13">
        <f>SUM(X31:AC31)</f>
        <v>100</v>
      </c>
      <c r="AJ32" s="8" t="s">
        <v>23</v>
      </c>
      <c r="AK32" s="13">
        <f>SUM(AF31:AK31)</f>
        <v>0</v>
      </c>
    </row>
    <row r="33" spans="1:37" ht="15.75" thickBot="1" x14ac:dyDescent="0.3">
      <c r="A33" s="19"/>
      <c r="B33" s="97" t="s">
        <v>17</v>
      </c>
      <c r="C33" s="97"/>
      <c r="D33" s="97"/>
      <c r="E33" s="97"/>
      <c r="F33" s="97"/>
      <c r="G33" s="97"/>
      <c r="H33" s="97"/>
      <c r="J33" s="98" t="s">
        <v>17</v>
      </c>
      <c r="K33" s="98"/>
      <c r="L33" s="98"/>
      <c r="M33" s="98"/>
      <c r="N33" s="98"/>
      <c r="O33" s="98"/>
      <c r="P33" s="98"/>
      <c r="Q33" s="98"/>
      <c r="R33" s="98"/>
      <c r="S33" s="98"/>
      <c r="T33" s="98"/>
      <c r="U33" s="98"/>
      <c r="W33" s="95" t="str">
        <f>J33</f>
        <v>Agosto</v>
      </c>
      <c r="X33" s="95"/>
      <c r="Y33" s="95"/>
      <c r="Z33" s="95"/>
      <c r="AA33" s="95"/>
      <c r="AB33" s="95"/>
      <c r="AC33" s="95"/>
      <c r="AE33" s="96" t="str">
        <f>W33</f>
        <v>Agosto</v>
      </c>
      <c r="AF33" s="96"/>
      <c r="AG33" s="96"/>
      <c r="AH33" s="96"/>
      <c r="AI33" s="96"/>
      <c r="AJ33" s="96"/>
      <c r="AK33" s="96"/>
    </row>
    <row r="34" spans="1:37" ht="15.75" thickBot="1" x14ac:dyDescent="0.3">
      <c r="A34" s="99" t="s">
        <v>5</v>
      </c>
      <c r="B34" s="34" t="s">
        <v>6</v>
      </c>
      <c r="C34" s="22" t="s">
        <v>7</v>
      </c>
      <c r="D34" s="33" t="s">
        <v>8</v>
      </c>
      <c r="E34" s="22" t="s">
        <v>9</v>
      </c>
      <c r="F34" s="24" t="s">
        <v>10</v>
      </c>
      <c r="G34" s="23" t="s">
        <v>11</v>
      </c>
      <c r="H34" s="25" t="s">
        <v>12</v>
      </c>
      <c r="J34" s="6" t="s">
        <v>4</v>
      </c>
      <c r="K34" s="9">
        <v>45505</v>
      </c>
      <c r="L34" s="66">
        <v>45512</v>
      </c>
      <c r="M34" s="66">
        <v>45521</v>
      </c>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99"/>
      <c r="B35" s="26"/>
      <c r="C35" s="27"/>
      <c r="D35" s="27"/>
      <c r="E35" s="27"/>
      <c r="F35" s="27">
        <f>SUM(C35-B35)</f>
        <v>0</v>
      </c>
      <c r="G35" s="20">
        <f>SUM(E35-D35)</f>
        <v>0</v>
      </c>
      <c r="H35" s="21">
        <f>SUM(F35:G35)</f>
        <v>0</v>
      </c>
      <c r="J35" s="7" t="s">
        <v>22</v>
      </c>
      <c r="K35" s="10">
        <v>262.61</v>
      </c>
      <c r="L35" s="11">
        <v>214.78</v>
      </c>
      <c r="M35" s="11">
        <v>277.17</v>
      </c>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754.56</v>
      </c>
      <c r="AB36" s="8" t="s">
        <v>23</v>
      </c>
      <c r="AC36" s="13">
        <f>SUM(X35:AC35)</f>
        <v>0</v>
      </c>
      <c r="AJ36" s="8" t="s">
        <v>23</v>
      </c>
      <c r="AK36" s="13">
        <f>SUM(AF35:AK35)</f>
        <v>0</v>
      </c>
    </row>
    <row r="37" spans="1:37" ht="15.75" thickBot="1" x14ac:dyDescent="0.3">
      <c r="A37" s="19"/>
      <c r="B37" s="97" t="s">
        <v>18</v>
      </c>
      <c r="C37" s="97"/>
      <c r="D37" s="97"/>
      <c r="E37" s="97"/>
      <c r="F37" s="97"/>
      <c r="G37" s="97"/>
      <c r="H37" s="97"/>
      <c r="J37" s="98" t="s">
        <v>18</v>
      </c>
      <c r="K37" s="98"/>
      <c r="L37" s="98"/>
      <c r="M37" s="98"/>
      <c r="N37" s="98"/>
      <c r="O37" s="98"/>
      <c r="P37" s="98"/>
      <c r="Q37" s="98"/>
      <c r="R37" s="98"/>
      <c r="S37" s="98"/>
      <c r="T37" s="98"/>
      <c r="U37" s="98"/>
      <c r="W37" s="95" t="str">
        <f>J37</f>
        <v>Setembro</v>
      </c>
      <c r="X37" s="95"/>
      <c r="Y37" s="95"/>
      <c r="Z37" s="95"/>
      <c r="AA37" s="95"/>
      <c r="AB37" s="95"/>
      <c r="AC37" s="95"/>
      <c r="AE37" s="96" t="str">
        <f>W37</f>
        <v>Setembro</v>
      </c>
      <c r="AF37" s="96"/>
      <c r="AG37" s="96"/>
      <c r="AH37" s="96"/>
      <c r="AI37" s="96"/>
      <c r="AJ37" s="96"/>
      <c r="AK37" s="96"/>
    </row>
    <row r="38" spans="1:37" ht="15.75" thickBot="1" x14ac:dyDescent="0.3">
      <c r="A38" s="99" t="s">
        <v>5</v>
      </c>
      <c r="B38" s="34" t="s">
        <v>6</v>
      </c>
      <c r="C38" s="22" t="s">
        <v>7</v>
      </c>
      <c r="D38" s="33" t="s">
        <v>8</v>
      </c>
      <c r="E38" s="22" t="s">
        <v>9</v>
      </c>
      <c r="F38" s="24" t="s">
        <v>10</v>
      </c>
      <c r="G38" s="23" t="s">
        <v>11</v>
      </c>
      <c r="H38" s="25" t="s">
        <v>12</v>
      </c>
      <c r="J38" s="6" t="s">
        <v>4</v>
      </c>
      <c r="K38" s="9">
        <v>45537</v>
      </c>
      <c r="L38" s="66">
        <v>45548</v>
      </c>
      <c r="M38" s="66">
        <v>45559</v>
      </c>
      <c r="N38" s="66">
        <v>45561</v>
      </c>
      <c r="O38" s="4"/>
      <c r="P38" s="4"/>
      <c r="Q38" s="4"/>
      <c r="R38" s="4"/>
      <c r="S38" s="4"/>
      <c r="T38" s="4"/>
      <c r="U38" s="5"/>
      <c r="W38" s="6" t="s">
        <v>4</v>
      </c>
      <c r="X38" s="9">
        <v>45555</v>
      </c>
      <c r="Y38" s="66">
        <v>45559</v>
      </c>
      <c r="Z38" s="4"/>
      <c r="AA38" s="4"/>
      <c r="AB38" s="4"/>
      <c r="AC38" s="5"/>
      <c r="AE38" s="6" t="s">
        <v>4</v>
      </c>
      <c r="AF38" s="9"/>
      <c r="AG38" s="4"/>
      <c r="AH38" s="4"/>
      <c r="AI38" s="4"/>
      <c r="AJ38" s="4"/>
      <c r="AK38" s="5"/>
    </row>
    <row r="39" spans="1:37" ht="15.75" thickBot="1" x14ac:dyDescent="0.3">
      <c r="A39" s="99"/>
      <c r="B39" s="26">
        <v>296</v>
      </c>
      <c r="C39" s="27"/>
      <c r="D39" s="27"/>
      <c r="E39" s="27">
        <v>877</v>
      </c>
      <c r="F39" s="27">
        <f>SUM(C39-B39)</f>
        <v>-296</v>
      </c>
      <c r="G39" s="20">
        <f>SUM(E39-D39)</f>
        <v>877</v>
      </c>
      <c r="H39" s="21">
        <f>SUM(F39:G39)</f>
        <v>581</v>
      </c>
      <c r="J39" s="7" t="s">
        <v>22</v>
      </c>
      <c r="K39" s="10">
        <v>217.01</v>
      </c>
      <c r="L39" s="11">
        <v>220</v>
      </c>
      <c r="M39" s="11">
        <v>115.06</v>
      </c>
      <c r="N39" s="11">
        <v>195.67</v>
      </c>
      <c r="O39" s="11"/>
      <c r="P39" s="11"/>
      <c r="Q39" s="11"/>
      <c r="R39" s="11"/>
      <c r="S39" s="11"/>
      <c r="T39" s="11"/>
      <c r="U39" s="12"/>
      <c r="W39" s="7" t="s">
        <v>22</v>
      </c>
      <c r="X39" s="10">
        <v>50</v>
      </c>
      <c r="Y39" s="11">
        <v>50</v>
      </c>
      <c r="Z39" s="11"/>
      <c r="AA39" s="11"/>
      <c r="AB39" s="11"/>
      <c r="AC39" s="12"/>
      <c r="AE39" s="7" t="s">
        <v>22</v>
      </c>
      <c r="AF39" s="10"/>
      <c r="AG39" s="11"/>
      <c r="AH39" s="11"/>
      <c r="AI39" s="11"/>
      <c r="AJ39" s="11"/>
      <c r="AK39" s="12"/>
    </row>
    <row r="40" spans="1:37" x14ac:dyDescent="0.25">
      <c r="A40" t="s">
        <v>92</v>
      </c>
      <c r="B40" s="1">
        <v>17651</v>
      </c>
      <c r="E40" s="1">
        <v>18829</v>
      </c>
      <c r="H40" s="70">
        <v>1178</v>
      </c>
      <c r="J40" s="8"/>
      <c r="T40" s="8" t="s">
        <v>23</v>
      </c>
      <c r="U40" s="13">
        <f>SUM(K39:U39)</f>
        <v>747.7399999999999</v>
      </c>
      <c r="AB40" s="8" t="s">
        <v>23</v>
      </c>
      <c r="AC40" s="13">
        <f>SUM(X39:AC39)</f>
        <v>100</v>
      </c>
      <c r="AJ40" s="8" t="s">
        <v>23</v>
      </c>
      <c r="AK40" s="13">
        <f>SUM(AF39:AK39)</f>
        <v>0</v>
      </c>
    </row>
    <row r="41" spans="1:37" ht="15.75" thickBot="1" x14ac:dyDescent="0.3">
      <c r="A41" s="19"/>
      <c r="B41" s="97" t="s">
        <v>19</v>
      </c>
      <c r="C41" s="97"/>
      <c r="D41" s="97"/>
      <c r="E41" s="97"/>
      <c r="F41" s="97"/>
      <c r="G41" s="97"/>
      <c r="H41" s="97"/>
      <c r="J41" s="98" t="s">
        <v>19</v>
      </c>
      <c r="K41" s="98"/>
      <c r="L41" s="98"/>
      <c r="M41" s="98"/>
      <c r="N41" s="98"/>
      <c r="O41" s="98"/>
      <c r="P41" s="98"/>
      <c r="Q41" s="98"/>
      <c r="R41" s="98"/>
      <c r="S41" s="98"/>
      <c r="T41" s="98"/>
      <c r="U41" s="98"/>
      <c r="W41" s="95" t="str">
        <f>J41</f>
        <v>Outubro</v>
      </c>
      <c r="X41" s="95"/>
      <c r="Y41" s="95"/>
      <c r="Z41" s="95"/>
      <c r="AA41" s="95"/>
      <c r="AB41" s="95"/>
      <c r="AC41" s="95"/>
      <c r="AE41" s="96" t="str">
        <f>W41</f>
        <v>Outubro</v>
      </c>
      <c r="AF41" s="96"/>
      <c r="AG41" s="96"/>
      <c r="AH41" s="96"/>
      <c r="AI41" s="96"/>
      <c r="AJ41" s="96"/>
      <c r="AK41" s="96"/>
    </row>
    <row r="42" spans="1:37" ht="15.75" thickBot="1" x14ac:dyDescent="0.3">
      <c r="A42" s="99" t="s">
        <v>5</v>
      </c>
      <c r="B42" s="34" t="s">
        <v>6</v>
      </c>
      <c r="C42" s="22" t="s">
        <v>7</v>
      </c>
      <c r="D42" s="33" t="s">
        <v>8</v>
      </c>
      <c r="E42" s="22" t="s">
        <v>9</v>
      </c>
      <c r="F42" s="24" t="s">
        <v>10</v>
      </c>
      <c r="G42" s="23" t="s">
        <v>11</v>
      </c>
      <c r="H42" s="25" t="s">
        <v>12</v>
      </c>
      <c r="J42" s="6" t="s">
        <v>4</v>
      </c>
      <c r="K42" s="9">
        <v>45566</v>
      </c>
      <c r="L42" s="66">
        <v>45573</v>
      </c>
      <c r="M42" s="66">
        <v>45577</v>
      </c>
      <c r="N42" s="66">
        <v>45582</v>
      </c>
      <c r="O42" s="66">
        <v>45589</v>
      </c>
      <c r="P42" s="66">
        <v>45594</v>
      </c>
      <c r="Q42" s="66"/>
      <c r="R42" s="66"/>
      <c r="S42" s="66"/>
      <c r="T42" s="66"/>
      <c r="U42" s="71"/>
      <c r="W42" s="6" t="s">
        <v>4</v>
      </c>
      <c r="X42" s="9"/>
      <c r="Y42" s="4"/>
      <c r="Z42" s="4"/>
      <c r="AA42" s="4"/>
      <c r="AB42" s="4"/>
      <c r="AC42" s="5"/>
      <c r="AE42" s="6" t="s">
        <v>4</v>
      </c>
      <c r="AF42" s="9"/>
      <c r="AG42" s="4"/>
      <c r="AH42" s="4"/>
      <c r="AI42" s="4"/>
      <c r="AJ42" s="4"/>
      <c r="AK42" s="5"/>
    </row>
    <row r="43" spans="1:37" ht="15.75" thickBot="1" x14ac:dyDescent="0.3">
      <c r="A43" s="99"/>
      <c r="B43" s="26">
        <v>17651</v>
      </c>
      <c r="C43" s="27"/>
      <c r="D43" s="27"/>
      <c r="E43" s="27">
        <v>20492</v>
      </c>
      <c r="F43" s="27">
        <f>SUM(C43-B43)</f>
        <v>-17651</v>
      </c>
      <c r="G43" s="20">
        <f>SUM(E43-D43)</f>
        <v>20492</v>
      </c>
      <c r="H43" s="21">
        <f>SUM(F43:G43)</f>
        <v>2841</v>
      </c>
      <c r="J43" s="7" t="s">
        <v>22</v>
      </c>
      <c r="K43" s="10">
        <v>248.45</v>
      </c>
      <c r="L43" s="11">
        <v>273.45999999999998</v>
      </c>
      <c r="M43" s="11">
        <v>276.02</v>
      </c>
      <c r="N43" s="11">
        <v>241.04</v>
      </c>
      <c r="O43" s="11">
        <v>248.84</v>
      </c>
      <c r="P43" s="11">
        <v>278.04000000000002</v>
      </c>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1565.85</v>
      </c>
      <c r="AB44" s="8" t="s">
        <v>23</v>
      </c>
      <c r="AC44" s="13">
        <f>SUM(X43:AC43)</f>
        <v>0</v>
      </c>
      <c r="AJ44" s="8" t="s">
        <v>23</v>
      </c>
      <c r="AK44" s="13">
        <f>SUM(AF43:AK43)</f>
        <v>0</v>
      </c>
    </row>
    <row r="45" spans="1:37" ht="15.75" thickBot="1" x14ac:dyDescent="0.3">
      <c r="A45" s="19"/>
      <c r="B45" s="97" t="s">
        <v>20</v>
      </c>
      <c r="C45" s="97"/>
      <c r="D45" s="97"/>
      <c r="E45" s="97"/>
      <c r="F45" s="97"/>
      <c r="G45" s="97"/>
      <c r="H45" s="97"/>
      <c r="J45" s="98" t="s">
        <v>20</v>
      </c>
      <c r="K45" s="98"/>
      <c r="L45" s="98"/>
      <c r="M45" s="98"/>
      <c r="N45" s="98"/>
      <c r="O45" s="98"/>
      <c r="P45" s="98"/>
      <c r="Q45" s="98"/>
      <c r="R45" s="98"/>
      <c r="S45" s="98"/>
      <c r="T45" s="98"/>
      <c r="U45" s="98"/>
      <c r="W45" s="95" t="str">
        <f>J45</f>
        <v>Novembro</v>
      </c>
      <c r="X45" s="95"/>
      <c r="Y45" s="95"/>
      <c r="Z45" s="95"/>
      <c r="AA45" s="95"/>
      <c r="AB45" s="95"/>
      <c r="AC45" s="95"/>
      <c r="AE45" s="96" t="str">
        <f>W45</f>
        <v>Novembro</v>
      </c>
      <c r="AF45" s="96"/>
      <c r="AG45" s="96"/>
      <c r="AH45" s="96"/>
      <c r="AI45" s="96"/>
      <c r="AJ45" s="96"/>
      <c r="AK45" s="96"/>
    </row>
    <row r="46" spans="1:37" ht="15.75" thickBot="1" x14ac:dyDescent="0.3">
      <c r="A46" s="99" t="s">
        <v>5</v>
      </c>
      <c r="B46" s="34" t="s">
        <v>6</v>
      </c>
      <c r="C46" s="22" t="s">
        <v>7</v>
      </c>
      <c r="D46" s="33" t="s">
        <v>8</v>
      </c>
      <c r="E46" s="22" t="s">
        <v>9</v>
      </c>
      <c r="F46" s="24" t="s">
        <v>10</v>
      </c>
      <c r="G46" s="23" t="s">
        <v>11</v>
      </c>
      <c r="H46" s="25" t="s">
        <v>12</v>
      </c>
      <c r="J46" s="6" t="s">
        <v>4</v>
      </c>
      <c r="K46" s="9">
        <v>45601</v>
      </c>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9"/>
      <c r="B47" s="26"/>
      <c r="C47" s="27"/>
      <c r="D47" s="27">
        <v>21410</v>
      </c>
      <c r="E47" s="27">
        <v>22450</v>
      </c>
      <c r="F47" s="27">
        <f>SUM(C47-B47)</f>
        <v>0</v>
      </c>
      <c r="G47" s="20">
        <f>SUM(E47-D47)</f>
        <v>1040</v>
      </c>
      <c r="H47" s="21">
        <f>SUM(F47:G47)</f>
        <v>1040</v>
      </c>
      <c r="J47" s="7" t="s">
        <v>22</v>
      </c>
      <c r="K47" s="10">
        <v>245.01</v>
      </c>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245.01</v>
      </c>
      <c r="AB48" s="8" t="s">
        <v>23</v>
      </c>
      <c r="AC48" s="13">
        <f>SUM(X47:AC47)</f>
        <v>0</v>
      </c>
      <c r="AJ48" s="8" t="s">
        <v>23</v>
      </c>
      <c r="AK48" s="13">
        <f>SUM(AF47:AK47)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W49" s="95" t="str">
        <f>J49</f>
        <v>Dezembro</v>
      </c>
      <c r="X49" s="95"/>
      <c r="Y49" s="95"/>
      <c r="Z49" s="95"/>
      <c r="AA49" s="95"/>
      <c r="AB49" s="95"/>
      <c r="AC49" s="95"/>
      <c r="AE49" s="96" t="str">
        <f>W49</f>
        <v>Dezembro</v>
      </c>
      <c r="AF49" s="96"/>
      <c r="AG49" s="96"/>
      <c r="AH49" s="96"/>
      <c r="AI49" s="96"/>
      <c r="AJ49" s="96"/>
      <c r="AK49" s="96"/>
    </row>
    <row r="50" spans="1:40" ht="15.75" thickBot="1" x14ac:dyDescent="0.3">
      <c r="A50" s="99" t="s">
        <v>5</v>
      </c>
      <c r="B50" s="34" t="s">
        <v>6</v>
      </c>
      <c r="C50" s="22" t="s">
        <v>7</v>
      </c>
      <c r="D50" s="33" t="s">
        <v>8</v>
      </c>
      <c r="E50" s="22" t="s">
        <v>9</v>
      </c>
      <c r="F50" s="24" t="s">
        <v>10</v>
      </c>
      <c r="G50" s="23" t="s">
        <v>11</v>
      </c>
      <c r="H50" s="25" t="s">
        <v>12</v>
      </c>
      <c r="J50" s="6" t="s">
        <v>4</v>
      </c>
      <c r="K50" s="9">
        <v>45629</v>
      </c>
      <c r="L50" s="66">
        <v>45635</v>
      </c>
      <c r="M50" s="4"/>
      <c r="N50" s="4"/>
      <c r="O50" s="4"/>
      <c r="P50" s="4"/>
      <c r="Q50" s="4"/>
      <c r="R50" s="4"/>
      <c r="S50" s="4"/>
      <c r="T50" s="4"/>
      <c r="U50" s="5"/>
      <c r="W50" s="6" t="s">
        <v>4</v>
      </c>
      <c r="X50" s="9"/>
      <c r="Y50" s="4"/>
      <c r="Z50" s="4"/>
      <c r="AA50" s="4"/>
      <c r="AB50" s="4"/>
      <c r="AC50" s="5"/>
      <c r="AE50" s="6" t="s">
        <v>4</v>
      </c>
      <c r="AF50" s="9"/>
      <c r="AG50" s="4"/>
      <c r="AH50" s="4"/>
      <c r="AI50" s="4"/>
      <c r="AJ50" s="4"/>
      <c r="AK50" s="5"/>
    </row>
    <row r="51" spans="1:40" ht="15.75" thickBot="1" x14ac:dyDescent="0.3">
      <c r="A51" s="99"/>
      <c r="B51" s="26">
        <v>22528</v>
      </c>
      <c r="C51" s="27">
        <v>23522</v>
      </c>
      <c r="D51" s="27">
        <v>23522</v>
      </c>
      <c r="E51" s="26">
        <v>23901</v>
      </c>
      <c r="F51" s="27">
        <f>SUM(C51-B51)</f>
        <v>994</v>
      </c>
      <c r="G51" s="20">
        <f>SUM(E51-D51)</f>
        <v>379</v>
      </c>
      <c r="H51" s="21">
        <f>SUM(F51:G51)</f>
        <v>1373</v>
      </c>
      <c r="J51" s="7" t="s">
        <v>22</v>
      </c>
      <c r="K51" s="10">
        <v>233.04</v>
      </c>
      <c r="L51" s="11">
        <v>275</v>
      </c>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40" x14ac:dyDescent="0.25">
      <c r="J52" s="8"/>
      <c r="T52" s="8" t="s">
        <v>23</v>
      </c>
      <c r="U52" s="13">
        <f>SUM(K51:U51)</f>
        <v>508.03999999999996</v>
      </c>
      <c r="AB52" s="8" t="s">
        <v>23</v>
      </c>
      <c r="AC52" s="13">
        <f>SUM(X51:AC51)</f>
        <v>0</v>
      </c>
      <c r="AJ52" s="8" t="s">
        <v>23</v>
      </c>
      <c r="AK52" s="13">
        <f>SUM(AF51:AK51)</f>
        <v>0</v>
      </c>
    </row>
    <row r="53" spans="1:40" ht="15.75" thickBot="1" x14ac:dyDescent="0.3">
      <c r="A53" s="19"/>
      <c r="B53" s="97" t="s">
        <v>102</v>
      </c>
      <c r="C53" s="97"/>
      <c r="D53" s="97"/>
      <c r="E53" s="97"/>
      <c r="F53" s="97"/>
      <c r="G53" s="97"/>
      <c r="H53" s="97"/>
      <c r="J53" s="98" t="s">
        <v>102</v>
      </c>
      <c r="K53" s="98"/>
      <c r="L53" s="98"/>
      <c r="M53" s="98"/>
      <c r="N53" s="98"/>
      <c r="O53" s="98"/>
      <c r="P53" s="98"/>
      <c r="Q53" s="98"/>
      <c r="R53" s="98"/>
      <c r="S53" s="98"/>
      <c r="T53" s="98"/>
      <c r="U53" s="98"/>
      <c r="W53" s="95" t="str">
        <f>J53</f>
        <v>Janeiro</v>
      </c>
      <c r="X53" s="95"/>
      <c r="Y53" s="95"/>
      <c r="Z53" s="95"/>
      <c r="AA53" s="95"/>
      <c r="AB53" s="95"/>
      <c r="AC53" s="95"/>
      <c r="AE53" s="96" t="str">
        <f>W53</f>
        <v>Janeiro</v>
      </c>
      <c r="AF53" s="96"/>
      <c r="AG53" s="96"/>
      <c r="AH53" s="96"/>
      <c r="AI53" s="96"/>
      <c r="AJ53" s="96"/>
      <c r="AK53" s="96"/>
    </row>
    <row r="54" spans="1:40" ht="15.75" thickBot="1" x14ac:dyDescent="0.3">
      <c r="A54" s="99" t="s">
        <v>5</v>
      </c>
      <c r="B54" s="34" t="s">
        <v>6</v>
      </c>
      <c r="C54" s="22" t="s">
        <v>7</v>
      </c>
      <c r="D54" s="33" t="s">
        <v>8</v>
      </c>
      <c r="E54" s="22" t="s">
        <v>9</v>
      </c>
      <c r="F54" s="24" t="s">
        <v>10</v>
      </c>
      <c r="G54" s="23" t="s">
        <v>11</v>
      </c>
      <c r="H54" s="25" t="s">
        <v>12</v>
      </c>
      <c r="J54" s="6" t="s">
        <v>4</v>
      </c>
      <c r="K54" s="9">
        <v>45666</v>
      </c>
      <c r="L54" s="66">
        <v>45671</v>
      </c>
      <c r="M54" s="66">
        <v>45678</v>
      </c>
      <c r="N54" s="66">
        <v>45680</v>
      </c>
      <c r="O54" s="4"/>
      <c r="P54" s="4"/>
      <c r="Q54" s="4"/>
      <c r="R54" s="4"/>
      <c r="S54" s="4"/>
      <c r="T54" s="4"/>
      <c r="U54" s="5"/>
      <c r="W54" s="6" t="s">
        <v>4</v>
      </c>
      <c r="X54" s="9"/>
      <c r="Y54" s="4"/>
      <c r="Z54" s="4"/>
      <c r="AA54" s="4"/>
      <c r="AB54" s="4"/>
      <c r="AC54" s="5"/>
      <c r="AE54" s="6" t="s">
        <v>4</v>
      </c>
      <c r="AF54" s="9"/>
      <c r="AG54" s="4"/>
      <c r="AH54" s="4"/>
      <c r="AI54" s="4"/>
      <c r="AJ54" s="4"/>
      <c r="AK54" s="5"/>
    </row>
    <row r="55" spans="1:40" ht="15.75" thickBot="1" x14ac:dyDescent="0.3">
      <c r="A55" s="99"/>
      <c r="B55" s="26">
        <v>23901</v>
      </c>
      <c r="C55" s="27">
        <v>24840</v>
      </c>
      <c r="D55" s="27">
        <v>24840</v>
      </c>
      <c r="E55" s="27">
        <v>25993</v>
      </c>
      <c r="F55" s="27">
        <f>SUM(C55-B55)</f>
        <v>939</v>
      </c>
      <c r="G55" s="20">
        <f>SUM(E55-D55)</f>
        <v>1153</v>
      </c>
      <c r="H55" s="21">
        <f>SUM(F55:G55)</f>
        <v>2092</v>
      </c>
      <c r="J55" s="7" t="s">
        <v>22</v>
      </c>
      <c r="K55" s="10">
        <v>240.05</v>
      </c>
      <c r="L55" s="11">
        <v>279.45</v>
      </c>
      <c r="M55" s="11">
        <v>303.33999999999997</v>
      </c>
      <c r="N55" s="11">
        <v>123.01</v>
      </c>
      <c r="O55" s="11"/>
      <c r="P55" s="11"/>
      <c r="Q55" s="11"/>
      <c r="R55" s="11"/>
      <c r="S55" s="11"/>
      <c r="T55" s="11"/>
      <c r="U55" s="12"/>
      <c r="W55" s="7" t="s">
        <v>22</v>
      </c>
      <c r="X55" s="10"/>
      <c r="Y55" s="11"/>
      <c r="Z55" s="11"/>
      <c r="AA55" s="11"/>
      <c r="AB55" s="11"/>
      <c r="AC55" s="12"/>
      <c r="AE55" s="7" t="s">
        <v>22</v>
      </c>
      <c r="AF55" s="10"/>
      <c r="AG55" s="11"/>
      <c r="AH55" s="11"/>
      <c r="AI55" s="11"/>
      <c r="AJ55" s="11"/>
      <c r="AK55" s="12"/>
    </row>
    <row r="56" spans="1:40" x14ac:dyDescent="0.25">
      <c r="J56" s="8"/>
      <c r="T56" s="8" t="s">
        <v>23</v>
      </c>
      <c r="U56" s="13">
        <f>SUM(K55:U55)</f>
        <v>945.84999999999991</v>
      </c>
      <c r="AB56" s="8" t="s">
        <v>23</v>
      </c>
      <c r="AC56" s="13">
        <f>SUM(X55:AC55)</f>
        <v>0</v>
      </c>
      <c r="AJ56" s="8" t="s">
        <v>23</v>
      </c>
      <c r="AK56" s="13">
        <f>SUM(AF55:AK55)</f>
        <v>0</v>
      </c>
    </row>
    <row r="57" spans="1:40" ht="15.75" thickBot="1" x14ac:dyDescent="0.3">
      <c r="A57" s="19"/>
      <c r="B57" s="97" t="s">
        <v>3</v>
      </c>
      <c r="C57" s="97"/>
      <c r="D57" s="97"/>
      <c r="E57" s="97"/>
      <c r="F57" s="97"/>
      <c r="G57" s="97"/>
      <c r="H57" s="97"/>
      <c r="J57" s="98" t="s">
        <v>3</v>
      </c>
      <c r="K57" s="98"/>
      <c r="L57" s="98"/>
      <c r="M57" s="98"/>
      <c r="N57" s="98"/>
      <c r="O57" s="98"/>
      <c r="P57" s="98"/>
      <c r="Q57" s="98"/>
      <c r="R57" s="98"/>
      <c r="S57" s="98"/>
      <c r="T57" s="98"/>
      <c r="U57" s="98"/>
      <c r="W57" s="95" t="str">
        <f>J57</f>
        <v>Fevereiro</v>
      </c>
      <c r="X57" s="95"/>
      <c r="Y57" s="95"/>
      <c r="Z57" s="95"/>
      <c r="AA57" s="95"/>
      <c r="AB57" s="95"/>
      <c r="AC57" s="95"/>
      <c r="AE57" s="96" t="str">
        <f>W57</f>
        <v>Fevereiro</v>
      </c>
      <c r="AF57" s="96"/>
      <c r="AG57" s="96"/>
      <c r="AH57" s="96"/>
      <c r="AI57" s="96"/>
      <c r="AJ57" s="96"/>
      <c r="AK57" s="96"/>
    </row>
    <row r="58" spans="1:40" ht="15.75" thickBot="1" x14ac:dyDescent="0.3">
      <c r="A58" s="99" t="s">
        <v>5</v>
      </c>
      <c r="B58" s="34" t="s">
        <v>6</v>
      </c>
      <c r="C58" s="22" t="s">
        <v>7</v>
      </c>
      <c r="D58" s="33" t="s">
        <v>8</v>
      </c>
      <c r="E58" s="22" t="s">
        <v>9</v>
      </c>
      <c r="F58" s="24" t="s">
        <v>10</v>
      </c>
      <c r="G58" s="23" t="s">
        <v>11</v>
      </c>
      <c r="H58" s="25" t="s">
        <v>12</v>
      </c>
      <c r="J58" s="6" t="s">
        <v>4</v>
      </c>
      <c r="K58" s="9">
        <v>45692</v>
      </c>
      <c r="L58" s="66">
        <v>45694</v>
      </c>
      <c r="M58" s="9">
        <v>45699</v>
      </c>
      <c r="N58" s="66">
        <v>45701</v>
      </c>
      <c r="O58" s="66">
        <v>45706</v>
      </c>
      <c r="P58" s="66">
        <v>45708</v>
      </c>
      <c r="Q58" s="66">
        <v>45713</v>
      </c>
      <c r="R58" s="66">
        <v>45715</v>
      </c>
      <c r="S58" s="4"/>
      <c r="T58" s="4"/>
      <c r="U58" s="5"/>
      <c r="W58" s="6" t="s">
        <v>4</v>
      </c>
      <c r="X58" s="9"/>
      <c r="Y58" s="4"/>
      <c r="Z58" s="4"/>
      <c r="AA58" s="4"/>
      <c r="AB58" s="4"/>
      <c r="AC58" s="5"/>
      <c r="AE58" s="6" t="s">
        <v>4</v>
      </c>
      <c r="AF58" s="9"/>
      <c r="AG58" s="4"/>
      <c r="AH58" s="4"/>
      <c r="AI58" s="4"/>
      <c r="AJ58" s="4"/>
      <c r="AK58" s="5"/>
    </row>
    <row r="59" spans="1:40" ht="15.75" thickBot="1" x14ac:dyDescent="0.3">
      <c r="A59" s="99"/>
      <c r="B59" s="26">
        <v>25993</v>
      </c>
      <c r="C59" s="27">
        <v>26990</v>
      </c>
      <c r="D59" s="27">
        <v>26990</v>
      </c>
      <c r="E59" s="27">
        <v>27222</v>
      </c>
      <c r="F59" s="27">
        <f>SUM(C59-B59)</f>
        <v>997</v>
      </c>
      <c r="G59" s="20">
        <f>SUM(E59-D59)</f>
        <v>232</v>
      </c>
      <c r="H59" s="21">
        <f>SUM(F59:G59)</f>
        <v>1229</v>
      </c>
      <c r="J59" s="7" t="s">
        <v>22</v>
      </c>
      <c r="K59" s="10">
        <v>291.54000000000002</v>
      </c>
      <c r="L59" s="11">
        <v>159.81</v>
      </c>
      <c r="M59" s="10">
        <v>175.52</v>
      </c>
      <c r="N59" s="11">
        <v>158.07</v>
      </c>
      <c r="O59" s="11">
        <v>264</v>
      </c>
      <c r="P59" s="11">
        <v>126</v>
      </c>
      <c r="Q59" s="11">
        <v>128.77000000000001</v>
      </c>
      <c r="R59" s="11">
        <v>102.28</v>
      </c>
      <c r="S59" s="11"/>
      <c r="T59" s="11"/>
      <c r="U59" s="12"/>
      <c r="W59" s="7" t="s">
        <v>22</v>
      </c>
      <c r="X59" s="10"/>
      <c r="Y59" s="11"/>
      <c r="Z59" s="11"/>
      <c r="AA59" s="11"/>
      <c r="AB59" s="11"/>
      <c r="AC59" s="12"/>
      <c r="AE59" s="7" t="s">
        <v>22</v>
      </c>
      <c r="AF59" s="10"/>
      <c r="AG59" s="11"/>
      <c r="AH59" s="11"/>
      <c r="AI59" s="11"/>
      <c r="AJ59" s="11"/>
      <c r="AK59" s="12"/>
    </row>
    <row r="60" spans="1:40" x14ac:dyDescent="0.25">
      <c r="J60" s="8"/>
      <c r="T60" s="8" t="s">
        <v>23</v>
      </c>
      <c r="U60" s="13">
        <f>SUM(K59:U59)</f>
        <v>1405.99</v>
      </c>
      <c r="AB60" s="8" t="s">
        <v>23</v>
      </c>
      <c r="AC60" s="13">
        <f>SUM(X59:AC59)</f>
        <v>0</v>
      </c>
      <c r="AJ60" s="8" t="s">
        <v>23</v>
      </c>
      <c r="AK60" s="13">
        <f>SUM(AF59:AK59)</f>
        <v>0</v>
      </c>
    </row>
    <row r="61" spans="1:40" ht="15.75" thickBot="1" x14ac:dyDescent="0.3">
      <c r="A61" s="19"/>
      <c r="B61" s="97" t="s">
        <v>13</v>
      </c>
      <c r="C61" s="97"/>
      <c r="D61" s="97"/>
      <c r="E61" s="97"/>
      <c r="F61" s="97"/>
      <c r="G61" s="97"/>
      <c r="H61" s="97"/>
      <c r="J61" s="98" t="s">
        <v>13</v>
      </c>
      <c r="K61" s="98"/>
      <c r="L61" s="98"/>
      <c r="M61" s="98"/>
      <c r="N61" s="98"/>
      <c r="O61" s="98"/>
      <c r="P61" s="98"/>
      <c r="Q61" s="98"/>
      <c r="R61" s="98"/>
      <c r="S61" s="98"/>
      <c r="T61" s="98"/>
      <c r="U61" s="98"/>
      <c r="Y61" s="95" t="str">
        <f>J61</f>
        <v>Março</v>
      </c>
      <c r="Z61" s="95"/>
      <c r="AA61" s="95"/>
      <c r="AB61" s="95"/>
      <c r="AC61" s="95"/>
      <c r="AD61" s="95"/>
      <c r="AE61" s="95"/>
      <c r="AH61" s="96" t="str">
        <f>Y61</f>
        <v>Março</v>
      </c>
      <c r="AI61" s="96"/>
      <c r="AJ61" s="96"/>
      <c r="AK61" s="96"/>
      <c r="AL61" s="96"/>
      <c r="AM61" s="96"/>
      <c r="AN61" s="96"/>
    </row>
    <row r="62" spans="1:40" ht="15.75" thickBot="1" x14ac:dyDescent="0.3">
      <c r="A62" s="99" t="s">
        <v>5</v>
      </c>
      <c r="B62" s="34" t="s">
        <v>6</v>
      </c>
      <c r="C62" s="22" t="s">
        <v>7</v>
      </c>
      <c r="D62" s="33" t="s">
        <v>8</v>
      </c>
      <c r="E62" s="22" t="s">
        <v>9</v>
      </c>
      <c r="F62" s="24" t="s">
        <v>10</v>
      </c>
      <c r="G62" s="23" t="s">
        <v>11</v>
      </c>
      <c r="H62" s="25" t="s">
        <v>12</v>
      </c>
      <c r="J62" s="6" t="s">
        <v>4</v>
      </c>
      <c r="K62" s="9">
        <v>45722</v>
      </c>
      <c r="L62" s="66">
        <v>45727</v>
      </c>
      <c r="M62" s="66">
        <v>45729</v>
      </c>
      <c r="N62" s="66">
        <v>45734</v>
      </c>
      <c r="O62" s="4"/>
      <c r="P62" s="4"/>
      <c r="Q62" s="4"/>
      <c r="R62" s="4"/>
      <c r="S62" s="4"/>
      <c r="T62" s="4"/>
      <c r="U62" s="5"/>
      <c r="Y62" s="6" t="s">
        <v>4</v>
      </c>
      <c r="Z62" s="9">
        <v>45739</v>
      </c>
      <c r="AA62" s="66">
        <v>45746</v>
      </c>
      <c r="AB62" s="4"/>
      <c r="AC62" s="4"/>
      <c r="AD62" s="4"/>
      <c r="AE62" s="5"/>
      <c r="AH62" s="6" t="s">
        <v>4</v>
      </c>
      <c r="AI62" s="9"/>
      <c r="AJ62" s="4"/>
      <c r="AK62" s="4"/>
      <c r="AL62" s="4"/>
      <c r="AM62" s="4"/>
      <c r="AN62" s="5"/>
    </row>
    <row r="63" spans="1:40" ht="15.75" thickBot="1" x14ac:dyDescent="0.3">
      <c r="A63" s="99"/>
      <c r="B63" s="26">
        <v>27222</v>
      </c>
      <c r="C63" s="27">
        <v>28200</v>
      </c>
      <c r="D63" s="27">
        <v>28200</v>
      </c>
      <c r="E63" s="27">
        <v>29320</v>
      </c>
      <c r="F63" s="27">
        <f>SUM(C63-B63)</f>
        <v>978</v>
      </c>
      <c r="G63" s="20">
        <f>SUM(E63-D63)</f>
        <v>1120</v>
      </c>
      <c r="H63" s="21">
        <f>SUM(F63:G63)</f>
        <v>2098</v>
      </c>
      <c r="J63" s="7" t="s">
        <v>22</v>
      </c>
      <c r="K63" s="10">
        <v>145.21</v>
      </c>
      <c r="L63" s="11">
        <v>208.28</v>
      </c>
      <c r="M63" s="11">
        <v>115.01</v>
      </c>
      <c r="N63" s="11">
        <v>219.06</v>
      </c>
      <c r="O63" s="11"/>
      <c r="P63" s="11"/>
      <c r="Q63" s="11"/>
      <c r="R63" s="11"/>
      <c r="S63" s="11"/>
      <c r="T63" s="11"/>
      <c r="U63" s="12"/>
      <c r="Y63" s="7" t="s">
        <v>22</v>
      </c>
      <c r="Z63" s="10">
        <v>50</v>
      </c>
      <c r="AA63" s="11">
        <v>50</v>
      </c>
      <c r="AB63" s="11"/>
      <c r="AC63" s="11"/>
      <c r="AD63" s="11"/>
      <c r="AE63" s="12"/>
      <c r="AH63" s="7" t="s">
        <v>22</v>
      </c>
      <c r="AI63" s="10"/>
      <c r="AJ63" s="11"/>
      <c r="AK63" s="11"/>
      <c r="AL63" s="11"/>
      <c r="AM63" s="11"/>
      <c r="AN63" s="12"/>
    </row>
    <row r="64" spans="1:40" x14ac:dyDescent="0.25">
      <c r="J64" s="8"/>
      <c r="T64" s="8" t="s">
        <v>23</v>
      </c>
      <c r="U64" s="13">
        <f>SUM(K63:U63)</f>
        <v>687.56</v>
      </c>
      <c r="AD64" s="8" t="s">
        <v>23</v>
      </c>
      <c r="AE64" s="13">
        <f>SUM(Z63:AE63)</f>
        <v>100</v>
      </c>
      <c r="AM64" s="8" t="s">
        <v>23</v>
      </c>
      <c r="AN64" s="13">
        <f>SUM(AI63:AN63)</f>
        <v>0</v>
      </c>
    </row>
    <row r="65" spans="1:40" ht="15.75" thickBot="1" x14ac:dyDescent="0.3">
      <c r="A65" s="19"/>
      <c r="B65" s="97" t="s">
        <v>14</v>
      </c>
      <c r="C65" s="97"/>
      <c r="D65" s="97"/>
      <c r="E65" s="97"/>
      <c r="F65" s="97"/>
      <c r="G65" s="97"/>
      <c r="H65" s="97"/>
      <c r="J65" s="98" t="s">
        <v>14</v>
      </c>
      <c r="K65" s="98"/>
      <c r="L65" s="98"/>
      <c r="M65" s="98"/>
      <c r="N65" s="98"/>
      <c r="O65" s="98"/>
      <c r="P65" s="98"/>
      <c r="Q65" s="98"/>
      <c r="R65" s="98"/>
      <c r="S65" s="98"/>
      <c r="T65" s="98"/>
      <c r="U65" s="98"/>
      <c r="Y65" s="95" t="str">
        <f>J65</f>
        <v>Abril</v>
      </c>
      <c r="Z65" s="95"/>
      <c r="AA65" s="95"/>
      <c r="AB65" s="95"/>
      <c r="AC65" s="95"/>
      <c r="AD65" s="95"/>
      <c r="AE65" s="95"/>
      <c r="AH65" s="96" t="str">
        <f>Y65</f>
        <v>Abril</v>
      </c>
      <c r="AI65" s="96"/>
      <c r="AJ65" s="96"/>
      <c r="AK65" s="96"/>
      <c r="AL65" s="96"/>
      <c r="AM65" s="96"/>
      <c r="AN65" s="96"/>
    </row>
    <row r="66" spans="1:40" ht="15.75" thickBot="1" x14ac:dyDescent="0.3">
      <c r="A66" s="99" t="s">
        <v>5</v>
      </c>
      <c r="B66" s="34" t="s">
        <v>6</v>
      </c>
      <c r="C66" s="22" t="s">
        <v>7</v>
      </c>
      <c r="D66" s="33" t="s">
        <v>8</v>
      </c>
      <c r="E66" s="22" t="s">
        <v>9</v>
      </c>
      <c r="F66" s="24" t="s">
        <v>10</v>
      </c>
      <c r="G66" s="23" t="s">
        <v>11</v>
      </c>
      <c r="H66" s="25" t="s">
        <v>12</v>
      </c>
      <c r="J66" s="6" t="s">
        <v>4</v>
      </c>
      <c r="K66" s="9">
        <v>45748</v>
      </c>
      <c r="L66" s="9">
        <v>45750</v>
      </c>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9"/>
      <c r="B67" s="27">
        <v>29320</v>
      </c>
      <c r="C67" s="27">
        <v>30265</v>
      </c>
      <c r="D67" s="27">
        <v>30265</v>
      </c>
      <c r="E67" s="27">
        <v>31240</v>
      </c>
      <c r="F67" s="27">
        <f>SUM(C67-B67)</f>
        <v>945</v>
      </c>
      <c r="G67" s="20">
        <f>SUM(E67-D67)</f>
        <v>975</v>
      </c>
      <c r="H67" s="21">
        <f>SUM(F67:G67)</f>
        <v>1920</v>
      </c>
      <c r="J67" s="7" t="s">
        <v>22</v>
      </c>
      <c r="K67" s="30">
        <v>252.15</v>
      </c>
      <c r="L67" s="30">
        <v>163.22999999999999</v>
      </c>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415.38</v>
      </c>
      <c r="AD68" s="8" t="s">
        <v>23</v>
      </c>
      <c r="AE68" s="13">
        <f>SUM(Z67:AE67)</f>
        <v>0</v>
      </c>
      <c r="AM68" s="8" t="s">
        <v>23</v>
      </c>
      <c r="AN68" s="13">
        <f>SUM(AI67:AN67)</f>
        <v>0</v>
      </c>
    </row>
    <row r="69" spans="1:40" ht="15.75" thickBot="1" x14ac:dyDescent="0.3">
      <c r="A69" s="19"/>
      <c r="B69" s="97" t="s">
        <v>15</v>
      </c>
      <c r="C69" s="97"/>
      <c r="D69" s="97"/>
      <c r="E69" s="97"/>
      <c r="F69" s="97"/>
      <c r="G69" s="97"/>
      <c r="H69" s="97"/>
      <c r="J69" s="98" t="s">
        <v>15</v>
      </c>
      <c r="K69" s="98"/>
      <c r="L69" s="98"/>
      <c r="M69" s="98"/>
      <c r="N69" s="98"/>
      <c r="O69" s="98"/>
      <c r="P69" s="98"/>
      <c r="Q69" s="98"/>
      <c r="R69" s="98"/>
      <c r="S69" s="98"/>
      <c r="T69" s="98"/>
      <c r="U69" s="98"/>
      <c r="Y69" s="95" t="str">
        <f>J69</f>
        <v>Maio</v>
      </c>
      <c r="Z69" s="95"/>
      <c r="AA69" s="95"/>
      <c r="AB69" s="95"/>
      <c r="AC69" s="95"/>
      <c r="AD69" s="95"/>
      <c r="AE69" s="95"/>
      <c r="AH69" s="96" t="str">
        <f>Y69</f>
        <v>Maio</v>
      </c>
      <c r="AI69" s="96"/>
      <c r="AJ69" s="96"/>
      <c r="AK69" s="96"/>
      <c r="AL69" s="96"/>
      <c r="AM69" s="96"/>
      <c r="AN69" s="96"/>
    </row>
    <row r="70" spans="1:40" ht="15.75" thickBot="1" x14ac:dyDescent="0.3">
      <c r="A70" s="99"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9"/>
      <c r="B71" s="27">
        <v>31240</v>
      </c>
      <c r="C71" s="27">
        <v>32268</v>
      </c>
      <c r="D71" s="27">
        <v>32268</v>
      </c>
      <c r="E71" s="27">
        <v>33670</v>
      </c>
      <c r="F71" s="27">
        <f>SUM(C71-B71)</f>
        <v>1028</v>
      </c>
      <c r="G71" s="20">
        <f>SUM(E71-D71)</f>
        <v>1402</v>
      </c>
      <c r="H71" s="21">
        <f>SUM(F71:G71)</f>
        <v>2430</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97" t="s">
        <v>24</v>
      </c>
      <c r="C73" s="97"/>
      <c r="D73" s="97"/>
      <c r="E73" s="97"/>
      <c r="F73" s="97"/>
      <c r="G73" s="97"/>
      <c r="H73" s="97"/>
      <c r="J73" s="98" t="s">
        <v>24</v>
      </c>
      <c r="K73" s="98"/>
      <c r="L73" s="98"/>
      <c r="M73" s="98"/>
      <c r="N73" s="98"/>
      <c r="O73" s="98"/>
      <c r="P73" s="98"/>
      <c r="Q73" s="98"/>
      <c r="R73" s="98"/>
      <c r="S73" s="98"/>
      <c r="T73" s="98"/>
      <c r="U73" s="98"/>
      <c r="Y73" s="95" t="str">
        <f>J73</f>
        <v>Junho</v>
      </c>
      <c r="Z73" s="95"/>
      <c r="AA73" s="95"/>
      <c r="AB73" s="95"/>
      <c r="AC73" s="95"/>
      <c r="AD73" s="95"/>
      <c r="AE73" s="95"/>
      <c r="AH73" s="96" t="str">
        <f>Y73</f>
        <v>Junho</v>
      </c>
      <c r="AI73" s="96"/>
      <c r="AJ73" s="96"/>
      <c r="AK73" s="96"/>
      <c r="AL73" s="96"/>
      <c r="AM73" s="96"/>
      <c r="AN73" s="96"/>
    </row>
    <row r="74" spans="1:40" ht="15.75" thickBot="1" x14ac:dyDescent="0.3">
      <c r="A74" s="99"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9"/>
      <c r="B75" s="27">
        <v>33670</v>
      </c>
      <c r="C75" s="27">
        <v>34425</v>
      </c>
      <c r="D75" s="27">
        <v>34425</v>
      </c>
      <c r="E75" s="27">
        <v>36649</v>
      </c>
      <c r="F75" s="27">
        <f>SUM(C75-B75)</f>
        <v>755</v>
      </c>
      <c r="G75" s="20">
        <f>SUM(E75-D75)</f>
        <v>2224</v>
      </c>
      <c r="H75" s="21">
        <f>SUM(F75:G75)</f>
        <v>2979</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97" t="s">
        <v>16</v>
      </c>
      <c r="C77" s="97"/>
      <c r="D77" s="97"/>
      <c r="E77" s="97"/>
      <c r="F77" s="97"/>
      <c r="G77" s="97"/>
      <c r="H77" s="97"/>
      <c r="J77" s="98" t="s">
        <v>16</v>
      </c>
      <c r="K77" s="98"/>
      <c r="L77" s="98"/>
      <c r="M77" s="98"/>
      <c r="N77" s="98"/>
      <c r="O77" s="98"/>
      <c r="P77" s="98"/>
      <c r="Q77" s="98"/>
      <c r="R77" s="98"/>
      <c r="S77" s="98"/>
      <c r="T77" s="98"/>
      <c r="U77" s="98"/>
      <c r="Y77" s="95" t="str">
        <f t="shared" ref="Y77" si="0">J77</f>
        <v>Julho</v>
      </c>
      <c r="Z77" s="95"/>
      <c r="AA77" s="95"/>
      <c r="AB77" s="95"/>
      <c r="AC77" s="95"/>
      <c r="AD77" s="95"/>
      <c r="AE77" s="95"/>
      <c r="AH77" s="96" t="str">
        <f t="shared" ref="AH77" si="1">Y77</f>
        <v>Julho</v>
      </c>
      <c r="AI77" s="96"/>
      <c r="AJ77" s="96"/>
      <c r="AK77" s="96"/>
      <c r="AL77" s="96"/>
      <c r="AM77" s="96"/>
      <c r="AN77" s="96"/>
    </row>
    <row r="78" spans="1:40" ht="15.75" thickBot="1" x14ac:dyDescent="0.3">
      <c r="A78" s="99" t="s">
        <v>5</v>
      </c>
      <c r="B78" s="34" t="s">
        <v>6</v>
      </c>
      <c r="C78" s="22" t="s">
        <v>7</v>
      </c>
      <c r="D78" s="33" t="s">
        <v>8</v>
      </c>
      <c r="E78" s="22" t="s">
        <v>9</v>
      </c>
      <c r="F78" s="24" t="s">
        <v>10</v>
      </c>
      <c r="G78" s="23" t="s">
        <v>11</v>
      </c>
      <c r="H78" s="25" t="s">
        <v>12</v>
      </c>
      <c r="J78" s="6" t="s">
        <v>4</v>
      </c>
      <c r="K78" s="9">
        <v>45844</v>
      </c>
      <c r="L78" s="66"/>
      <c r="M78" s="66"/>
      <c r="N78" s="66"/>
      <c r="O78" s="66"/>
      <c r="P78" s="66"/>
      <c r="Q78" s="66"/>
      <c r="R78" s="66"/>
      <c r="S78" s="4"/>
      <c r="T78" s="4"/>
      <c r="U78" s="5"/>
      <c r="Y78" s="6" t="s">
        <v>4</v>
      </c>
      <c r="Z78" s="9"/>
      <c r="AA78" s="4"/>
      <c r="AB78" s="4"/>
      <c r="AC78" s="4"/>
      <c r="AD78" s="4"/>
      <c r="AE78" s="5"/>
      <c r="AH78" s="6" t="s">
        <v>4</v>
      </c>
      <c r="AI78" s="9"/>
      <c r="AJ78" s="4"/>
      <c r="AK78" s="4"/>
      <c r="AL78" s="4"/>
      <c r="AM78" s="4"/>
      <c r="AN78" s="5"/>
    </row>
    <row r="79" spans="1:40" ht="15.75" thickBot="1" x14ac:dyDescent="0.3">
      <c r="A79" s="99"/>
      <c r="B79" s="26">
        <v>36649</v>
      </c>
      <c r="C79" s="27">
        <v>37160</v>
      </c>
      <c r="D79" s="27"/>
      <c r="E79" s="27"/>
      <c r="F79" s="27">
        <f t="shared" ref="F79" si="2">SUM(C79-B79)</f>
        <v>511</v>
      </c>
      <c r="G79" s="20">
        <f t="shared" ref="G79" si="3">SUM(E79-D79)</f>
        <v>0</v>
      </c>
      <c r="H79" s="21">
        <f t="shared" ref="H79" si="4">SUM(F79:G79)</f>
        <v>511</v>
      </c>
      <c r="J79" s="7" t="s">
        <v>22</v>
      </c>
      <c r="K79" s="10">
        <v>150</v>
      </c>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 t="shared" ref="U80" si="5">SUM(K79:U79)</f>
        <v>150</v>
      </c>
      <c r="AD80" s="8" t="s">
        <v>23</v>
      </c>
      <c r="AE80" s="13">
        <f t="shared" ref="AE80" si="6">SUM(Z79:AE79)</f>
        <v>0</v>
      </c>
      <c r="AM80" s="8" t="s">
        <v>23</v>
      </c>
      <c r="AN80" s="13">
        <f t="shared" ref="AN80" si="7">SUM(AI79:AN79)</f>
        <v>0</v>
      </c>
    </row>
  </sheetData>
  <mergeCells count="98">
    <mergeCell ref="B77:H77"/>
    <mergeCell ref="J77:U77"/>
    <mergeCell ref="Y77:AE77"/>
    <mergeCell ref="AH77:AN77"/>
    <mergeCell ref="A78:A79"/>
    <mergeCell ref="B73:H73"/>
    <mergeCell ref="J73:U73"/>
    <mergeCell ref="Y73:AE73"/>
    <mergeCell ref="AH73:AN73"/>
    <mergeCell ref="A74:A75"/>
    <mergeCell ref="B69:H69"/>
    <mergeCell ref="J69:U69"/>
    <mergeCell ref="Y69:AE69"/>
    <mergeCell ref="AH69:AN69"/>
    <mergeCell ref="A70:A71"/>
    <mergeCell ref="B65:H65"/>
    <mergeCell ref="J65:U65"/>
    <mergeCell ref="Y65:AE65"/>
    <mergeCell ref="AH65:AN65"/>
    <mergeCell ref="A66:A67"/>
    <mergeCell ref="B61:H61"/>
    <mergeCell ref="J61:U61"/>
    <mergeCell ref="Y61:AE61"/>
    <mergeCell ref="AH61:AN61"/>
    <mergeCell ref="A62:A63"/>
    <mergeCell ref="B53:H53"/>
    <mergeCell ref="J53:U53"/>
    <mergeCell ref="W53:AC53"/>
    <mergeCell ref="AE53:AK53"/>
    <mergeCell ref="A54:A5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57:H57"/>
    <mergeCell ref="J57:U57"/>
    <mergeCell ref="W57:AC57"/>
    <mergeCell ref="AE57:AK57"/>
    <mergeCell ref="A58:A59"/>
  </mergeCells>
  <pageMargins left="0.511811024" right="0.511811024" top="0.78740157499999996" bottom="0.78740157499999996" header="0.31496062000000002" footer="0.31496062000000002"/>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N76"/>
  <sheetViews>
    <sheetView showGridLines="0" topLeftCell="A41" workbookViewId="0">
      <selection activeCell="D59" sqref="D5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0.5703125" bestFit="1" customWidth="1"/>
    <col min="15" max="19" width="10.42578125" bestFit="1" customWidth="1"/>
    <col min="21" max="21" width="12.140625" bestFit="1" customWidth="1"/>
    <col min="24" max="25" width="10.42578125" bestFit="1" customWidth="1"/>
    <col min="27" max="27" width="10.5703125" bestFit="1" customWidth="1"/>
    <col min="29" max="29" width="12.1406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100" t="s">
        <v>93</v>
      </c>
      <c r="C2" s="100"/>
      <c r="D2" s="1" t="s">
        <v>1</v>
      </c>
      <c r="E2" s="100" t="s">
        <v>94</v>
      </c>
      <c r="F2" s="100"/>
      <c r="H2" t="s">
        <v>45</v>
      </c>
      <c r="I2" s="54"/>
    </row>
    <row r="3" spans="1:37" x14ac:dyDescent="0.25">
      <c r="A3" t="s">
        <v>106</v>
      </c>
      <c r="B3" s="112">
        <v>45689</v>
      </c>
      <c r="C3" s="113"/>
      <c r="D3" s="1" t="s">
        <v>1</v>
      </c>
      <c r="E3" s="113" t="s">
        <v>107</v>
      </c>
      <c r="F3" s="113"/>
      <c r="H3" t="s">
        <v>108</v>
      </c>
      <c r="I3" s="85">
        <v>45703</v>
      </c>
    </row>
    <row r="4" spans="1:37" x14ac:dyDescent="0.25">
      <c r="A4" t="s">
        <v>2</v>
      </c>
      <c r="B4" s="101"/>
      <c r="C4" s="101"/>
      <c r="D4" s="1" t="s">
        <v>29</v>
      </c>
      <c r="E4" s="100"/>
      <c r="F4" s="100"/>
      <c r="H4" t="s">
        <v>65</v>
      </c>
      <c r="I4" s="67">
        <v>45385</v>
      </c>
    </row>
    <row r="7" spans="1:37"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104" t="s">
        <v>25</v>
      </c>
      <c r="X7" s="104"/>
      <c r="Y7" s="104"/>
      <c r="Z7" s="104"/>
      <c r="AA7" s="104"/>
      <c r="AB7" s="104"/>
      <c r="AC7" s="104"/>
      <c r="AD7" s="2"/>
      <c r="AE7" s="104" t="s">
        <v>27</v>
      </c>
      <c r="AF7" s="104"/>
      <c r="AG7" s="104"/>
      <c r="AH7" s="104"/>
      <c r="AI7" s="104"/>
      <c r="AJ7" s="104"/>
      <c r="AK7" s="104"/>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7" t="s">
        <v>3</v>
      </c>
      <c r="C9" s="97"/>
      <c r="D9" s="97"/>
      <c r="E9" s="97"/>
      <c r="F9" s="97"/>
      <c r="G9" s="97"/>
      <c r="H9" s="97"/>
      <c r="J9" s="98" t="s">
        <v>3</v>
      </c>
      <c r="K9" s="98"/>
      <c r="L9" s="98"/>
      <c r="M9" s="98"/>
      <c r="N9" s="98"/>
      <c r="O9" s="98"/>
      <c r="P9" s="98"/>
      <c r="Q9" s="98"/>
      <c r="R9" s="98"/>
      <c r="S9" s="98"/>
      <c r="T9" s="98"/>
      <c r="U9" s="98"/>
      <c r="W9" s="95" t="s">
        <v>3</v>
      </c>
      <c r="X9" s="95"/>
      <c r="Y9" s="95"/>
      <c r="Z9" s="95"/>
      <c r="AA9" s="95"/>
      <c r="AB9" s="95"/>
      <c r="AC9" s="95"/>
      <c r="AE9" s="96" t="s">
        <v>3</v>
      </c>
      <c r="AF9" s="96"/>
      <c r="AG9" s="96"/>
      <c r="AH9" s="96"/>
      <c r="AI9" s="96"/>
      <c r="AJ9" s="96"/>
      <c r="AK9" s="96"/>
    </row>
    <row r="10" spans="1:37" ht="15.75" thickBot="1" x14ac:dyDescent="0.3">
      <c r="A10" s="99"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7" t="s">
        <v>13</v>
      </c>
      <c r="C13" s="97"/>
      <c r="D13" s="97"/>
      <c r="E13" s="97"/>
      <c r="F13" s="97"/>
      <c r="G13" s="97"/>
      <c r="H13" s="97"/>
      <c r="J13" s="98" t="s">
        <v>13</v>
      </c>
      <c r="K13" s="98"/>
      <c r="L13" s="98"/>
      <c r="M13" s="98"/>
      <c r="N13" s="98"/>
      <c r="O13" s="98"/>
      <c r="P13" s="98"/>
      <c r="Q13" s="98"/>
      <c r="R13" s="98"/>
      <c r="S13" s="98"/>
      <c r="T13" s="98"/>
      <c r="U13" s="98"/>
      <c r="W13" s="95" t="str">
        <f>J13</f>
        <v>Março</v>
      </c>
      <c r="X13" s="95"/>
      <c r="Y13" s="95"/>
      <c r="Z13" s="95"/>
      <c r="AA13" s="95"/>
      <c r="AB13" s="95"/>
      <c r="AC13" s="95"/>
      <c r="AE13" s="96" t="str">
        <f>W13</f>
        <v>Março</v>
      </c>
      <c r="AF13" s="96"/>
      <c r="AG13" s="96"/>
      <c r="AH13" s="96"/>
      <c r="AI13" s="96"/>
      <c r="AJ13" s="96"/>
      <c r="AK13" s="96"/>
    </row>
    <row r="14" spans="1:37" ht="15.75" thickBot="1" x14ac:dyDescent="0.3">
      <c r="A14" s="99"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97" t="s">
        <v>14</v>
      </c>
      <c r="C17" s="97"/>
      <c r="D17" s="97"/>
      <c r="E17" s="97"/>
      <c r="F17" s="97"/>
      <c r="G17" s="97"/>
      <c r="H17" s="97"/>
      <c r="J17" s="98" t="s">
        <v>14</v>
      </c>
      <c r="K17" s="98"/>
      <c r="L17" s="98"/>
      <c r="M17" s="98"/>
      <c r="N17" s="98"/>
      <c r="O17" s="98"/>
      <c r="P17" s="98"/>
      <c r="Q17" s="98"/>
      <c r="R17" s="98"/>
      <c r="S17" s="98"/>
      <c r="T17" s="98"/>
      <c r="U17" s="98"/>
      <c r="W17" s="95" t="str">
        <f>J17</f>
        <v>Abril</v>
      </c>
      <c r="X17" s="95"/>
      <c r="Y17" s="95"/>
      <c r="Z17" s="95"/>
      <c r="AA17" s="95"/>
      <c r="AB17" s="95"/>
      <c r="AC17" s="95"/>
      <c r="AE17" s="96" t="str">
        <f>W17</f>
        <v>Abril</v>
      </c>
      <c r="AF17" s="96"/>
      <c r="AG17" s="96"/>
      <c r="AH17" s="96"/>
      <c r="AI17" s="96"/>
      <c r="AJ17" s="96"/>
      <c r="AK17" s="96"/>
    </row>
    <row r="18" spans="1:37" ht="15.75" thickBot="1" x14ac:dyDescent="0.3">
      <c r="A18" s="99" t="s">
        <v>5</v>
      </c>
      <c r="B18" s="34" t="s">
        <v>6</v>
      </c>
      <c r="C18" s="22" t="s">
        <v>7</v>
      </c>
      <c r="D18" s="33" t="s">
        <v>8</v>
      </c>
      <c r="E18" s="22" t="s">
        <v>9</v>
      </c>
      <c r="F18" s="24" t="s">
        <v>10</v>
      </c>
      <c r="G18" s="23" t="s">
        <v>11</v>
      </c>
      <c r="H18" s="25" t="s">
        <v>12</v>
      </c>
      <c r="J18" s="6" t="s">
        <v>4</v>
      </c>
      <c r="K18" s="9">
        <v>45398</v>
      </c>
      <c r="L18" s="66">
        <v>45407</v>
      </c>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9"/>
      <c r="B19" s="26">
        <v>11482</v>
      </c>
      <c r="C19" s="27"/>
      <c r="D19" s="27"/>
      <c r="E19" s="27">
        <v>12595</v>
      </c>
      <c r="F19" s="27">
        <f>SUM(C19-B19)</f>
        <v>-11482</v>
      </c>
      <c r="G19" s="20">
        <f>SUM(E19-D19)</f>
        <v>12595</v>
      </c>
      <c r="H19" s="21">
        <f>SUM(F19:G19)</f>
        <v>1113</v>
      </c>
      <c r="J19" s="7" t="s">
        <v>22</v>
      </c>
      <c r="K19" s="30">
        <v>380.65</v>
      </c>
      <c r="L19" s="31">
        <v>237.05</v>
      </c>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D20" s="68">
        <v>45439</v>
      </c>
      <c r="J20" s="8"/>
      <c r="T20" s="8" t="s">
        <v>23</v>
      </c>
      <c r="U20" s="13">
        <f>SUM(K19:U19)</f>
        <v>617.70000000000005</v>
      </c>
      <c r="AB20" s="8" t="s">
        <v>23</v>
      </c>
      <c r="AC20" s="13">
        <f>SUM(X19:AC19)</f>
        <v>0</v>
      </c>
      <c r="AJ20" s="8" t="s">
        <v>23</v>
      </c>
      <c r="AK20" s="13">
        <f>SUM(AF19:AK19)</f>
        <v>0</v>
      </c>
    </row>
    <row r="21" spans="1:37" ht="15.75" thickBot="1" x14ac:dyDescent="0.3">
      <c r="A21" s="19"/>
      <c r="B21" s="97" t="s">
        <v>15</v>
      </c>
      <c r="C21" s="97"/>
      <c r="D21" s="97"/>
      <c r="E21" s="97"/>
      <c r="F21" s="97"/>
      <c r="G21" s="97"/>
      <c r="H21" s="97"/>
      <c r="J21" s="98" t="s">
        <v>15</v>
      </c>
      <c r="K21" s="98"/>
      <c r="L21" s="98"/>
      <c r="M21" s="98"/>
      <c r="N21" s="98"/>
      <c r="O21" s="98"/>
      <c r="P21" s="98"/>
      <c r="Q21" s="98"/>
      <c r="R21" s="98"/>
      <c r="S21" s="98"/>
      <c r="T21" s="98"/>
      <c r="U21" s="98"/>
      <c r="W21" s="95" t="str">
        <f>J21</f>
        <v>Maio</v>
      </c>
      <c r="X21" s="95"/>
      <c r="Y21" s="95"/>
      <c r="Z21" s="95"/>
      <c r="AA21" s="95"/>
      <c r="AB21" s="95"/>
      <c r="AC21" s="95"/>
      <c r="AE21" s="96" t="str">
        <f>W21</f>
        <v>Maio</v>
      </c>
      <c r="AF21" s="96"/>
      <c r="AG21" s="96"/>
      <c r="AH21" s="96"/>
      <c r="AI21" s="96"/>
      <c r="AJ21" s="96"/>
      <c r="AK21" s="96"/>
    </row>
    <row r="22" spans="1:37" ht="15.75" thickBot="1" x14ac:dyDescent="0.3">
      <c r="A22" s="99" t="s">
        <v>5</v>
      </c>
      <c r="B22" s="34" t="s">
        <v>6</v>
      </c>
      <c r="C22" s="22" t="s">
        <v>7</v>
      </c>
      <c r="D22" s="33" t="s">
        <v>8</v>
      </c>
      <c r="E22" s="22" t="s">
        <v>9</v>
      </c>
      <c r="F22" s="24" t="s">
        <v>10</v>
      </c>
      <c r="G22" s="23" t="s">
        <v>11</v>
      </c>
      <c r="H22" s="25" t="s">
        <v>12</v>
      </c>
      <c r="J22" s="6" t="s">
        <v>4</v>
      </c>
      <c r="K22" s="9">
        <v>45433</v>
      </c>
      <c r="L22" s="66">
        <v>45443</v>
      </c>
      <c r="M22" s="66">
        <v>45442</v>
      </c>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99"/>
      <c r="B23" s="26">
        <v>8322</v>
      </c>
      <c r="C23" s="27"/>
      <c r="D23" s="27"/>
      <c r="E23" s="27">
        <v>8562</v>
      </c>
      <c r="F23" s="27">
        <f>SUM(C23-B23)</f>
        <v>-8322</v>
      </c>
      <c r="G23" s="20">
        <f>SUM(E23-D23)</f>
        <v>8562</v>
      </c>
      <c r="H23" s="21">
        <f>SUM(F23:G23)</f>
        <v>240</v>
      </c>
      <c r="J23" s="7" t="s">
        <v>22</v>
      </c>
      <c r="K23" s="10">
        <v>356.04</v>
      </c>
      <c r="L23" s="11">
        <v>285.01</v>
      </c>
      <c r="M23" s="11">
        <v>285.01</v>
      </c>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926.06</v>
      </c>
      <c r="AB24" s="8" t="s">
        <v>23</v>
      </c>
      <c r="AC24" s="13">
        <f>SUM(X23:AC23)</f>
        <v>0</v>
      </c>
      <c r="AJ24" s="8" t="s">
        <v>23</v>
      </c>
      <c r="AK24" s="13">
        <f>SUM(AF23:AK23)</f>
        <v>0</v>
      </c>
    </row>
    <row r="25" spans="1:37" ht="15.75" thickBot="1" x14ac:dyDescent="0.3">
      <c r="A25" s="19"/>
      <c r="B25" s="97" t="s">
        <v>24</v>
      </c>
      <c r="C25" s="97"/>
      <c r="D25" s="97"/>
      <c r="E25" s="97"/>
      <c r="F25" s="97"/>
      <c r="G25" s="97"/>
      <c r="H25" s="97"/>
      <c r="J25" s="98" t="s">
        <v>24</v>
      </c>
      <c r="K25" s="98"/>
      <c r="L25" s="98"/>
      <c r="M25" s="98"/>
      <c r="N25" s="98"/>
      <c r="O25" s="98"/>
      <c r="P25" s="98"/>
      <c r="Q25" s="98"/>
      <c r="R25" s="98"/>
      <c r="S25" s="98"/>
      <c r="T25" s="98"/>
      <c r="U25" s="98"/>
      <c r="W25" s="95" t="str">
        <f>J25</f>
        <v>Junho</v>
      </c>
      <c r="X25" s="95"/>
      <c r="Y25" s="95"/>
      <c r="Z25" s="95"/>
      <c r="AA25" s="95"/>
      <c r="AB25" s="95"/>
      <c r="AC25" s="95"/>
      <c r="AE25" s="96" t="str">
        <f>W25</f>
        <v>Junho</v>
      </c>
      <c r="AF25" s="96"/>
      <c r="AG25" s="96"/>
      <c r="AH25" s="96"/>
      <c r="AI25" s="96"/>
      <c r="AJ25" s="96"/>
      <c r="AK25" s="96"/>
    </row>
    <row r="26" spans="1:37" ht="15.75" thickBot="1" x14ac:dyDescent="0.3">
      <c r="A26" s="99" t="s">
        <v>5</v>
      </c>
      <c r="B26" s="34" t="s">
        <v>6</v>
      </c>
      <c r="C26" s="22" t="s">
        <v>7</v>
      </c>
      <c r="D26" s="33" t="s">
        <v>8</v>
      </c>
      <c r="E26" s="22" t="s">
        <v>9</v>
      </c>
      <c r="F26" s="24" t="s">
        <v>10</v>
      </c>
      <c r="G26" s="23" t="s">
        <v>11</v>
      </c>
      <c r="H26" s="25" t="s">
        <v>12</v>
      </c>
      <c r="J26" s="6" t="s">
        <v>4</v>
      </c>
      <c r="K26" s="9">
        <v>45457</v>
      </c>
      <c r="L26" s="66">
        <v>45461</v>
      </c>
      <c r="M26" s="4"/>
      <c r="N26" s="4"/>
      <c r="O26" s="4"/>
      <c r="P26" s="4"/>
      <c r="Q26" s="4"/>
      <c r="R26" s="4"/>
      <c r="S26" s="4"/>
      <c r="T26" s="4"/>
      <c r="U26" s="5"/>
      <c r="W26" s="6" t="s">
        <v>4</v>
      </c>
      <c r="X26" s="9">
        <v>45461</v>
      </c>
      <c r="Y26" s="4"/>
      <c r="Z26" s="4"/>
      <c r="AA26" s="4"/>
      <c r="AB26" s="4"/>
      <c r="AC26" s="5"/>
      <c r="AE26" s="6" t="s">
        <v>4</v>
      </c>
      <c r="AF26" s="9"/>
      <c r="AG26" s="4"/>
      <c r="AH26" s="4"/>
      <c r="AI26" s="4"/>
      <c r="AJ26" s="4"/>
      <c r="AK26" s="5"/>
    </row>
    <row r="27" spans="1:37" ht="15.75" thickBot="1" x14ac:dyDescent="0.3">
      <c r="A27" s="99"/>
      <c r="B27" s="26">
        <v>8562</v>
      </c>
      <c r="C27" s="27"/>
      <c r="D27" s="27"/>
      <c r="E27" s="27">
        <v>9665</v>
      </c>
      <c r="F27" s="27">
        <f>SUM(C27-B27)</f>
        <v>-8562</v>
      </c>
      <c r="G27" s="20">
        <f>SUM(E27-D27)</f>
        <v>9665</v>
      </c>
      <c r="H27" s="21">
        <f>SUM(F27:G27)</f>
        <v>1103</v>
      </c>
      <c r="J27" s="7" t="s">
        <v>22</v>
      </c>
      <c r="K27" s="10">
        <v>285.07</v>
      </c>
      <c r="L27" s="11">
        <v>116.28</v>
      </c>
      <c r="M27" s="11"/>
      <c r="N27" s="11"/>
      <c r="O27" s="11"/>
      <c r="P27" s="11"/>
      <c r="Q27" s="11"/>
      <c r="R27" s="11"/>
      <c r="S27" s="11"/>
      <c r="T27" s="11"/>
      <c r="U27" s="12"/>
      <c r="W27" s="7" t="s">
        <v>22</v>
      </c>
      <c r="X27" s="10">
        <v>50</v>
      </c>
      <c r="Y27" s="11"/>
      <c r="Z27" s="11"/>
      <c r="AA27" s="11"/>
      <c r="AB27" s="11"/>
      <c r="AC27" s="12"/>
      <c r="AE27" s="7" t="s">
        <v>22</v>
      </c>
      <c r="AF27" s="10"/>
      <c r="AG27" s="11"/>
      <c r="AH27" s="11"/>
      <c r="AI27" s="11"/>
      <c r="AJ27" s="11"/>
      <c r="AK27" s="12"/>
    </row>
    <row r="28" spans="1:37" x14ac:dyDescent="0.25">
      <c r="J28" s="8"/>
      <c r="T28" s="8" t="s">
        <v>23</v>
      </c>
      <c r="U28" s="13">
        <f>SUM(K27:U27)</f>
        <v>401.35</v>
      </c>
      <c r="AB28" s="8" t="s">
        <v>23</v>
      </c>
      <c r="AC28" s="13">
        <f>SUM(X27:AC27)</f>
        <v>50</v>
      </c>
      <c r="AJ28" s="8" t="s">
        <v>23</v>
      </c>
      <c r="AK28" s="13">
        <f>SUM(AF27:AK27)</f>
        <v>0</v>
      </c>
    </row>
    <row r="29" spans="1:37" ht="15.75" thickBot="1" x14ac:dyDescent="0.3">
      <c r="A29" s="19"/>
      <c r="B29" s="97" t="s">
        <v>16</v>
      </c>
      <c r="C29" s="97"/>
      <c r="D29" s="97"/>
      <c r="E29" s="97"/>
      <c r="F29" s="97"/>
      <c r="G29" s="97"/>
      <c r="H29" s="97"/>
      <c r="J29" s="98" t="s">
        <v>16</v>
      </c>
      <c r="K29" s="98"/>
      <c r="L29" s="98"/>
      <c r="M29" s="98"/>
      <c r="N29" s="98"/>
      <c r="O29" s="98"/>
      <c r="P29" s="98"/>
      <c r="Q29" s="98"/>
      <c r="R29" s="98"/>
      <c r="S29" s="98"/>
      <c r="T29" s="98"/>
      <c r="U29" s="98"/>
      <c r="W29" s="95" t="str">
        <f>J29</f>
        <v>Julho</v>
      </c>
      <c r="X29" s="95"/>
      <c r="Y29" s="95"/>
      <c r="Z29" s="95"/>
      <c r="AA29" s="95"/>
      <c r="AB29" s="95"/>
      <c r="AC29" s="95"/>
      <c r="AE29" s="96" t="str">
        <f>W29</f>
        <v>Julho</v>
      </c>
      <c r="AF29" s="96"/>
      <c r="AG29" s="96"/>
      <c r="AH29" s="96"/>
      <c r="AI29" s="96"/>
      <c r="AJ29" s="96"/>
      <c r="AK29" s="96"/>
    </row>
    <row r="30" spans="1:37" ht="15.75" thickBot="1" x14ac:dyDescent="0.3">
      <c r="A30" s="99" t="s">
        <v>5</v>
      </c>
      <c r="B30" s="34" t="s">
        <v>6</v>
      </c>
      <c r="C30" s="22" t="s">
        <v>7</v>
      </c>
      <c r="D30" s="33" t="s">
        <v>8</v>
      </c>
      <c r="E30" s="22" t="s">
        <v>9</v>
      </c>
      <c r="F30" s="24" t="s">
        <v>10</v>
      </c>
      <c r="G30" s="23" t="s">
        <v>11</v>
      </c>
      <c r="H30" s="25" t="s">
        <v>12</v>
      </c>
      <c r="J30" s="6" t="s">
        <v>4</v>
      </c>
      <c r="K30" s="9">
        <v>45476</v>
      </c>
      <c r="L30" s="66">
        <v>45489</v>
      </c>
      <c r="M30" s="66">
        <v>45496</v>
      </c>
      <c r="N30" s="4"/>
      <c r="O30" s="4"/>
      <c r="P30" s="4"/>
      <c r="Q30" s="4"/>
      <c r="R30" s="4"/>
      <c r="S30" s="4"/>
      <c r="T30" s="4"/>
      <c r="U30" s="5"/>
      <c r="W30" s="6" t="s">
        <v>4</v>
      </c>
      <c r="X30" s="9">
        <v>45485</v>
      </c>
      <c r="Y30" s="66">
        <v>45496</v>
      </c>
      <c r="Z30" s="4"/>
      <c r="AA30" s="4"/>
      <c r="AB30" s="4"/>
      <c r="AC30" s="5"/>
      <c r="AE30" s="6" t="s">
        <v>4</v>
      </c>
      <c r="AF30" s="9"/>
      <c r="AG30" s="4"/>
      <c r="AH30" s="4"/>
      <c r="AI30" s="4"/>
      <c r="AJ30" s="4"/>
      <c r="AK30" s="5"/>
    </row>
    <row r="31" spans="1:37" ht="15.75" thickBot="1" x14ac:dyDescent="0.3">
      <c r="A31" s="99"/>
      <c r="B31" s="26">
        <v>9665</v>
      </c>
      <c r="C31" s="27"/>
      <c r="D31" s="27"/>
      <c r="E31" s="27">
        <v>11735</v>
      </c>
      <c r="F31" s="27">
        <f>SUM(C31-B31)</f>
        <v>-9665</v>
      </c>
      <c r="G31" s="20">
        <f>SUM(E31-D31)</f>
        <v>11735</v>
      </c>
      <c r="H31" s="21">
        <f>SUM(F31:G31)</f>
        <v>2070</v>
      </c>
      <c r="J31" s="7" t="s">
        <v>22</v>
      </c>
      <c r="K31" s="10">
        <v>198.49</v>
      </c>
      <c r="L31" s="11">
        <v>222.41</v>
      </c>
      <c r="M31" s="11">
        <v>277.01</v>
      </c>
      <c r="N31" s="11"/>
      <c r="O31" s="11"/>
      <c r="P31" s="11"/>
      <c r="Q31" s="11"/>
      <c r="R31" s="11"/>
      <c r="S31" s="11"/>
      <c r="T31" s="11"/>
      <c r="U31" s="12"/>
      <c r="W31" s="7" t="s">
        <v>22</v>
      </c>
      <c r="X31" s="10">
        <v>50</v>
      </c>
      <c r="Y31" s="11">
        <v>50</v>
      </c>
      <c r="Z31" s="11"/>
      <c r="AA31" s="11"/>
      <c r="AB31" s="11"/>
      <c r="AC31" s="12"/>
      <c r="AE31" s="7" t="s">
        <v>22</v>
      </c>
      <c r="AF31" s="10"/>
      <c r="AG31" s="11"/>
      <c r="AH31" s="11"/>
      <c r="AI31" s="11"/>
      <c r="AJ31" s="11"/>
      <c r="AK31" s="12"/>
    </row>
    <row r="32" spans="1:37" x14ac:dyDescent="0.25">
      <c r="J32" s="8"/>
      <c r="T32" s="8" t="s">
        <v>23</v>
      </c>
      <c r="U32" s="13">
        <f>SUM(K31:U31)</f>
        <v>697.91</v>
      </c>
      <c r="AB32" s="8" t="s">
        <v>23</v>
      </c>
      <c r="AC32" s="13">
        <f>SUM(X31:AC31)</f>
        <v>100</v>
      </c>
      <c r="AJ32" s="8" t="s">
        <v>23</v>
      </c>
      <c r="AK32" s="13">
        <f>SUM(AF31:AK31)</f>
        <v>0</v>
      </c>
    </row>
    <row r="33" spans="1:37" ht="15.75" thickBot="1" x14ac:dyDescent="0.3">
      <c r="A33" s="19"/>
      <c r="B33" s="97" t="s">
        <v>17</v>
      </c>
      <c r="C33" s="97"/>
      <c r="D33" s="97"/>
      <c r="E33" s="97"/>
      <c r="F33" s="97"/>
      <c r="G33" s="97"/>
      <c r="H33" s="97"/>
      <c r="J33" s="98" t="s">
        <v>17</v>
      </c>
      <c r="K33" s="98"/>
      <c r="L33" s="98"/>
      <c r="M33" s="98"/>
      <c r="N33" s="98"/>
      <c r="O33" s="98"/>
      <c r="P33" s="98"/>
      <c r="Q33" s="98"/>
      <c r="R33" s="98"/>
      <c r="S33" s="98"/>
      <c r="T33" s="98"/>
      <c r="U33" s="98"/>
      <c r="W33" s="95" t="str">
        <f>J33</f>
        <v>Agosto</v>
      </c>
      <c r="X33" s="95"/>
      <c r="Y33" s="95"/>
      <c r="Z33" s="95"/>
      <c r="AA33" s="95"/>
      <c r="AB33" s="95"/>
      <c r="AC33" s="95"/>
      <c r="AE33" s="96" t="str">
        <f>W33</f>
        <v>Agosto</v>
      </c>
      <c r="AF33" s="96"/>
      <c r="AG33" s="96"/>
      <c r="AH33" s="96"/>
      <c r="AI33" s="96"/>
      <c r="AJ33" s="96"/>
      <c r="AK33" s="96"/>
    </row>
    <row r="34" spans="1:37" ht="15.75" thickBot="1" x14ac:dyDescent="0.3">
      <c r="A34" s="99" t="s">
        <v>5</v>
      </c>
      <c r="B34" s="34" t="s">
        <v>6</v>
      </c>
      <c r="C34" s="22" t="s">
        <v>7</v>
      </c>
      <c r="D34" s="33" t="s">
        <v>8</v>
      </c>
      <c r="E34" s="22" t="s">
        <v>9</v>
      </c>
      <c r="F34" s="24" t="s">
        <v>10</v>
      </c>
      <c r="G34" s="23" t="s">
        <v>11</v>
      </c>
      <c r="H34" s="25" t="s">
        <v>12</v>
      </c>
      <c r="J34" s="6" t="s">
        <v>4</v>
      </c>
      <c r="K34" s="9">
        <v>45512</v>
      </c>
      <c r="L34" s="66">
        <v>45517</v>
      </c>
      <c r="M34" s="66">
        <v>45520</v>
      </c>
      <c r="N34" s="66">
        <v>45524</v>
      </c>
      <c r="O34" s="66">
        <v>45531</v>
      </c>
      <c r="P34" s="66">
        <v>45533</v>
      </c>
      <c r="Q34" s="4"/>
      <c r="R34" s="4"/>
      <c r="S34" s="4"/>
      <c r="T34" s="4"/>
      <c r="U34" s="5"/>
      <c r="W34" s="6" t="s">
        <v>4</v>
      </c>
      <c r="X34" s="9">
        <v>45521</v>
      </c>
      <c r="Y34" s="66">
        <v>45526</v>
      </c>
      <c r="Z34" s="4"/>
      <c r="AA34" s="4"/>
      <c r="AB34" s="4"/>
      <c r="AC34" s="5"/>
      <c r="AE34" s="6" t="s">
        <v>4</v>
      </c>
      <c r="AF34" s="9"/>
      <c r="AG34" s="4"/>
      <c r="AH34" s="4"/>
      <c r="AI34" s="4"/>
      <c r="AJ34" s="4"/>
      <c r="AK34" s="5"/>
    </row>
    <row r="35" spans="1:37" ht="15.75" thickBot="1" x14ac:dyDescent="0.3">
      <c r="A35" s="99"/>
      <c r="B35" s="26">
        <v>11735</v>
      </c>
      <c r="C35" s="27"/>
      <c r="D35" s="27"/>
      <c r="E35" s="27">
        <v>13560</v>
      </c>
      <c r="F35" s="27">
        <f>SUM(C35-B35)</f>
        <v>-11735</v>
      </c>
      <c r="G35" s="20">
        <f>SUM(E35-D35)</f>
        <v>13560</v>
      </c>
      <c r="H35" s="21">
        <f>SUM(F35:G35)</f>
        <v>1825</v>
      </c>
      <c r="J35" s="7" t="s">
        <v>22</v>
      </c>
      <c r="K35" s="10">
        <v>250.07</v>
      </c>
      <c r="L35" s="11">
        <v>249.44</v>
      </c>
      <c r="M35" s="11">
        <v>234.03</v>
      </c>
      <c r="N35" s="11">
        <v>290.3</v>
      </c>
      <c r="O35" s="11">
        <v>235.46</v>
      </c>
      <c r="P35" s="11">
        <v>170.18</v>
      </c>
      <c r="Q35" s="11"/>
      <c r="R35" s="11"/>
      <c r="S35" s="11"/>
      <c r="T35" s="11"/>
      <c r="U35" s="12"/>
      <c r="W35" s="7" t="s">
        <v>22</v>
      </c>
      <c r="X35" s="10">
        <v>50</v>
      </c>
      <c r="Y35" s="11">
        <v>50</v>
      </c>
      <c r="Z35" s="11"/>
      <c r="AA35" s="11"/>
      <c r="AB35" s="11"/>
      <c r="AC35" s="12"/>
      <c r="AE35" s="7" t="s">
        <v>22</v>
      </c>
      <c r="AF35" s="10"/>
      <c r="AG35" s="11"/>
      <c r="AH35" s="11"/>
      <c r="AI35" s="11"/>
      <c r="AJ35" s="11"/>
      <c r="AK35" s="12"/>
    </row>
    <row r="36" spans="1:37" x14ac:dyDescent="0.25">
      <c r="J36" s="8"/>
      <c r="T36" s="8" t="s">
        <v>23</v>
      </c>
      <c r="U36" s="13">
        <f>SUM(K35:U35)</f>
        <v>1429.48</v>
      </c>
      <c r="AB36" s="8" t="s">
        <v>23</v>
      </c>
      <c r="AC36" s="13">
        <f>SUM(X35:AC35)</f>
        <v>100</v>
      </c>
      <c r="AJ36" s="8" t="s">
        <v>23</v>
      </c>
      <c r="AK36" s="13">
        <f>SUM(AF35:AK35)</f>
        <v>0</v>
      </c>
    </row>
    <row r="37" spans="1:37" ht="15.75" thickBot="1" x14ac:dyDescent="0.3">
      <c r="A37" s="19"/>
      <c r="B37" s="97" t="s">
        <v>18</v>
      </c>
      <c r="C37" s="97"/>
      <c r="D37" s="97"/>
      <c r="E37" s="97"/>
      <c r="F37" s="97"/>
      <c r="G37" s="97"/>
      <c r="H37" s="97"/>
      <c r="J37" s="98" t="s">
        <v>18</v>
      </c>
      <c r="K37" s="98"/>
      <c r="L37" s="98"/>
      <c r="M37" s="98"/>
      <c r="N37" s="98"/>
      <c r="O37" s="98"/>
      <c r="P37" s="98"/>
      <c r="Q37" s="98"/>
      <c r="R37" s="98"/>
      <c r="S37" s="98"/>
      <c r="T37" s="98"/>
      <c r="U37" s="98"/>
      <c r="W37" s="95" t="str">
        <f>J37</f>
        <v>Setembro</v>
      </c>
      <c r="X37" s="95"/>
      <c r="Y37" s="95"/>
      <c r="Z37" s="95"/>
      <c r="AA37" s="95"/>
      <c r="AB37" s="95"/>
      <c r="AC37" s="95"/>
      <c r="AE37" s="96" t="str">
        <f>W37</f>
        <v>Setembro</v>
      </c>
      <c r="AF37" s="96"/>
      <c r="AG37" s="96"/>
      <c r="AH37" s="96"/>
      <c r="AI37" s="96"/>
      <c r="AJ37" s="96"/>
      <c r="AK37" s="96"/>
    </row>
    <row r="38" spans="1:37" ht="15.75" thickBot="1" x14ac:dyDescent="0.3">
      <c r="A38" s="99" t="s">
        <v>5</v>
      </c>
      <c r="B38" s="34" t="s">
        <v>6</v>
      </c>
      <c r="C38" s="22" t="s">
        <v>7</v>
      </c>
      <c r="D38" s="33" t="s">
        <v>8</v>
      </c>
      <c r="E38" s="22" t="s">
        <v>9</v>
      </c>
      <c r="F38" s="24" t="s">
        <v>10</v>
      </c>
      <c r="G38" s="23" t="s">
        <v>11</v>
      </c>
      <c r="H38" s="25" t="s">
        <v>12</v>
      </c>
      <c r="J38" s="6" t="s">
        <v>4</v>
      </c>
      <c r="K38" s="9">
        <v>45537</v>
      </c>
      <c r="L38" s="66">
        <v>45540</v>
      </c>
      <c r="M38" s="66">
        <v>45545</v>
      </c>
      <c r="N38" s="66">
        <v>45547</v>
      </c>
      <c r="O38" s="66">
        <v>45552</v>
      </c>
      <c r="P38" s="66">
        <v>45555</v>
      </c>
      <c r="Q38" s="66">
        <v>45561</v>
      </c>
      <c r="R38" s="66">
        <v>45563</v>
      </c>
      <c r="S38" s="4"/>
      <c r="T38" s="4"/>
      <c r="U38" s="5"/>
      <c r="W38" s="6" t="s">
        <v>4</v>
      </c>
      <c r="X38" s="9">
        <v>45542</v>
      </c>
      <c r="Y38" s="66">
        <v>45555</v>
      </c>
      <c r="Z38" s="4"/>
      <c r="AA38" s="4"/>
      <c r="AB38" s="4"/>
      <c r="AC38" s="5"/>
      <c r="AE38" s="6" t="s">
        <v>4</v>
      </c>
      <c r="AF38" s="9"/>
      <c r="AG38" s="4"/>
      <c r="AH38" s="4"/>
      <c r="AI38" s="4"/>
      <c r="AJ38" s="4"/>
      <c r="AK38" s="5"/>
    </row>
    <row r="39" spans="1:37" ht="15.75" thickBot="1" x14ac:dyDescent="0.3">
      <c r="A39" s="99"/>
      <c r="B39" s="26">
        <v>3751</v>
      </c>
      <c r="C39" s="27"/>
      <c r="D39" s="27"/>
      <c r="E39" s="27">
        <v>6291</v>
      </c>
      <c r="F39" s="27">
        <f>SUM(C39-B39)</f>
        <v>-3751</v>
      </c>
      <c r="G39" s="20">
        <f>SUM(E39-D39)</f>
        <v>6291</v>
      </c>
      <c r="H39" s="21">
        <f>SUM(F39:G39)</f>
        <v>2540</v>
      </c>
      <c r="J39" s="7" t="s">
        <v>22</v>
      </c>
      <c r="K39" s="10">
        <v>176.1</v>
      </c>
      <c r="L39" s="11">
        <v>220</v>
      </c>
      <c r="M39" s="11">
        <v>188.02</v>
      </c>
      <c r="N39" s="11">
        <v>131.22</v>
      </c>
      <c r="O39" s="11">
        <v>266.54000000000002</v>
      </c>
      <c r="P39" s="11">
        <v>215.02</v>
      </c>
      <c r="Q39" s="11">
        <v>261.01</v>
      </c>
      <c r="R39" s="11">
        <v>285.33</v>
      </c>
      <c r="S39" s="11"/>
      <c r="T39" s="11"/>
      <c r="U39" s="12"/>
      <c r="W39" s="7" t="s">
        <v>22</v>
      </c>
      <c r="X39" s="10">
        <v>50</v>
      </c>
      <c r="Y39" s="11">
        <v>50</v>
      </c>
      <c r="Z39" s="11"/>
      <c r="AA39" s="11"/>
      <c r="AB39" s="11"/>
      <c r="AC39" s="12"/>
      <c r="AE39" s="7" t="s">
        <v>22</v>
      </c>
      <c r="AF39" s="10"/>
      <c r="AG39" s="11"/>
      <c r="AH39" s="11"/>
      <c r="AI39" s="11"/>
      <c r="AJ39" s="11"/>
      <c r="AK39" s="12"/>
    </row>
    <row r="40" spans="1:37" x14ac:dyDescent="0.25">
      <c r="J40" s="8"/>
      <c r="T40" s="8" t="s">
        <v>23</v>
      </c>
      <c r="U40" s="13">
        <f>SUM(K39:U39)</f>
        <v>1743.24</v>
      </c>
      <c r="AB40" s="8" t="s">
        <v>23</v>
      </c>
      <c r="AC40" s="13">
        <f>SUM(X39:AC39)</f>
        <v>100</v>
      </c>
      <c r="AJ40" s="8" t="s">
        <v>23</v>
      </c>
      <c r="AK40" s="13">
        <f>SUM(AF39:AK39)</f>
        <v>0</v>
      </c>
    </row>
    <row r="41" spans="1:37" ht="15.75" thickBot="1" x14ac:dyDescent="0.3">
      <c r="A41" s="19"/>
      <c r="B41" s="97" t="s">
        <v>19</v>
      </c>
      <c r="C41" s="97"/>
      <c r="D41" s="97"/>
      <c r="E41" s="97"/>
      <c r="F41" s="97"/>
      <c r="G41" s="97"/>
      <c r="H41" s="97"/>
      <c r="J41" s="98" t="s">
        <v>19</v>
      </c>
      <c r="K41" s="98"/>
      <c r="L41" s="98"/>
      <c r="M41" s="98"/>
      <c r="N41" s="98"/>
      <c r="O41" s="98"/>
      <c r="P41" s="98"/>
      <c r="Q41" s="98"/>
      <c r="R41" s="98"/>
      <c r="S41" s="98"/>
      <c r="T41" s="98"/>
      <c r="U41" s="98"/>
      <c r="W41" s="95" t="str">
        <f>J41</f>
        <v>Outubro</v>
      </c>
      <c r="X41" s="95"/>
      <c r="Y41" s="95"/>
      <c r="Z41" s="95"/>
      <c r="AA41" s="95"/>
      <c r="AB41" s="95"/>
      <c r="AC41" s="95"/>
      <c r="AE41" s="96" t="str">
        <f>W41</f>
        <v>Outubro</v>
      </c>
      <c r="AF41" s="96"/>
      <c r="AG41" s="96"/>
      <c r="AH41" s="96"/>
      <c r="AI41" s="96"/>
      <c r="AJ41" s="96"/>
      <c r="AK41" s="96"/>
    </row>
    <row r="42" spans="1:37" ht="15.75" thickBot="1" x14ac:dyDescent="0.3">
      <c r="A42" s="99" t="s">
        <v>5</v>
      </c>
      <c r="B42" s="34" t="s">
        <v>6</v>
      </c>
      <c r="C42" s="22" t="s">
        <v>7</v>
      </c>
      <c r="D42" s="33" t="s">
        <v>8</v>
      </c>
      <c r="E42" s="22" t="s">
        <v>9</v>
      </c>
      <c r="F42" s="24" t="s">
        <v>10</v>
      </c>
      <c r="G42" s="23" t="s">
        <v>11</v>
      </c>
      <c r="H42" s="25" t="s">
        <v>12</v>
      </c>
      <c r="J42" s="6" t="s">
        <v>4</v>
      </c>
      <c r="K42" s="9">
        <v>45566</v>
      </c>
      <c r="L42" s="66">
        <v>45568</v>
      </c>
      <c r="M42" s="66">
        <v>45575</v>
      </c>
      <c r="N42" s="66">
        <v>45579</v>
      </c>
      <c r="O42" s="66">
        <v>45582</v>
      </c>
      <c r="P42" s="66">
        <v>45586</v>
      </c>
      <c r="Q42" s="66">
        <v>45589</v>
      </c>
      <c r="R42" s="66">
        <v>45596</v>
      </c>
      <c r="S42" s="66">
        <v>45593</v>
      </c>
      <c r="T42" s="66"/>
      <c r="U42" s="71"/>
      <c r="W42" s="6" t="s">
        <v>4</v>
      </c>
      <c r="X42" s="9">
        <v>45567</v>
      </c>
      <c r="Y42" s="4"/>
      <c r="Z42" s="4"/>
      <c r="AA42" s="4"/>
      <c r="AB42" s="4"/>
      <c r="AC42" s="5"/>
      <c r="AE42" s="6" t="s">
        <v>4</v>
      </c>
      <c r="AF42" s="9"/>
      <c r="AG42" s="4"/>
      <c r="AH42" s="4"/>
      <c r="AI42" s="4"/>
      <c r="AJ42" s="4"/>
      <c r="AK42" s="5"/>
    </row>
    <row r="43" spans="1:37" ht="15.75" thickBot="1" x14ac:dyDescent="0.3">
      <c r="A43" s="99"/>
      <c r="B43" s="26">
        <v>51675</v>
      </c>
      <c r="C43" s="27"/>
      <c r="D43" s="27"/>
      <c r="E43" s="27">
        <v>55444</v>
      </c>
      <c r="F43" s="27">
        <f>SUM(C43-B43)</f>
        <v>-51675</v>
      </c>
      <c r="G43" s="20">
        <f>SUM(E43-D43)</f>
        <v>55444</v>
      </c>
      <c r="H43" s="21">
        <f>SUM(F43:G43)</f>
        <v>3769</v>
      </c>
      <c r="J43" s="7" t="s">
        <v>22</v>
      </c>
      <c r="K43" s="10">
        <v>283.47000000000003</v>
      </c>
      <c r="L43" s="11">
        <v>262.36</v>
      </c>
      <c r="M43" s="11">
        <v>160.88</v>
      </c>
      <c r="N43" s="11">
        <v>300.18</v>
      </c>
      <c r="O43" s="11">
        <v>244.47</v>
      </c>
      <c r="P43" s="11">
        <v>326.73</v>
      </c>
      <c r="Q43" s="11">
        <v>260.52</v>
      </c>
      <c r="R43" s="11">
        <v>236.65</v>
      </c>
      <c r="S43" s="11">
        <v>305.02999999999997</v>
      </c>
      <c r="T43" s="11"/>
      <c r="U43" s="12"/>
      <c r="W43" s="7" t="s">
        <v>22</v>
      </c>
      <c r="X43" s="10">
        <v>50</v>
      </c>
      <c r="Y43" s="11"/>
      <c r="Z43" s="11"/>
      <c r="AA43" s="11"/>
      <c r="AB43" s="11"/>
      <c r="AC43" s="12"/>
      <c r="AE43" s="7" t="s">
        <v>22</v>
      </c>
      <c r="AF43" s="10"/>
      <c r="AG43" s="11"/>
      <c r="AH43" s="11"/>
      <c r="AI43" s="11"/>
      <c r="AJ43" s="11"/>
      <c r="AK43" s="12"/>
    </row>
    <row r="44" spans="1:37" x14ac:dyDescent="0.25">
      <c r="J44" s="8"/>
      <c r="T44" s="8" t="s">
        <v>23</v>
      </c>
      <c r="U44" s="13">
        <f>SUM(K43:U43)</f>
        <v>2380.29</v>
      </c>
      <c r="AB44" s="8" t="s">
        <v>23</v>
      </c>
      <c r="AC44" s="13">
        <f>SUM(X43:AC43)</f>
        <v>50</v>
      </c>
      <c r="AJ44" s="8" t="s">
        <v>23</v>
      </c>
      <c r="AK44" s="13">
        <f>SUM(AF43:AK43)</f>
        <v>0</v>
      </c>
    </row>
    <row r="45" spans="1:37" ht="15.75" thickBot="1" x14ac:dyDescent="0.3">
      <c r="A45" s="19"/>
      <c r="B45" s="97" t="s">
        <v>20</v>
      </c>
      <c r="C45" s="97"/>
      <c r="D45" s="97"/>
      <c r="E45" s="97"/>
      <c r="F45" s="97"/>
      <c r="G45" s="97"/>
      <c r="H45" s="97"/>
      <c r="J45" s="98" t="s">
        <v>20</v>
      </c>
      <c r="K45" s="98"/>
      <c r="L45" s="98"/>
      <c r="M45" s="98"/>
      <c r="N45" s="98"/>
      <c r="O45" s="98"/>
      <c r="P45" s="98"/>
      <c r="Q45" s="98"/>
      <c r="R45" s="98"/>
      <c r="S45" s="98"/>
      <c r="T45" s="98"/>
      <c r="U45" s="98"/>
      <c r="W45" s="95" t="str">
        <f>J45</f>
        <v>Novembro</v>
      </c>
      <c r="X45" s="95"/>
      <c r="Y45" s="95"/>
      <c r="Z45" s="95"/>
      <c r="AA45" s="95"/>
      <c r="AB45" s="95"/>
      <c r="AC45" s="95"/>
      <c r="AE45" s="96" t="str">
        <f>W45</f>
        <v>Novembro</v>
      </c>
      <c r="AF45" s="96"/>
      <c r="AG45" s="96"/>
      <c r="AH45" s="96"/>
      <c r="AI45" s="96"/>
      <c r="AJ45" s="96"/>
      <c r="AK45" s="96"/>
    </row>
    <row r="46" spans="1:37" ht="15.75" thickBot="1" x14ac:dyDescent="0.3">
      <c r="A46" s="99" t="s">
        <v>5</v>
      </c>
      <c r="B46" s="34" t="s">
        <v>6</v>
      </c>
      <c r="C46" s="72" t="s">
        <v>7</v>
      </c>
      <c r="D46" s="73" t="s">
        <v>8</v>
      </c>
      <c r="E46" s="22" t="s">
        <v>9</v>
      </c>
      <c r="F46" s="24" t="s">
        <v>10</v>
      </c>
      <c r="G46" s="23" t="s">
        <v>11</v>
      </c>
      <c r="H46" s="25" t="s">
        <v>12</v>
      </c>
      <c r="J46" s="6" t="s">
        <v>4</v>
      </c>
      <c r="K46" s="9">
        <v>45601</v>
      </c>
      <c r="L46" s="66">
        <v>45603</v>
      </c>
      <c r="M46" s="66">
        <v>45624</v>
      </c>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9"/>
      <c r="B47" s="74">
        <v>55242</v>
      </c>
      <c r="C47" s="76">
        <v>56662</v>
      </c>
      <c r="D47" s="77">
        <v>56662</v>
      </c>
      <c r="E47" s="75">
        <v>58462</v>
      </c>
      <c r="F47" s="27">
        <f>SUM(C47-B47)</f>
        <v>1420</v>
      </c>
      <c r="G47" s="20">
        <f>SUM(E47-D47)</f>
        <v>1800</v>
      </c>
      <c r="H47" s="21">
        <f>SUM(F47:G47)</f>
        <v>3220</v>
      </c>
      <c r="J47" s="7" t="s">
        <v>22</v>
      </c>
      <c r="K47" s="10">
        <v>288.7</v>
      </c>
      <c r="L47" s="11">
        <v>173.67</v>
      </c>
      <c r="M47" s="11">
        <v>281.47000000000003</v>
      </c>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743.84</v>
      </c>
      <c r="AB48" s="8" t="s">
        <v>23</v>
      </c>
      <c r="AC48" s="13">
        <f>SUM(X47:AC47)</f>
        <v>0</v>
      </c>
      <c r="AJ48" s="8" t="s">
        <v>23</v>
      </c>
      <c r="AK48" s="13">
        <f>SUM(AF47:AK47)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W49" s="95" t="str">
        <f>J49</f>
        <v>Dezembro</v>
      </c>
      <c r="X49" s="95"/>
      <c r="Y49" s="95"/>
      <c r="Z49" s="95"/>
      <c r="AA49" s="95"/>
      <c r="AB49" s="95"/>
      <c r="AC49" s="95"/>
      <c r="AE49" s="96" t="str">
        <f>W49</f>
        <v>Dezembro</v>
      </c>
      <c r="AF49" s="96"/>
      <c r="AG49" s="96"/>
      <c r="AH49" s="96"/>
      <c r="AI49" s="96"/>
      <c r="AJ49" s="96"/>
      <c r="AK49" s="96"/>
    </row>
    <row r="50" spans="1:40" ht="15.75" thickBot="1" x14ac:dyDescent="0.3">
      <c r="A50" s="99" t="s">
        <v>5</v>
      </c>
      <c r="B50" s="34" t="s">
        <v>6</v>
      </c>
      <c r="C50" s="22" t="s">
        <v>7</v>
      </c>
      <c r="D50" s="33" t="s">
        <v>8</v>
      </c>
      <c r="E50" s="22" t="s">
        <v>9</v>
      </c>
      <c r="F50" s="24" t="s">
        <v>10</v>
      </c>
      <c r="G50" s="23" t="s">
        <v>11</v>
      </c>
      <c r="H50" s="25" t="s">
        <v>12</v>
      </c>
      <c r="J50" s="6" t="s">
        <v>4</v>
      </c>
      <c r="K50" s="9">
        <v>45629</v>
      </c>
      <c r="L50" s="66">
        <v>45632</v>
      </c>
      <c r="M50" s="4"/>
      <c r="N50" s="4"/>
      <c r="O50" s="4"/>
      <c r="P50" s="4"/>
      <c r="Q50" s="4"/>
      <c r="R50" s="4"/>
      <c r="S50" s="4"/>
      <c r="T50" s="4"/>
      <c r="U50" s="5"/>
      <c r="W50" s="6" t="s">
        <v>4</v>
      </c>
      <c r="X50" s="9"/>
      <c r="Y50" s="4"/>
      <c r="Z50" s="4"/>
      <c r="AA50" s="4"/>
      <c r="AB50" s="4"/>
      <c r="AC50" s="5"/>
      <c r="AE50" s="6" t="s">
        <v>4</v>
      </c>
      <c r="AF50" s="9"/>
      <c r="AG50" s="4"/>
      <c r="AH50" s="4"/>
      <c r="AI50" s="4"/>
      <c r="AJ50" s="4"/>
      <c r="AK50" s="5"/>
    </row>
    <row r="51" spans="1:40" ht="15.75" thickBot="1" x14ac:dyDescent="0.3">
      <c r="A51" s="99"/>
      <c r="B51" s="26">
        <v>58462</v>
      </c>
      <c r="C51" s="27">
        <v>59891</v>
      </c>
      <c r="D51" s="27">
        <v>60111</v>
      </c>
      <c r="E51" s="27">
        <v>61412</v>
      </c>
      <c r="F51" s="27">
        <f>SUM(C51-B51)</f>
        <v>1429</v>
      </c>
      <c r="G51" s="20">
        <f>SUM(E51-D51)</f>
        <v>1301</v>
      </c>
      <c r="H51" s="21">
        <f>SUM(F51:G51)</f>
        <v>2730</v>
      </c>
      <c r="J51" s="7" t="s">
        <v>22</v>
      </c>
      <c r="K51" s="10">
        <v>316.43</v>
      </c>
      <c r="L51" s="11">
        <v>239.03</v>
      </c>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40" x14ac:dyDescent="0.25">
      <c r="J52" s="8"/>
      <c r="T52" s="8" t="s">
        <v>23</v>
      </c>
      <c r="U52" s="13">
        <f>SUM(K51:U51)</f>
        <v>555.46</v>
      </c>
      <c r="AB52" s="8" t="s">
        <v>23</v>
      </c>
      <c r="AC52" s="13">
        <f>SUM(X51:AC51)</f>
        <v>0</v>
      </c>
      <c r="AJ52" s="8" t="s">
        <v>23</v>
      </c>
      <c r="AK52" s="13">
        <f>SUM(AF51:AK51)</f>
        <v>0</v>
      </c>
    </row>
    <row r="53" spans="1:40" ht="15.75" thickBot="1" x14ac:dyDescent="0.3">
      <c r="A53" s="19"/>
      <c r="B53" s="97" t="s">
        <v>102</v>
      </c>
      <c r="C53" s="97"/>
      <c r="D53" s="97"/>
      <c r="E53" s="97"/>
      <c r="F53" s="97"/>
      <c r="G53" s="97"/>
      <c r="H53" s="97"/>
      <c r="J53" s="98" t="s">
        <v>102</v>
      </c>
      <c r="K53" s="98"/>
      <c r="L53" s="98"/>
      <c r="M53" s="98"/>
      <c r="N53" s="98"/>
      <c r="O53" s="98"/>
      <c r="P53" s="98"/>
      <c r="Q53" s="98"/>
      <c r="R53" s="98"/>
      <c r="S53" s="98"/>
      <c r="T53" s="98"/>
      <c r="U53" s="98"/>
      <c r="W53" s="95" t="str">
        <f>J53</f>
        <v>Janeiro</v>
      </c>
      <c r="X53" s="95"/>
      <c r="Y53" s="95"/>
      <c r="Z53" s="95"/>
      <c r="AA53" s="95"/>
      <c r="AB53" s="95"/>
      <c r="AC53" s="95"/>
      <c r="AE53" s="96" t="str">
        <f>W53</f>
        <v>Janeiro</v>
      </c>
      <c r="AF53" s="96"/>
      <c r="AG53" s="96"/>
      <c r="AH53" s="96"/>
      <c r="AI53" s="96"/>
      <c r="AJ53" s="96"/>
      <c r="AK53" s="96"/>
    </row>
    <row r="54" spans="1:40" ht="15.75" thickBot="1" x14ac:dyDescent="0.3">
      <c r="A54" s="99" t="s">
        <v>5</v>
      </c>
      <c r="B54" s="34" t="s">
        <v>6</v>
      </c>
      <c r="C54" s="22" t="s">
        <v>7</v>
      </c>
      <c r="D54" s="33" t="s">
        <v>8</v>
      </c>
      <c r="E54" s="22" t="s">
        <v>9</v>
      </c>
      <c r="F54" s="24" t="s">
        <v>10</v>
      </c>
      <c r="G54" s="23" t="s">
        <v>11</v>
      </c>
      <c r="H54" s="25" t="s">
        <v>12</v>
      </c>
      <c r="J54" s="6" t="s">
        <v>4</v>
      </c>
      <c r="K54" s="9">
        <v>45664</v>
      </c>
      <c r="L54" s="66">
        <v>45666</v>
      </c>
      <c r="M54" s="66">
        <v>45671</v>
      </c>
      <c r="N54" s="66">
        <v>45673</v>
      </c>
      <c r="O54" s="66">
        <v>45678</v>
      </c>
      <c r="P54" s="66">
        <v>45680</v>
      </c>
      <c r="Q54" s="4"/>
      <c r="R54" s="4"/>
      <c r="S54" s="4"/>
      <c r="T54" s="4"/>
      <c r="U54" s="5"/>
      <c r="W54" s="6" t="s">
        <v>4</v>
      </c>
      <c r="X54" s="9"/>
      <c r="Y54" s="4"/>
      <c r="Z54" s="4"/>
      <c r="AA54" s="4"/>
      <c r="AB54" s="4"/>
      <c r="AC54" s="5"/>
      <c r="AE54" s="6" t="s">
        <v>4</v>
      </c>
      <c r="AF54" s="9"/>
      <c r="AG54" s="4"/>
      <c r="AH54" s="4"/>
      <c r="AI54" s="4"/>
      <c r="AJ54" s="4"/>
      <c r="AK54" s="5"/>
    </row>
    <row r="55" spans="1:40" ht="15.75" thickBot="1" x14ac:dyDescent="0.3">
      <c r="A55" s="99"/>
      <c r="B55" s="26">
        <v>61412</v>
      </c>
      <c r="C55" s="27">
        <v>63254</v>
      </c>
      <c r="D55" s="27">
        <v>63254</v>
      </c>
      <c r="E55" s="27">
        <v>65261</v>
      </c>
      <c r="F55" s="27">
        <f>SUM(C55-B55)</f>
        <v>1842</v>
      </c>
      <c r="G55" s="20">
        <f>SUM(E55-D55)</f>
        <v>2007</v>
      </c>
      <c r="H55" s="21">
        <f>SUM(F55:G55)</f>
        <v>3849</v>
      </c>
      <c r="J55" s="7" t="s">
        <v>22</v>
      </c>
      <c r="K55" s="10">
        <v>326.62</v>
      </c>
      <c r="L55" s="11">
        <v>220.73</v>
      </c>
      <c r="M55" s="11">
        <v>295</v>
      </c>
      <c r="N55" s="11">
        <v>185.7</v>
      </c>
      <c r="O55" s="11">
        <v>334.29</v>
      </c>
      <c r="P55" s="11">
        <v>248.38</v>
      </c>
      <c r="Q55" s="11"/>
      <c r="R55" s="11"/>
      <c r="S55" s="11"/>
      <c r="T55" s="11"/>
      <c r="U55" s="12"/>
      <c r="W55" s="7" t="s">
        <v>22</v>
      </c>
      <c r="X55" s="10"/>
      <c r="Y55" s="11"/>
      <c r="Z55" s="11"/>
      <c r="AA55" s="11"/>
      <c r="AB55" s="11"/>
      <c r="AC55" s="12"/>
      <c r="AE55" s="7" t="s">
        <v>22</v>
      </c>
      <c r="AF55" s="10"/>
      <c r="AG55" s="11"/>
      <c r="AH55" s="11"/>
      <c r="AI55" s="11"/>
      <c r="AJ55" s="11"/>
      <c r="AK55" s="12"/>
    </row>
    <row r="56" spans="1:40" x14ac:dyDescent="0.25">
      <c r="J56" s="8"/>
      <c r="T56" s="8" t="s">
        <v>23</v>
      </c>
      <c r="U56" s="13">
        <f>SUM(K55:U55)</f>
        <v>1610.7199999999998</v>
      </c>
      <c r="AB56" s="8" t="s">
        <v>23</v>
      </c>
      <c r="AC56" s="13">
        <f>SUM(X55:AC55)</f>
        <v>0</v>
      </c>
      <c r="AJ56" s="8" t="s">
        <v>23</v>
      </c>
      <c r="AK56" s="13">
        <f>SUM(AF55:AK55)</f>
        <v>0</v>
      </c>
    </row>
    <row r="57" spans="1:40" ht="15.75" thickBot="1" x14ac:dyDescent="0.3">
      <c r="A57" s="84" t="s">
        <v>105</v>
      </c>
      <c r="B57" s="97" t="s">
        <v>3</v>
      </c>
      <c r="C57" s="97"/>
      <c r="D57" s="97"/>
      <c r="E57" s="97"/>
      <c r="F57" s="97"/>
      <c r="G57" s="97"/>
      <c r="H57" s="97"/>
      <c r="J57" s="98" t="s">
        <v>3</v>
      </c>
      <c r="K57" s="98"/>
      <c r="L57" s="98"/>
      <c r="M57" s="98"/>
      <c r="N57" s="98"/>
      <c r="O57" s="98"/>
      <c r="P57" s="98"/>
      <c r="Q57" s="98"/>
      <c r="R57" s="98"/>
      <c r="S57" s="98"/>
      <c r="T57" s="98"/>
      <c r="U57" s="98"/>
      <c r="W57" s="95" t="str">
        <f>J57</f>
        <v>Fevereiro</v>
      </c>
      <c r="X57" s="95"/>
      <c r="Y57" s="95"/>
      <c r="Z57" s="95"/>
      <c r="AA57" s="95"/>
      <c r="AB57" s="95"/>
      <c r="AC57" s="95"/>
      <c r="AE57" s="96" t="str">
        <f>W57</f>
        <v>Fevereiro</v>
      </c>
      <c r="AF57" s="96"/>
      <c r="AG57" s="96"/>
      <c r="AH57" s="96"/>
      <c r="AI57" s="96"/>
      <c r="AJ57" s="96"/>
      <c r="AK57" s="96"/>
    </row>
    <row r="58" spans="1:40" ht="15.75" thickBot="1" x14ac:dyDescent="0.3">
      <c r="A58" s="99" t="s">
        <v>5</v>
      </c>
      <c r="B58" s="34" t="s">
        <v>6</v>
      </c>
      <c r="C58" s="22" t="s">
        <v>7</v>
      </c>
      <c r="D58" s="33" t="s">
        <v>8</v>
      </c>
      <c r="E58" s="22" t="s">
        <v>9</v>
      </c>
      <c r="F58" s="24" t="s">
        <v>10</v>
      </c>
      <c r="G58" s="23" t="s">
        <v>11</v>
      </c>
      <c r="H58" s="25" t="s">
        <v>12</v>
      </c>
      <c r="J58" s="6" t="s">
        <v>4</v>
      </c>
      <c r="K58" s="9"/>
      <c r="L58" s="66"/>
      <c r="M58" s="66"/>
      <c r="N58" s="66"/>
      <c r="O58" s="66"/>
      <c r="P58" s="66"/>
      <c r="Q58" s="4"/>
      <c r="R58" s="4"/>
      <c r="S58" s="4"/>
      <c r="T58" s="4"/>
      <c r="U58" s="5"/>
      <c r="W58" s="6" t="s">
        <v>4</v>
      </c>
      <c r="X58" s="9"/>
      <c r="Y58" s="4"/>
      <c r="Z58" s="4"/>
      <c r="AA58" s="4"/>
      <c r="AB58" s="4"/>
      <c r="AC58" s="5"/>
      <c r="AE58" s="6" t="s">
        <v>4</v>
      </c>
      <c r="AF58" s="9"/>
      <c r="AG58" s="4"/>
      <c r="AH58" s="4"/>
      <c r="AI58" s="4"/>
      <c r="AJ58" s="4"/>
      <c r="AK58" s="5"/>
    </row>
    <row r="59" spans="1:40" ht="15.75" thickBot="1" x14ac:dyDescent="0.3">
      <c r="A59" s="99"/>
      <c r="B59" s="26">
        <v>36664</v>
      </c>
      <c r="C59" s="27">
        <v>38396</v>
      </c>
      <c r="D59" s="27"/>
      <c r="E59" s="27"/>
      <c r="F59" s="27">
        <f>SUM(C59-B59)</f>
        <v>1732</v>
      </c>
      <c r="G59" s="20">
        <f>SUM(E59-D59)</f>
        <v>0</v>
      </c>
      <c r="H59" s="21">
        <f>SUM(F59:G59)</f>
        <v>1732</v>
      </c>
      <c r="J59" s="7"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40" x14ac:dyDescent="0.25">
      <c r="J60" s="8"/>
      <c r="T60" s="8" t="s">
        <v>23</v>
      </c>
      <c r="U60" s="13">
        <f>SUM(K59:U59)</f>
        <v>0</v>
      </c>
      <c r="AB60" s="8" t="s">
        <v>23</v>
      </c>
      <c r="AC60" s="13">
        <f>SUM(X59:AC59)</f>
        <v>0</v>
      </c>
      <c r="AJ60" s="8" t="s">
        <v>23</v>
      </c>
      <c r="AK60" s="13">
        <f>SUM(AF59:AK59)</f>
        <v>0</v>
      </c>
    </row>
    <row r="61" spans="1:40" ht="15.75" thickBot="1" x14ac:dyDescent="0.3">
      <c r="A61" s="19"/>
      <c r="B61" s="97" t="s">
        <v>13</v>
      </c>
      <c r="C61" s="97"/>
      <c r="D61" s="97"/>
      <c r="E61" s="97"/>
      <c r="F61" s="97"/>
      <c r="G61" s="97"/>
      <c r="H61" s="97"/>
      <c r="J61" s="98" t="s">
        <v>13</v>
      </c>
      <c r="K61" s="98"/>
      <c r="L61" s="98"/>
      <c r="M61" s="98"/>
      <c r="N61" s="98"/>
      <c r="O61" s="98"/>
      <c r="P61" s="98"/>
      <c r="Q61" s="98"/>
      <c r="R61" s="98"/>
      <c r="S61" s="98"/>
      <c r="T61" s="98"/>
      <c r="U61" s="98"/>
      <c r="Y61" s="95" t="str">
        <f>J61</f>
        <v>Março</v>
      </c>
      <c r="Z61" s="95"/>
      <c r="AA61" s="95"/>
      <c r="AB61" s="95"/>
      <c r="AC61" s="95"/>
      <c r="AD61" s="95"/>
      <c r="AE61" s="95"/>
      <c r="AH61" s="96" t="str">
        <f>Y61</f>
        <v>Março</v>
      </c>
      <c r="AI61" s="96"/>
      <c r="AJ61" s="96"/>
      <c r="AK61" s="96"/>
      <c r="AL61" s="96"/>
      <c r="AM61" s="96"/>
      <c r="AN61" s="96"/>
    </row>
    <row r="62" spans="1:40" ht="15.75" thickBot="1" x14ac:dyDescent="0.3">
      <c r="A62" s="99"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Y62" s="6" t="s">
        <v>4</v>
      </c>
      <c r="Z62" s="9"/>
      <c r="AA62" s="4"/>
      <c r="AB62" s="4"/>
      <c r="AC62" s="4"/>
      <c r="AD62" s="4"/>
      <c r="AE62" s="5"/>
      <c r="AH62" s="6" t="s">
        <v>4</v>
      </c>
      <c r="AI62" s="9"/>
      <c r="AJ62" s="4"/>
      <c r="AK62" s="4"/>
      <c r="AL62" s="4"/>
      <c r="AM62" s="4"/>
      <c r="AN62" s="5"/>
    </row>
    <row r="63" spans="1:40" ht="15.75" thickBot="1" x14ac:dyDescent="0.3">
      <c r="A63" s="99"/>
      <c r="B63" s="26"/>
      <c r="C63" s="27"/>
      <c r="D63" s="27"/>
      <c r="E63" s="27"/>
      <c r="F63" s="27">
        <f>SUM(C63-B63)</f>
        <v>0</v>
      </c>
      <c r="G63" s="20">
        <f>SUM(E63-D63)</f>
        <v>0</v>
      </c>
      <c r="H63" s="21">
        <f>SUM(F63:G63)</f>
        <v>0</v>
      </c>
      <c r="J63" s="7" t="s">
        <v>22</v>
      </c>
      <c r="K63" s="10"/>
      <c r="L63" s="11"/>
      <c r="M63" s="11"/>
      <c r="N63" s="11"/>
      <c r="O63" s="11"/>
      <c r="P63" s="11"/>
      <c r="Q63" s="11"/>
      <c r="R63" s="11"/>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0</v>
      </c>
      <c r="AD64" s="8" t="s">
        <v>23</v>
      </c>
      <c r="AE64" s="13">
        <f>SUM(Z63:AE63)</f>
        <v>0</v>
      </c>
      <c r="AM64" s="8" t="s">
        <v>23</v>
      </c>
      <c r="AN64" s="13">
        <f>SUM(AI63:AN63)</f>
        <v>0</v>
      </c>
    </row>
    <row r="65" spans="1:40" ht="15.75" thickBot="1" x14ac:dyDescent="0.3">
      <c r="A65" s="19"/>
      <c r="B65" s="97" t="s">
        <v>14</v>
      </c>
      <c r="C65" s="97"/>
      <c r="D65" s="97"/>
      <c r="E65" s="97"/>
      <c r="F65" s="97"/>
      <c r="G65" s="97"/>
      <c r="H65" s="97"/>
      <c r="J65" s="98" t="s">
        <v>14</v>
      </c>
      <c r="K65" s="98"/>
      <c r="L65" s="98"/>
      <c r="M65" s="98"/>
      <c r="N65" s="98"/>
      <c r="O65" s="98"/>
      <c r="P65" s="98"/>
      <c r="Q65" s="98"/>
      <c r="R65" s="98"/>
      <c r="S65" s="98"/>
      <c r="T65" s="98"/>
      <c r="U65" s="98"/>
      <c r="Y65" s="95" t="str">
        <f>J65</f>
        <v>Abril</v>
      </c>
      <c r="Z65" s="95"/>
      <c r="AA65" s="95"/>
      <c r="AB65" s="95"/>
      <c r="AC65" s="95"/>
      <c r="AD65" s="95"/>
      <c r="AE65" s="95"/>
      <c r="AH65" s="96" t="str">
        <f>Y65</f>
        <v>Abril</v>
      </c>
      <c r="AI65" s="96"/>
      <c r="AJ65" s="96"/>
      <c r="AK65" s="96"/>
      <c r="AL65" s="96"/>
      <c r="AM65" s="96"/>
      <c r="AN65" s="96"/>
    </row>
    <row r="66" spans="1:40" ht="15.75" thickBot="1" x14ac:dyDescent="0.3">
      <c r="A66" s="99" t="s">
        <v>5</v>
      </c>
      <c r="B66" s="34" t="s">
        <v>6</v>
      </c>
      <c r="C66" s="22" t="s">
        <v>7</v>
      </c>
      <c r="D66" s="33" t="s">
        <v>8</v>
      </c>
      <c r="E66" s="22" t="s">
        <v>9</v>
      </c>
      <c r="F66" s="24" t="s">
        <v>10</v>
      </c>
      <c r="G66" s="23" t="s">
        <v>11</v>
      </c>
      <c r="H66" s="25" t="s">
        <v>12</v>
      </c>
      <c r="J66" s="6" t="s">
        <v>4</v>
      </c>
      <c r="K66" s="9">
        <v>45748</v>
      </c>
      <c r="L66" s="9">
        <v>45750</v>
      </c>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9"/>
      <c r="B67" s="26"/>
      <c r="C67" s="27"/>
      <c r="D67" s="27"/>
      <c r="E67" s="27"/>
      <c r="F67" s="27">
        <f>SUM(C67-B67)</f>
        <v>0</v>
      </c>
      <c r="G67" s="20">
        <f>SUM(E67-D67)</f>
        <v>0</v>
      </c>
      <c r="H67" s="21">
        <f>SUM(F67:G67)</f>
        <v>0</v>
      </c>
      <c r="J67" s="7" t="s">
        <v>22</v>
      </c>
      <c r="K67" s="30">
        <v>294.07</v>
      </c>
      <c r="L67" s="30">
        <v>242.75</v>
      </c>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536.81999999999994</v>
      </c>
      <c r="AD68" s="8" t="s">
        <v>23</v>
      </c>
      <c r="AE68" s="13">
        <f>SUM(Z67:AE67)</f>
        <v>0</v>
      </c>
      <c r="AM68" s="8" t="s">
        <v>23</v>
      </c>
      <c r="AN68" s="13">
        <f>SUM(AI67:AN67)</f>
        <v>0</v>
      </c>
    </row>
    <row r="69" spans="1:40" ht="15.75" thickBot="1" x14ac:dyDescent="0.3">
      <c r="A69" s="19"/>
      <c r="B69" s="97" t="s">
        <v>15</v>
      </c>
      <c r="C69" s="97"/>
      <c r="D69" s="97"/>
      <c r="E69" s="97"/>
      <c r="F69" s="97"/>
      <c r="G69" s="97"/>
      <c r="H69" s="97"/>
      <c r="J69" s="98" t="s">
        <v>15</v>
      </c>
      <c r="K69" s="98"/>
      <c r="L69" s="98"/>
      <c r="M69" s="98"/>
      <c r="N69" s="98"/>
      <c r="O69" s="98"/>
      <c r="P69" s="98"/>
      <c r="Q69" s="98"/>
      <c r="R69" s="98"/>
      <c r="S69" s="98"/>
      <c r="T69" s="98"/>
      <c r="U69" s="98"/>
      <c r="Y69" s="95" t="str">
        <f>J69</f>
        <v>Maio</v>
      </c>
      <c r="Z69" s="95"/>
      <c r="AA69" s="95"/>
      <c r="AB69" s="95"/>
      <c r="AC69" s="95"/>
      <c r="AD69" s="95"/>
      <c r="AE69" s="95"/>
      <c r="AH69" s="96" t="str">
        <f>Y69</f>
        <v>Maio</v>
      </c>
      <c r="AI69" s="96"/>
      <c r="AJ69" s="96"/>
      <c r="AK69" s="96"/>
      <c r="AL69" s="96"/>
      <c r="AM69" s="96"/>
      <c r="AN69" s="96"/>
    </row>
    <row r="70" spans="1:40" ht="15.75" thickBot="1" x14ac:dyDescent="0.3">
      <c r="A70" s="99"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9"/>
      <c r="B71" s="26"/>
      <c r="C71" s="27"/>
      <c r="D71" s="27"/>
      <c r="E71" s="27"/>
      <c r="F71" s="27">
        <f>SUM(C71-B71)</f>
        <v>0</v>
      </c>
      <c r="G71" s="20">
        <f>SUM(E71-D71)</f>
        <v>0</v>
      </c>
      <c r="H71" s="21">
        <f>SUM(F71:G71)</f>
        <v>0</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97" t="s">
        <v>24</v>
      </c>
      <c r="C73" s="97"/>
      <c r="D73" s="97"/>
      <c r="E73" s="97"/>
      <c r="F73" s="97"/>
      <c r="G73" s="97"/>
      <c r="H73" s="97"/>
      <c r="J73" s="98" t="s">
        <v>24</v>
      </c>
      <c r="K73" s="98"/>
      <c r="L73" s="98"/>
      <c r="M73" s="98"/>
      <c r="N73" s="98"/>
      <c r="O73" s="98"/>
      <c r="P73" s="98"/>
      <c r="Q73" s="98"/>
      <c r="R73" s="98"/>
      <c r="S73" s="98"/>
      <c r="T73" s="98"/>
      <c r="U73" s="98"/>
      <c r="Y73" s="95" t="str">
        <f>J73</f>
        <v>Junho</v>
      </c>
      <c r="Z73" s="95"/>
      <c r="AA73" s="95"/>
      <c r="AB73" s="95"/>
      <c r="AC73" s="95"/>
      <c r="AD73" s="95"/>
      <c r="AE73" s="95"/>
      <c r="AH73" s="96" t="str">
        <f>Y73</f>
        <v>Junho</v>
      </c>
      <c r="AI73" s="96"/>
      <c r="AJ73" s="96"/>
      <c r="AK73" s="96"/>
      <c r="AL73" s="96"/>
      <c r="AM73" s="96"/>
      <c r="AN73" s="96"/>
    </row>
    <row r="74" spans="1:40" ht="15.75" thickBot="1" x14ac:dyDescent="0.3">
      <c r="A74" s="99"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9"/>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sheetData>
  <mergeCells count="95">
    <mergeCell ref="B73:H73"/>
    <mergeCell ref="J73:U73"/>
    <mergeCell ref="Y73:AE73"/>
    <mergeCell ref="AH73:AN73"/>
    <mergeCell ref="A74:A75"/>
    <mergeCell ref="B69:H69"/>
    <mergeCell ref="J69:U69"/>
    <mergeCell ref="Y69:AE69"/>
    <mergeCell ref="AH69:AN69"/>
    <mergeCell ref="A70:A71"/>
    <mergeCell ref="B65:H65"/>
    <mergeCell ref="J65:U65"/>
    <mergeCell ref="Y65:AE65"/>
    <mergeCell ref="AH65:AN65"/>
    <mergeCell ref="A66:A67"/>
    <mergeCell ref="B61:H61"/>
    <mergeCell ref="J61:U61"/>
    <mergeCell ref="Y61:AE61"/>
    <mergeCell ref="AH61:AN61"/>
    <mergeCell ref="A62:A63"/>
    <mergeCell ref="E3:F3"/>
    <mergeCell ref="B57:H57"/>
    <mergeCell ref="J57:U57"/>
    <mergeCell ref="W57:AC57"/>
    <mergeCell ref="AE57:AK57"/>
    <mergeCell ref="AE53:AK53"/>
    <mergeCell ref="AE7:AK7"/>
    <mergeCell ref="AE9:AK9"/>
    <mergeCell ref="AE13:AK13"/>
    <mergeCell ref="AE17:AK17"/>
    <mergeCell ref="AE49:AK49"/>
    <mergeCell ref="AE25:AK25"/>
    <mergeCell ref="AE29:AK29"/>
    <mergeCell ref="AE33:AK33"/>
    <mergeCell ref="AE37:AK37"/>
    <mergeCell ref="AE41:AK41"/>
    <mergeCell ref="A58:A59"/>
    <mergeCell ref="B53:H53"/>
    <mergeCell ref="J53:U53"/>
    <mergeCell ref="A54:A55"/>
    <mergeCell ref="W53:AC53"/>
    <mergeCell ref="A50:A51"/>
    <mergeCell ref="E4:F4"/>
    <mergeCell ref="A38:A39"/>
    <mergeCell ref="B41:H41"/>
    <mergeCell ref="A42:A43"/>
    <mergeCell ref="B45:H45"/>
    <mergeCell ref="A46:A47"/>
    <mergeCell ref="B49:H49"/>
    <mergeCell ref="A26:A27"/>
    <mergeCell ref="B29:H29"/>
    <mergeCell ref="A30:A31"/>
    <mergeCell ref="B33:H33"/>
    <mergeCell ref="A34:A35"/>
    <mergeCell ref="B37:H37"/>
    <mergeCell ref="B25:H25"/>
    <mergeCell ref="AE45:AK45"/>
    <mergeCell ref="AE21:AK21"/>
    <mergeCell ref="W7:AC7"/>
    <mergeCell ref="W13:AC13"/>
    <mergeCell ref="W17:AC17"/>
    <mergeCell ref="W21:AC21"/>
    <mergeCell ref="W25:AC25"/>
    <mergeCell ref="J45:U45"/>
    <mergeCell ref="J49:U49"/>
    <mergeCell ref="W9:AC9"/>
    <mergeCell ref="J13:U13"/>
    <mergeCell ref="J17:U17"/>
    <mergeCell ref="J21:U21"/>
    <mergeCell ref="J25:U25"/>
    <mergeCell ref="J29:U29"/>
    <mergeCell ref="J33:U33"/>
    <mergeCell ref="J9:U9"/>
    <mergeCell ref="W49:AC49"/>
    <mergeCell ref="W29:AC29"/>
    <mergeCell ref="W33:AC33"/>
    <mergeCell ref="W37:AC37"/>
    <mergeCell ref="W41:AC41"/>
    <mergeCell ref="W45:AC45"/>
    <mergeCell ref="B2:C2"/>
    <mergeCell ref="E2:F2"/>
    <mergeCell ref="B4:C4"/>
    <mergeCell ref="J37:U37"/>
    <mergeCell ref="J41:U41"/>
    <mergeCell ref="J7:U7"/>
    <mergeCell ref="A7:H7"/>
    <mergeCell ref="A10:A11"/>
    <mergeCell ref="A14:A15"/>
    <mergeCell ref="A18:A19"/>
    <mergeCell ref="B9:H9"/>
    <mergeCell ref="B13:H13"/>
    <mergeCell ref="B17:H17"/>
    <mergeCell ref="B21:H21"/>
    <mergeCell ref="A22:A23"/>
    <mergeCell ref="B3:C3"/>
  </mergeCells>
  <phoneticPr fontId="3" type="noConversion"/>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76"/>
  <sheetViews>
    <sheetView showGridLines="0" workbookViewId="0">
      <selection activeCell="I34" sqref="I3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3" width="10.42578125" bestFit="1" customWidth="1"/>
    <col min="26" max="26" width="10.42578125" bestFit="1" customWidth="1"/>
    <col min="37" max="39" width="10.140625" bestFit="1" customWidth="1"/>
  </cols>
  <sheetData>
    <row r="2" spans="1:40" x14ac:dyDescent="0.25">
      <c r="A2" t="s">
        <v>0</v>
      </c>
      <c r="B2" s="100" t="s">
        <v>98</v>
      </c>
      <c r="C2" s="100"/>
      <c r="D2" s="1" t="s">
        <v>1</v>
      </c>
      <c r="E2" s="100" t="s">
        <v>99</v>
      </c>
      <c r="F2" s="100"/>
      <c r="H2" t="s">
        <v>45</v>
      </c>
      <c r="I2" s="54">
        <v>5325</v>
      </c>
    </row>
    <row r="3" spans="1:40" x14ac:dyDescent="0.25">
      <c r="A3" t="s">
        <v>100</v>
      </c>
      <c r="F3" s="1"/>
    </row>
    <row r="4" spans="1:40" x14ac:dyDescent="0.25">
      <c r="A4" t="s">
        <v>2</v>
      </c>
      <c r="B4" s="101">
        <v>3500</v>
      </c>
      <c r="C4" s="101"/>
      <c r="D4" s="1" t="s">
        <v>29</v>
      </c>
      <c r="E4" s="100"/>
      <c r="F4" s="100"/>
      <c r="H4" t="s">
        <v>120</v>
      </c>
      <c r="I4" s="2">
        <v>45796</v>
      </c>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v>40148</v>
      </c>
      <c r="C51" s="27">
        <v>41300</v>
      </c>
      <c r="D51" s="27">
        <v>41364</v>
      </c>
      <c r="E51" s="27">
        <v>41660</v>
      </c>
      <c r="F51" s="27">
        <f>SUM(C51-B51)</f>
        <v>1152</v>
      </c>
      <c r="G51" s="20">
        <f>SUM(E51-D51)</f>
        <v>296</v>
      </c>
      <c r="H51" s="21">
        <f>SUM(F51:G51)</f>
        <v>1448</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row r="53" spans="1:40" ht="15.75" thickBot="1" x14ac:dyDescent="0.3">
      <c r="A53" s="19"/>
      <c r="B53" s="97" t="s">
        <v>102</v>
      </c>
      <c r="C53" s="97"/>
      <c r="D53" s="97"/>
      <c r="E53" s="97"/>
      <c r="F53" s="97"/>
      <c r="G53" s="97"/>
      <c r="H53" s="97"/>
      <c r="J53" s="98" t="s">
        <v>102</v>
      </c>
      <c r="K53" s="98"/>
      <c r="L53" s="98"/>
      <c r="M53" s="98"/>
      <c r="N53" s="98"/>
      <c r="O53" s="98"/>
      <c r="P53" s="98"/>
      <c r="Q53" s="98"/>
      <c r="R53" s="98"/>
      <c r="S53" s="98"/>
      <c r="T53" s="98"/>
      <c r="U53" s="98"/>
      <c r="Y53" s="95" t="str">
        <f>J53</f>
        <v>Janeiro</v>
      </c>
      <c r="Z53" s="95"/>
      <c r="AA53" s="95"/>
      <c r="AB53" s="95"/>
      <c r="AC53" s="95"/>
      <c r="AD53" s="95"/>
      <c r="AE53" s="95"/>
      <c r="AH53" s="96" t="str">
        <f>Y53</f>
        <v>Janeiro</v>
      </c>
      <c r="AI53" s="96"/>
      <c r="AJ53" s="96"/>
      <c r="AK53" s="96"/>
      <c r="AL53" s="96"/>
      <c r="AM53" s="96"/>
      <c r="AN53" s="96"/>
    </row>
    <row r="54" spans="1:40" ht="15.75" thickBot="1" x14ac:dyDescent="0.3">
      <c r="A54" s="99" t="s">
        <v>5</v>
      </c>
      <c r="B54" s="34" t="s">
        <v>6</v>
      </c>
      <c r="C54" s="22" t="s">
        <v>7</v>
      </c>
      <c r="D54" s="33" t="s">
        <v>8</v>
      </c>
      <c r="E54" s="22" t="s">
        <v>9</v>
      </c>
      <c r="F54" s="24" t="s">
        <v>10</v>
      </c>
      <c r="G54" s="23" t="s">
        <v>11</v>
      </c>
      <c r="H54" s="25" t="s">
        <v>12</v>
      </c>
      <c r="J54" s="6" t="s">
        <v>4</v>
      </c>
      <c r="K54" s="9">
        <v>45664</v>
      </c>
      <c r="L54" s="66">
        <v>45670</v>
      </c>
      <c r="M54" s="66">
        <v>45677</v>
      </c>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99"/>
      <c r="B55" s="26">
        <v>41838</v>
      </c>
      <c r="C55" s="27">
        <v>42207</v>
      </c>
      <c r="D55" s="27">
        <v>42207</v>
      </c>
      <c r="E55" s="27">
        <v>43330</v>
      </c>
      <c r="F55" s="27">
        <f>SUM(C55-B55)</f>
        <v>369</v>
      </c>
      <c r="G55" s="20">
        <f>SUM(E55-D55)</f>
        <v>1123</v>
      </c>
      <c r="H55" s="21">
        <f>SUM(F55:G55)</f>
        <v>1492</v>
      </c>
      <c r="J55" s="7" t="s">
        <v>22</v>
      </c>
      <c r="K55" s="10">
        <v>215.24</v>
      </c>
      <c r="L55" s="11">
        <v>278.58</v>
      </c>
      <c r="M55" s="11">
        <v>299.41000000000003</v>
      </c>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793.23</v>
      </c>
      <c r="AD56" s="8" t="s">
        <v>23</v>
      </c>
      <c r="AE56" s="13">
        <f>SUM(Z55:AE55)</f>
        <v>0</v>
      </c>
      <c r="AM56" s="8" t="s">
        <v>23</v>
      </c>
      <c r="AN56" s="13">
        <f>SUM(AI55:AN55)</f>
        <v>0</v>
      </c>
    </row>
    <row r="57" spans="1:40" ht="15.75" thickBot="1" x14ac:dyDescent="0.3">
      <c r="A57" s="19"/>
      <c r="B57" s="97" t="s">
        <v>3</v>
      </c>
      <c r="C57" s="97"/>
      <c r="D57" s="97"/>
      <c r="E57" s="97"/>
      <c r="F57" s="97"/>
      <c r="G57" s="97"/>
      <c r="H57" s="97"/>
      <c r="J57" s="98" t="s">
        <v>3</v>
      </c>
      <c r="K57" s="98"/>
      <c r="L57" s="98"/>
      <c r="M57" s="98"/>
      <c r="N57" s="98"/>
      <c r="O57" s="98"/>
      <c r="P57" s="98"/>
      <c r="Q57" s="98"/>
      <c r="R57" s="98"/>
      <c r="S57" s="98"/>
      <c r="T57" s="98"/>
      <c r="U57" s="98"/>
      <c r="Y57" s="95" t="str">
        <f>J57</f>
        <v>Fevereiro</v>
      </c>
      <c r="Z57" s="95"/>
      <c r="AA57" s="95"/>
      <c r="AB57" s="95"/>
      <c r="AC57" s="95"/>
      <c r="AD57" s="95"/>
      <c r="AE57" s="95"/>
      <c r="AH57" s="96" t="str">
        <f>Y57</f>
        <v>Fevereiro</v>
      </c>
      <c r="AI57" s="96"/>
      <c r="AJ57" s="96"/>
      <c r="AK57" s="96"/>
      <c r="AL57" s="96"/>
      <c r="AM57" s="96"/>
      <c r="AN57" s="96"/>
    </row>
    <row r="58" spans="1:40" ht="15.75" thickBot="1" x14ac:dyDescent="0.3">
      <c r="A58" s="99" t="s">
        <v>5</v>
      </c>
      <c r="B58" s="34" t="s">
        <v>6</v>
      </c>
      <c r="C58" s="22" t="s">
        <v>7</v>
      </c>
      <c r="D58" s="33" t="s">
        <v>8</v>
      </c>
      <c r="E58" s="22" t="s">
        <v>9</v>
      </c>
      <c r="F58" s="24" t="s">
        <v>10</v>
      </c>
      <c r="G58" s="23" t="s">
        <v>11</v>
      </c>
      <c r="H58" s="25" t="s">
        <v>12</v>
      </c>
      <c r="J58" s="6" t="s">
        <v>4</v>
      </c>
      <c r="K58" s="9"/>
      <c r="L58" s="66"/>
      <c r="M58" s="66"/>
      <c r="N58" s="4"/>
      <c r="O58" s="4"/>
      <c r="P58" s="4"/>
      <c r="Q58" s="4"/>
      <c r="R58" s="4"/>
      <c r="S58" s="4"/>
      <c r="T58" s="4"/>
      <c r="U58" s="5"/>
      <c r="Y58" s="6" t="s">
        <v>4</v>
      </c>
      <c r="Z58" s="9"/>
      <c r="AA58" s="4"/>
      <c r="AB58" s="4"/>
      <c r="AC58" s="4"/>
      <c r="AD58" s="4"/>
      <c r="AE58" s="5"/>
      <c r="AH58" s="6" t="s">
        <v>4</v>
      </c>
      <c r="AI58" s="9"/>
      <c r="AJ58" s="4"/>
      <c r="AK58" s="4"/>
      <c r="AL58" s="4"/>
      <c r="AM58" s="4"/>
      <c r="AN58" s="5"/>
    </row>
    <row r="59" spans="1:40" ht="15.75" thickBot="1" x14ac:dyDescent="0.3">
      <c r="A59" s="99"/>
      <c r="B59" s="26">
        <v>43330</v>
      </c>
      <c r="C59" s="27">
        <v>45084</v>
      </c>
      <c r="D59" s="27">
        <v>45090</v>
      </c>
      <c r="E59" s="27">
        <v>46738</v>
      </c>
      <c r="F59" s="27">
        <f>SUM(C59-B59)</f>
        <v>1754</v>
      </c>
      <c r="G59" s="20">
        <f>SUM(E59-D59)</f>
        <v>1648</v>
      </c>
      <c r="H59" s="21">
        <f>SUM(F59:G59)</f>
        <v>3402</v>
      </c>
      <c r="J59" s="7" t="s">
        <v>22</v>
      </c>
      <c r="K59" s="10"/>
      <c r="L59" s="11"/>
      <c r="M59" s="11"/>
      <c r="N59" s="11"/>
      <c r="O59" s="11"/>
      <c r="P59" s="11"/>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0</v>
      </c>
      <c r="AD60" s="8" t="s">
        <v>23</v>
      </c>
      <c r="AE60" s="13">
        <f>SUM(Z59:AE59)</f>
        <v>0</v>
      </c>
      <c r="AM60" s="8" t="s">
        <v>23</v>
      </c>
      <c r="AN60" s="13">
        <f>SUM(AI59:AN59)</f>
        <v>0</v>
      </c>
    </row>
    <row r="61" spans="1:40" ht="15.75" thickBot="1" x14ac:dyDescent="0.3">
      <c r="A61" s="19"/>
      <c r="B61" s="97" t="s">
        <v>13</v>
      </c>
      <c r="C61" s="97"/>
      <c r="D61" s="97"/>
      <c r="E61" s="97"/>
      <c r="F61" s="97"/>
      <c r="G61" s="97"/>
      <c r="H61" s="97"/>
      <c r="J61" s="98" t="s">
        <v>13</v>
      </c>
      <c r="K61" s="98"/>
      <c r="L61" s="98"/>
      <c r="M61" s="98"/>
      <c r="N61" s="98"/>
      <c r="O61" s="98"/>
      <c r="P61" s="98"/>
      <c r="Q61" s="98"/>
      <c r="R61" s="98"/>
      <c r="S61" s="98"/>
      <c r="T61" s="98"/>
      <c r="U61" s="98"/>
      <c r="Y61" s="95" t="str">
        <f>J61</f>
        <v>Março</v>
      </c>
      <c r="Z61" s="95"/>
      <c r="AA61" s="95"/>
      <c r="AB61" s="95"/>
      <c r="AC61" s="95"/>
      <c r="AD61" s="95"/>
      <c r="AE61" s="95"/>
      <c r="AH61" s="96" t="str">
        <f>Y61</f>
        <v>Março</v>
      </c>
      <c r="AI61" s="96"/>
      <c r="AJ61" s="96"/>
      <c r="AK61" s="96"/>
      <c r="AL61" s="96"/>
      <c r="AM61" s="96"/>
      <c r="AN61" s="96"/>
    </row>
    <row r="62" spans="1:40" ht="15.75" thickBot="1" x14ac:dyDescent="0.3">
      <c r="A62" s="99"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Y62" s="6" t="s">
        <v>4</v>
      </c>
      <c r="Z62" s="9">
        <v>45744</v>
      </c>
      <c r="AA62" s="4"/>
      <c r="AB62" s="4"/>
      <c r="AC62" s="4"/>
      <c r="AD62" s="4"/>
      <c r="AE62" s="5"/>
      <c r="AH62" s="6" t="s">
        <v>4</v>
      </c>
      <c r="AI62" s="9"/>
      <c r="AJ62" s="4"/>
      <c r="AK62" s="4"/>
      <c r="AL62" s="4"/>
      <c r="AM62" s="4"/>
      <c r="AN62" s="5"/>
    </row>
    <row r="63" spans="1:40" ht="15.75" thickBot="1" x14ac:dyDescent="0.3">
      <c r="A63" s="99"/>
      <c r="B63" s="27">
        <v>46738</v>
      </c>
      <c r="C63" s="27">
        <v>48136</v>
      </c>
      <c r="D63" s="27">
        <v>48136</v>
      </c>
      <c r="E63" s="26">
        <v>49839</v>
      </c>
      <c r="F63" s="27">
        <f>SUM(C63-B63)</f>
        <v>1398</v>
      </c>
      <c r="G63" s="20">
        <f>SUM(E63-D63)</f>
        <v>1703</v>
      </c>
      <c r="H63" s="21">
        <f>SUM(F63:G63)</f>
        <v>3101</v>
      </c>
      <c r="J63" s="7" t="s">
        <v>22</v>
      </c>
      <c r="K63" s="10"/>
      <c r="L63" s="11"/>
      <c r="M63" s="11"/>
      <c r="N63" s="11"/>
      <c r="O63" s="11"/>
      <c r="P63" s="11"/>
      <c r="Q63" s="11"/>
      <c r="R63" s="11"/>
      <c r="S63" s="11"/>
      <c r="T63" s="11"/>
      <c r="U63" s="12"/>
      <c r="Y63" s="7" t="s">
        <v>22</v>
      </c>
      <c r="Z63" s="10">
        <v>50</v>
      </c>
      <c r="AA63" s="11"/>
      <c r="AB63" s="11"/>
      <c r="AC63" s="11"/>
      <c r="AD63" s="11"/>
      <c r="AE63" s="12"/>
      <c r="AH63" s="7" t="s">
        <v>22</v>
      </c>
      <c r="AI63" s="10"/>
      <c r="AJ63" s="11"/>
      <c r="AK63" s="11"/>
      <c r="AL63" s="11"/>
      <c r="AM63" s="11"/>
      <c r="AN63" s="12"/>
    </row>
    <row r="64" spans="1:40" x14ac:dyDescent="0.25">
      <c r="J64" s="8"/>
      <c r="T64" s="8" t="s">
        <v>23</v>
      </c>
      <c r="U64" s="13">
        <f>SUM(K63:U63)</f>
        <v>0</v>
      </c>
      <c r="AD64" s="8" t="s">
        <v>23</v>
      </c>
      <c r="AE64" s="13">
        <f>SUM(Z63:AE63)</f>
        <v>50</v>
      </c>
      <c r="AM64" s="8" t="s">
        <v>23</v>
      </c>
      <c r="AN64" s="13">
        <f>SUM(AI63:AN63)</f>
        <v>0</v>
      </c>
    </row>
    <row r="65" spans="1:40" ht="15.75" thickBot="1" x14ac:dyDescent="0.3">
      <c r="A65" s="19"/>
      <c r="B65" s="97" t="s">
        <v>14</v>
      </c>
      <c r="C65" s="97"/>
      <c r="D65" s="97"/>
      <c r="E65" s="97"/>
      <c r="F65" s="97"/>
      <c r="G65" s="97"/>
      <c r="H65" s="97"/>
      <c r="J65" s="98" t="s">
        <v>14</v>
      </c>
      <c r="K65" s="98"/>
      <c r="L65" s="98"/>
      <c r="M65" s="98"/>
      <c r="N65" s="98"/>
      <c r="O65" s="98"/>
      <c r="P65" s="98"/>
      <c r="Q65" s="98"/>
      <c r="R65" s="98"/>
      <c r="S65" s="98"/>
      <c r="T65" s="98"/>
      <c r="U65" s="98"/>
      <c r="Y65" s="95" t="str">
        <f>J65</f>
        <v>Abril</v>
      </c>
      <c r="Z65" s="95"/>
      <c r="AA65" s="95"/>
      <c r="AB65" s="95"/>
      <c r="AC65" s="95"/>
      <c r="AD65" s="95"/>
      <c r="AE65" s="95"/>
      <c r="AH65" s="96" t="str">
        <f>Y65</f>
        <v>Abril</v>
      </c>
      <c r="AI65" s="96"/>
      <c r="AJ65" s="96"/>
      <c r="AK65" s="96"/>
      <c r="AL65" s="96"/>
      <c r="AM65" s="96"/>
      <c r="AN65" s="96"/>
    </row>
    <row r="66" spans="1:40" ht="15.75" thickBot="1" x14ac:dyDescent="0.3">
      <c r="A66" s="99"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9"/>
      <c r="B67" s="26">
        <v>49839</v>
      </c>
      <c r="C67" s="27">
        <v>51849</v>
      </c>
      <c r="D67" s="27">
        <v>51849</v>
      </c>
      <c r="E67" s="27">
        <v>53249</v>
      </c>
      <c r="F67" s="27">
        <f>SUM(C67-B67)</f>
        <v>2010</v>
      </c>
      <c r="G67" s="20">
        <f>SUM(E67-D67)</f>
        <v>1400</v>
      </c>
      <c r="H67" s="21">
        <f>SUM(F67:G67)</f>
        <v>3410</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97" t="s">
        <v>15</v>
      </c>
      <c r="C69" s="97"/>
      <c r="D69" s="97"/>
      <c r="E69" s="97"/>
      <c r="F69" s="97"/>
      <c r="G69" s="97"/>
      <c r="H69" s="97"/>
      <c r="J69" s="98" t="s">
        <v>15</v>
      </c>
      <c r="K69" s="98"/>
      <c r="L69" s="98"/>
      <c r="M69" s="98"/>
      <c r="N69" s="98"/>
      <c r="O69" s="98"/>
      <c r="P69" s="98"/>
      <c r="Q69" s="98"/>
      <c r="R69" s="98"/>
      <c r="S69" s="98"/>
      <c r="T69" s="98"/>
      <c r="U69" s="98"/>
      <c r="Y69" s="95" t="str">
        <f>J69</f>
        <v>Maio</v>
      </c>
      <c r="Z69" s="95"/>
      <c r="AA69" s="95"/>
      <c r="AB69" s="95"/>
      <c r="AC69" s="95"/>
      <c r="AD69" s="95"/>
      <c r="AE69" s="95"/>
      <c r="AH69" s="96" t="str">
        <f>Y69</f>
        <v>Maio</v>
      </c>
      <c r="AI69" s="96"/>
      <c r="AJ69" s="96"/>
      <c r="AK69" s="96"/>
      <c r="AL69" s="96"/>
      <c r="AM69" s="96"/>
      <c r="AN69" s="96"/>
    </row>
    <row r="70" spans="1:40" ht="15.75" thickBot="1" x14ac:dyDescent="0.3">
      <c r="A70" s="99"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9"/>
      <c r="B71" s="27">
        <v>53249</v>
      </c>
      <c r="C71" s="27">
        <v>54877</v>
      </c>
      <c r="D71" s="27"/>
      <c r="E71" s="27"/>
      <c r="F71" s="27">
        <f>SUM(C71-B71)</f>
        <v>1628</v>
      </c>
      <c r="G71" s="20">
        <f>SUM(E71-D71)</f>
        <v>0</v>
      </c>
      <c r="H71" s="21">
        <f>SUM(F71:G71)</f>
        <v>1628</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97" t="s">
        <v>24</v>
      </c>
      <c r="C73" s="97"/>
      <c r="D73" s="97"/>
      <c r="E73" s="97"/>
      <c r="F73" s="97"/>
      <c r="G73" s="97"/>
      <c r="H73" s="97"/>
      <c r="J73" s="98" t="s">
        <v>24</v>
      </c>
      <c r="K73" s="98"/>
      <c r="L73" s="98"/>
      <c r="M73" s="98"/>
      <c r="N73" s="98"/>
      <c r="O73" s="98"/>
      <c r="P73" s="98"/>
      <c r="Q73" s="98"/>
      <c r="R73" s="98"/>
      <c r="S73" s="98"/>
      <c r="T73" s="98"/>
      <c r="U73" s="98"/>
      <c r="Y73" s="95" t="str">
        <f>J73</f>
        <v>Junho</v>
      </c>
      <c r="Z73" s="95"/>
      <c r="AA73" s="95"/>
      <c r="AB73" s="95"/>
      <c r="AC73" s="95"/>
      <c r="AD73" s="95"/>
      <c r="AE73" s="95"/>
      <c r="AH73" s="96" t="str">
        <f>Y73</f>
        <v>Junho</v>
      </c>
      <c r="AI73" s="96"/>
      <c r="AJ73" s="96"/>
      <c r="AK73" s="96"/>
      <c r="AL73" s="96"/>
      <c r="AM73" s="96"/>
      <c r="AN73" s="96"/>
    </row>
    <row r="74" spans="1:40" ht="15.75" thickBot="1" x14ac:dyDescent="0.3">
      <c r="A74" s="99"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9"/>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sheetData>
  <mergeCells count="93">
    <mergeCell ref="B73:H73"/>
    <mergeCell ref="J73:U73"/>
    <mergeCell ref="Y73:AE73"/>
    <mergeCell ref="AH73:AN73"/>
    <mergeCell ref="A74:A75"/>
    <mergeCell ref="B69:H69"/>
    <mergeCell ref="J69:U69"/>
    <mergeCell ref="Y69:AE69"/>
    <mergeCell ref="AH69:AN69"/>
    <mergeCell ref="A70:A71"/>
    <mergeCell ref="B65:H65"/>
    <mergeCell ref="J65:U65"/>
    <mergeCell ref="Y65:AE65"/>
    <mergeCell ref="AH65:AN65"/>
    <mergeCell ref="A66:A67"/>
    <mergeCell ref="B61:H61"/>
    <mergeCell ref="J61:U61"/>
    <mergeCell ref="Y61:AE61"/>
    <mergeCell ref="AH61:AN61"/>
    <mergeCell ref="A62:A63"/>
    <mergeCell ref="B57:H57"/>
    <mergeCell ref="J57:U57"/>
    <mergeCell ref="Y57:AE57"/>
    <mergeCell ref="AH57:AN57"/>
    <mergeCell ref="A58:A59"/>
    <mergeCell ref="B53:H53"/>
    <mergeCell ref="J53:U53"/>
    <mergeCell ref="Y53:AE53"/>
    <mergeCell ref="AH53:AN53"/>
    <mergeCell ref="A54:A5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2"/>
  <sheetViews>
    <sheetView showGridLines="0" workbookViewId="0">
      <selection activeCell="Z40" sqref="Z40"/>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3" width="10.42578125" bestFit="1" customWidth="1"/>
    <col min="21" max="21" width="10.5703125" bestFit="1" customWidth="1"/>
    <col min="26" max="26" width="10.42578125" bestFit="1" customWidth="1"/>
    <col min="31" max="31" width="9.5703125" bestFit="1" customWidth="1"/>
    <col min="37" max="39" width="10.140625" bestFit="1" customWidth="1"/>
  </cols>
  <sheetData>
    <row r="2" spans="1:40" x14ac:dyDescent="0.25">
      <c r="A2" t="s">
        <v>0</v>
      </c>
      <c r="B2" s="100" t="s">
        <v>70</v>
      </c>
      <c r="C2" s="100"/>
      <c r="D2" s="1" t="s">
        <v>1</v>
      </c>
      <c r="E2" s="100" t="s">
        <v>80</v>
      </c>
      <c r="F2" s="100"/>
      <c r="H2" t="s">
        <v>45</v>
      </c>
      <c r="I2" s="54"/>
    </row>
    <row r="3" spans="1:40" x14ac:dyDescent="0.25">
      <c r="F3" s="1"/>
    </row>
    <row r="4" spans="1:40" x14ac:dyDescent="0.25">
      <c r="A4" t="s">
        <v>2</v>
      </c>
      <c r="B4" s="101"/>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v>45517</v>
      </c>
      <c r="L34" s="66">
        <v>45528</v>
      </c>
      <c r="M34" s="66">
        <v>45533</v>
      </c>
      <c r="N34" s="4"/>
      <c r="O34" s="4"/>
      <c r="P34" s="4"/>
      <c r="Q34" s="4"/>
      <c r="R34" s="4"/>
      <c r="S34" s="4"/>
      <c r="T34" s="4"/>
      <c r="U34" s="5"/>
      <c r="Y34" s="6" t="s">
        <v>4</v>
      </c>
      <c r="Z34" s="9">
        <v>45526</v>
      </c>
      <c r="AA34" s="4"/>
      <c r="AB34" s="4"/>
      <c r="AC34" s="4"/>
      <c r="AD34" s="4"/>
      <c r="AE34" s="5"/>
      <c r="AH34" s="6" t="s">
        <v>4</v>
      </c>
      <c r="AI34" s="9"/>
      <c r="AJ34" s="4"/>
      <c r="AK34" s="4"/>
      <c r="AL34" s="4"/>
      <c r="AM34" s="4"/>
      <c r="AN34" s="5"/>
    </row>
    <row r="35" spans="1:40" ht="15.75" thickBot="1" x14ac:dyDescent="0.3">
      <c r="A35" s="99"/>
      <c r="B35" s="26"/>
      <c r="C35" s="27"/>
      <c r="D35" s="27"/>
      <c r="E35" s="27">
        <v>28233</v>
      </c>
      <c r="F35" s="27">
        <f>SUM(C35-B35)</f>
        <v>0</v>
      </c>
      <c r="G35" s="20">
        <f>SUM(E35-D35)</f>
        <v>28233</v>
      </c>
      <c r="H35" s="21">
        <f>SUM(F35:G35)</f>
        <v>28233</v>
      </c>
      <c r="J35" s="7" t="s">
        <v>22</v>
      </c>
      <c r="K35" s="10">
        <v>253.8</v>
      </c>
      <c r="L35" s="11">
        <v>243.05</v>
      </c>
      <c r="M35" s="11">
        <v>215.01</v>
      </c>
      <c r="N35" s="11"/>
      <c r="O35" s="11"/>
      <c r="P35" s="11"/>
      <c r="Q35" s="11"/>
      <c r="R35" s="11"/>
      <c r="S35" s="11"/>
      <c r="T35" s="11"/>
      <c r="U35" s="12"/>
      <c r="Y35" s="7" t="s">
        <v>22</v>
      </c>
      <c r="Z35" s="10">
        <v>50</v>
      </c>
      <c r="AA35" s="11"/>
      <c r="AB35" s="11"/>
      <c r="AC35" s="11"/>
      <c r="AD35" s="11"/>
      <c r="AE35" s="12"/>
      <c r="AH35" s="7" t="s">
        <v>22</v>
      </c>
      <c r="AI35" s="10"/>
      <c r="AJ35" s="11"/>
      <c r="AK35" s="11"/>
      <c r="AL35" s="11"/>
      <c r="AM35" s="11"/>
      <c r="AN35" s="12"/>
    </row>
    <row r="36" spans="1:40" x14ac:dyDescent="0.25">
      <c r="J36" s="8"/>
      <c r="T36" s="8" t="s">
        <v>23</v>
      </c>
      <c r="U36" s="13">
        <f>SUM(K35:U35)</f>
        <v>711.86</v>
      </c>
      <c r="AD36" s="8" t="s">
        <v>23</v>
      </c>
      <c r="AE36" s="13">
        <f>SUM(Z35:AE35)</f>
        <v>50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v>45538</v>
      </c>
      <c r="L38" s="4"/>
      <c r="M38" s="4"/>
      <c r="N38" s="4"/>
      <c r="O38" s="4"/>
      <c r="P38" s="4"/>
      <c r="Q38" s="4"/>
      <c r="R38" s="4"/>
      <c r="S38" s="4"/>
      <c r="T38" s="4"/>
      <c r="U38" s="5"/>
      <c r="Y38" s="6" t="s">
        <v>4</v>
      </c>
      <c r="Z38" s="9">
        <v>45539</v>
      </c>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v>206.3</v>
      </c>
      <c r="L39" s="11"/>
      <c r="M39" s="11"/>
      <c r="N39" s="11"/>
      <c r="O39" s="11"/>
      <c r="P39" s="11"/>
      <c r="Q39" s="11"/>
      <c r="R39" s="11"/>
      <c r="S39" s="11"/>
      <c r="T39" s="11"/>
      <c r="U39" s="12"/>
      <c r="Y39" s="7" t="s">
        <v>22</v>
      </c>
      <c r="Z39" s="10">
        <v>50</v>
      </c>
      <c r="AA39" s="11"/>
      <c r="AB39" s="11"/>
      <c r="AC39" s="11"/>
      <c r="AD39" s="11"/>
      <c r="AE39" s="12"/>
      <c r="AH39" s="7" t="s">
        <v>22</v>
      </c>
      <c r="AI39" s="10"/>
      <c r="AJ39" s="11"/>
      <c r="AK39" s="11"/>
      <c r="AL39" s="11"/>
      <c r="AM39" s="11"/>
      <c r="AN39" s="12"/>
    </row>
    <row r="40" spans="1:40" x14ac:dyDescent="0.25">
      <c r="J40" s="8"/>
      <c r="T40" s="8" t="s">
        <v>23</v>
      </c>
      <c r="U40" s="13">
        <f>SUM(K39:U39)</f>
        <v>206.3</v>
      </c>
      <c r="AD40" s="8" t="s">
        <v>23</v>
      </c>
      <c r="AE40" s="13">
        <f>SUM(Z39:AE39)</f>
        <v>50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52"/>
  <sheetViews>
    <sheetView showGridLines="0" workbookViewId="0">
      <selection activeCell="X36" sqref="X3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4" width="10.42578125" bestFit="1" customWidth="1"/>
    <col min="21" max="21" width="10.42578125" bestFit="1" customWidth="1"/>
    <col min="24" max="25" width="10.42578125" bestFit="1" customWidth="1"/>
    <col min="29" max="29" width="10.5703125" bestFit="1" customWidth="1"/>
    <col min="34" max="36" width="10.140625" bestFit="1" customWidth="1"/>
  </cols>
  <sheetData>
    <row r="2" spans="1:37" x14ac:dyDescent="0.25">
      <c r="A2" t="s">
        <v>0</v>
      </c>
      <c r="B2" s="100" t="s">
        <v>70</v>
      </c>
      <c r="C2" s="100"/>
      <c r="D2" s="1" t="s">
        <v>1</v>
      </c>
      <c r="E2" s="100" t="s">
        <v>77</v>
      </c>
      <c r="F2" s="100"/>
      <c r="H2" t="s">
        <v>45</v>
      </c>
      <c r="I2" s="54"/>
    </row>
    <row r="3" spans="1:37" x14ac:dyDescent="0.25">
      <c r="F3" s="1"/>
    </row>
    <row r="4" spans="1:37" x14ac:dyDescent="0.25">
      <c r="A4" t="s">
        <v>2</v>
      </c>
      <c r="B4" s="101">
        <v>3455.99</v>
      </c>
      <c r="C4" s="101"/>
      <c r="D4" s="1" t="s">
        <v>29</v>
      </c>
      <c r="E4" s="100"/>
      <c r="F4" s="100"/>
      <c r="H4" t="s">
        <v>65</v>
      </c>
      <c r="I4" s="67">
        <v>45414</v>
      </c>
    </row>
    <row r="7" spans="1:37"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104" t="s">
        <v>25</v>
      </c>
      <c r="X7" s="104"/>
      <c r="Y7" s="104"/>
      <c r="Z7" s="104"/>
      <c r="AA7" s="104"/>
      <c r="AB7" s="104"/>
      <c r="AC7" s="104"/>
      <c r="AD7" s="2"/>
      <c r="AE7" s="104" t="s">
        <v>27</v>
      </c>
      <c r="AF7" s="104"/>
      <c r="AG7" s="104"/>
      <c r="AH7" s="104"/>
      <c r="AI7" s="104"/>
      <c r="AJ7" s="104"/>
      <c r="AK7" s="104"/>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7" t="s">
        <v>3</v>
      </c>
      <c r="C9" s="97"/>
      <c r="D9" s="97"/>
      <c r="E9" s="97"/>
      <c r="F9" s="97"/>
      <c r="G9" s="97"/>
      <c r="H9" s="97"/>
      <c r="J9" s="98" t="s">
        <v>3</v>
      </c>
      <c r="K9" s="98"/>
      <c r="L9" s="98"/>
      <c r="M9" s="98"/>
      <c r="N9" s="98"/>
      <c r="O9" s="98"/>
      <c r="P9" s="98"/>
      <c r="Q9" s="98"/>
      <c r="R9" s="98"/>
      <c r="S9" s="98"/>
      <c r="T9" s="98"/>
      <c r="U9" s="98"/>
      <c r="W9" s="95" t="s">
        <v>3</v>
      </c>
      <c r="X9" s="95"/>
      <c r="Y9" s="95"/>
      <c r="Z9" s="95"/>
      <c r="AA9" s="95"/>
      <c r="AB9" s="95"/>
      <c r="AC9" s="95"/>
      <c r="AE9" s="96" t="s">
        <v>3</v>
      </c>
      <c r="AF9" s="96"/>
      <c r="AG9" s="96"/>
      <c r="AH9" s="96"/>
      <c r="AI9" s="96"/>
      <c r="AJ9" s="96"/>
      <c r="AK9" s="96"/>
    </row>
    <row r="10" spans="1:37"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7" t="s">
        <v>13</v>
      </c>
      <c r="C13" s="97"/>
      <c r="D13" s="97"/>
      <c r="E13" s="97"/>
      <c r="F13" s="97"/>
      <c r="G13" s="97"/>
      <c r="H13" s="97"/>
      <c r="J13" s="98" t="s">
        <v>13</v>
      </c>
      <c r="K13" s="98"/>
      <c r="L13" s="98"/>
      <c r="M13" s="98"/>
      <c r="N13" s="98"/>
      <c r="O13" s="98"/>
      <c r="P13" s="98"/>
      <c r="Q13" s="98"/>
      <c r="R13" s="98"/>
      <c r="S13" s="98"/>
      <c r="T13" s="98"/>
      <c r="U13" s="98"/>
      <c r="W13" s="95" t="str">
        <f>J13</f>
        <v>Março</v>
      </c>
      <c r="X13" s="95"/>
      <c r="Y13" s="95"/>
      <c r="Z13" s="95"/>
      <c r="AA13" s="95"/>
      <c r="AB13" s="95"/>
      <c r="AC13" s="95"/>
      <c r="AE13" s="96" t="str">
        <f>W13</f>
        <v>Março</v>
      </c>
      <c r="AF13" s="96"/>
      <c r="AG13" s="96"/>
      <c r="AH13" s="96"/>
      <c r="AI13" s="96"/>
      <c r="AJ13" s="96"/>
      <c r="AK13" s="96"/>
    </row>
    <row r="14" spans="1:37" ht="15.75" thickBot="1" x14ac:dyDescent="0.3">
      <c r="A14" s="99"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97" t="s">
        <v>14</v>
      </c>
      <c r="C17" s="97"/>
      <c r="D17" s="97"/>
      <c r="E17" s="97"/>
      <c r="F17" s="97"/>
      <c r="G17" s="97"/>
      <c r="H17" s="97"/>
      <c r="J17" s="98" t="s">
        <v>14</v>
      </c>
      <c r="K17" s="98"/>
      <c r="L17" s="98"/>
      <c r="M17" s="98"/>
      <c r="N17" s="98"/>
      <c r="O17" s="98"/>
      <c r="P17" s="98"/>
      <c r="Q17" s="98"/>
      <c r="R17" s="98"/>
      <c r="S17" s="98"/>
      <c r="T17" s="98"/>
      <c r="U17" s="98"/>
      <c r="W17" s="95" t="str">
        <f>J17</f>
        <v>Abril</v>
      </c>
      <c r="X17" s="95"/>
      <c r="Y17" s="95"/>
      <c r="Z17" s="95"/>
      <c r="AA17" s="95"/>
      <c r="AB17" s="95"/>
      <c r="AC17" s="95"/>
      <c r="AE17" s="96" t="str">
        <f>W17</f>
        <v>Abril</v>
      </c>
      <c r="AF17" s="96"/>
      <c r="AG17" s="96"/>
      <c r="AH17" s="96"/>
      <c r="AI17" s="96"/>
      <c r="AJ17" s="96"/>
      <c r="AK17" s="96"/>
    </row>
    <row r="18" spans="1:37"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97" t="s">
        <v>15</v>
      </c>
      <c r="C21" s="97"/>
      <c r="D21" s="97"/>
      <c r="E21" s="97"/>
      <c r="F21" s="97"/>
      <c r="G21" s="97"/>
      <c r="H21" s="97"/>
      <c r="J21" s="98" t="s">
        <v>15</v>
      </c>
      <c r="K21" s="98"/>
      <c r="L21" s="98"/>
      <c r="M21" s="98"/>
      <c r="N21" s="98"/>
      <c r="O21" s="98"/>
      <c r="P21" s="98"/>
      <c r="Q21" s="98"/>
      <c r="R21" s="98"/>
      <c r="S21" s="98"/>
      <c r="T21" s="98"/>
      <c r="U21" s="98"/>
      <c r="W21" s="95" t="str">
        <f>J21</f>
        <v>Maio</v>
      </c>
      <c r="X21" s="95"/>
      <c r="Y21" s="95"/>
      <c r="Z21" s="95"/>
      <c r="AA21" s="95"/>
      <c r="AB21" s="95"/>
      <c r="AC21" s="95"/>
      <c r="AE21" s="96" t="str">
        <f>W21</f>
        <v>Maio</v>
      </c>
      <c r="AF21" s="96"/>
      <c r="AG21" s="96"/>
      <c r="AH21" s="96"/>
      <c r="AI21" s="96"/>
      <c r="AJ21" s="96"/>
      <c r="AK21" s="96"/>
    </row>
    <row r="22" spans="1:37" ht="15.75" thickBot="1" x14ac:dyDescent="0.3">
      <c r="A22" s="99" t="s">
        <v>5</v>
      </c>
      <c r="B22" s="34" t="s">
        <v>6</v>
      </c>
      <c r="C22" s="22" t="s">
        <v>7</v>
      </c>
      <c r="D22" s="33" t="s">
        <v>8</v>
      </c>
      <c r="E22" s="22" t="s">
        <v>9</v>
      </c>
      <c r="F22" s="24" t="s">
        <v>10</v>
      </c>
      <c r="G22" s="23" t="s">
        <v>11</v>
      </c>
      <c r="H22" s="25" t="s">
        <v>12</v>
      </c>
      <c r="J22" s="6" t="s">
        <v>4</v>
      </c>
      <c r="K22" s="9">
        <v>45426</v>
      </c>
      <c r="L22" s="66">
        <v>45442</v>
      </c>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99"/>
      <c r="B23" s="26">
        <v>36896</v>
      </c>
      <c r="C23" s="27"/>
      <c r="D23" s="27"/>
      <c r="E23" s="20">
        <v>38281</v>
      </c>
      <c r="F23" s="27">
        <f>SUM(C23-B23)</f>
        <v>-36896</v>
      </c>
      <c r="G23" s="20">
        <f>SUM(E23-D23)</f>
        <v>38281</v>
      </c>
      <c r="H23" s="21">
        <f>SUM(F23:G23)</f>
        <v>1385</v>
      </c>
      <c r="J23" s="7" t="s">
        <v>22</v>
      </c>
      <c r="K23" s="10">
        <v>250.92</v>
      </c>
      <c r="L23" s="11">
        <v>280.05</v>
      </c>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530.97</v>
      </c>
      <c r="AB24" s="8" t="s">
        <v>23</v>
      </c>
      <c r="AC24" s="13">
        <f>SUM(X23:AC23)</f>
        <v>0</v>
      </c>
      <c r="AJ24" s="8" t="s">
        <v>23</v>
      </c>
      <c r="AK24" s="13">
        <f>SUM(AF23:AK23)</f>
        <v>0</v>
      </c>
    </row>
    <row r="25" spans="1:37" ht="15.75" thickBot="1" x14ac:dyDescent="0.3">
      <c r="A25" s="19"/>
      <c r="B25" s="97" t="s">
        <v>24</v>
      </c>
      <c r="C25" s="97"/>
      <c r="D25" s="97"/>
      <c r="E25" s="97"/>
      <c r="F25" s="97"/>
      <c r="G25" s="97"/>
      <c r="H25" s="97"/>
      <c r="J25" s="98" t="s">
        <v>24</v>
      </c>
      <c r="K25" s="98"/>
      <c r="L25" s="98"/>
      <c r="M25" s="98"/>
      <c r="N25" s="98"/>
      <c r="O25" s="98"/>
      <c r="P25" s="98"/>
      <c r="Q25" s="98"/>
      <c r="R25" s="98"/>
      <c r="S25" s="98"/>
      <c r="T25" s="98"/>
      <c r="U25" s="98"/>
      <c r="W25" s="95" t="str">
        <f>J25</f>
        <v>Junho</v>
      </c>
      <c r="X25" s="95"/>
      <c r="Y25" s="95"/>
      <c r="Z25" s="95"/>
      <c r="AA25" s="95"/>
      <c r="AB25" s="95"/>
      <c r="AC25" s="95"/>
      <c r="AE25" s="96" t="str">
        <f>W25</f>
        <v>Junho</v>
      </c>
      <c r="AF25" s="96"/>
      <c r="AG25" s="96"/>
      <c r="AH25" s="96"/>
      <c r="AI25" s="96"/>
      <c r="AJ25" s="96"/>
      <c r="AK25" s="96"/>
    </row>
    <row r="26" spans="1:37" ht="15.75" thickBot="1" x14ac:dyDescent="0.3">
      <c r="A26" s="99" t="s">
        <v>5</v>
      </c>
      <c r="B26" s="34" t="s">
        <v>6</v>
      </c>
      <c r="C26" s="22" t="s">
        <v>7</v>
      </c>
      <c r="D26" s="33" t="s">
        <v>8</v>
      </c>
      <c r="E26" s="22" t="s">
        <v>9</v>
      </c>
      <c r="F26" s="24" t="s">
        <v>10</v>
      </c>
      <c r="G26" s="23" t="s">
        <v>11</v>
      </c>
      <c r="H26" s="25" t="s">
        <v>12</v>
      </c>
      <c r="J26" s="6" t="s">
        <v>4</v>
      </c>
      <c r="K26" s="9">
        <v>45463</v>
      </c>
      <c r="L26" s="66">
        <v>45453</v>
      </c>
      <c r="M26" s="4"/>
      <c r="N26" s="4"/>
      <c r="O26" s="4"/>
      <c r="P26" s="4"/>
      <c r="Q26" s="4"/>
      <c r="R26" s="4"/>
      <c r="S26" s="4"/>
      <c r="T26" s="4"/>
      <c r="U26" s="5"/>
      <c r="W26" s="6" t="s">
        <v>4</v>
      </c>
      <c r="X26" s="9">
        <v>45461</v>
      </c>
      <c r="Y26" s="4"/>
      <c r="Z26" s="4"/>
      <c r="AA26" s="4"/>
      <c r="AB26" s="4"/>
      <c r="AC26" s="5"/>
      <c r="AE26" s="6" t="s">
        <v>4</v>
      </c>
      <c r="AF26" s="9"/>
      <c r="AG26" s="4"/>
      <c r="AH26" s="4"/>
      <c r="AI26" s="4"/>
      <c r="AJ26" s="4"/>
      <c r="AK26" s="5"/>
    </row>
    <row r="27" spans="1:37" ht="15.75" thickBot="1" x14ac:dyDescent="0.3">
      <c r="A27" s="99"/>
      <c r="B27" s="26">
        <v>38281</v>
      </c>
      <c r="C27" s="27"/>
      <c r="D27" s="27"/>
      <c r="E27" s="27">
        <v>39591</v>
      </c>
      <c r="F27" s="27">
        <f>SUM(C27-B27)</f>
        <v>-38281</v>
      </c>
      <c r="G27" s="20">
        <f>SUM(E27-D27)</f>
        <v>39591</v>
      </c>
      <c r="H27" s="21">
        <f>SUM(F27:G27)</f>
        <v>1310</v>
      </c>
      <c r="J27" s="7" t="s">
        <v>22</v>
      </c>
      <c r="K27" s="10">
        <v>277.05</v>
      </c>
      <c r="L27" s="11">
        <v>244.8</v>
      </c>
      <c r="M27" s="11"/>
      <c r="N27" s="11"/>
      <c r="O27" s="11"/>
      <c r="P27" s="11"/>
      <c r="Q27" s="11"/>
      <c r="R27" s="11"/>
      <c r="S27" s="11"/>
      <c r="T27" s="11"/>
      <c r="U27" s="12"/>
      <c r="W27" s="7" t="s">
        <v>22</v>
      </c>
      <c r="X27" s="10">
        <v>50</v>
      </c>
      <c r="Y27" s="11"/>
      <c r="Z27" s="11"/>
      <c r="AA27" s="11"/>
      <c r="AB27" s="11"/>
      <c r="AC27" s="12"/>
      <c r="AE27" s="7" t="s">
        <v>22</v>
      </c>
      <c r="AF27" s="10"/>
      <c r="AG27" s="11"/>
      <c r="AH27" s="11"/>
      <c r="AI27" s="11"/>
      <c r="AJ27" s="11"/>
      <c r="AK27" s="12"/>
    </row>
    <row r="28" spans="1:37" x14ac:dyDescent="0.25">
      <c r="J28" s="8"/>
      <c r="T28" s="8" t="s">
        <v>23</v>
      </c>
      <c r="U28" s="13">
        <f>SUM(K27:U27)</f>
        <v>521.85</v>
      </c>
      <c r="AB28" s="8" t="s">
        <v>23</v>
      </c>
      <c r="AC28" s="13">
        <f>SUM(X27:AC27)</f>
        <v>50</v>
      </c>
      <c r="AJ28" s="8" t="s">
        <v>23</v>
      </c>
      <c r="AK28" s="13">
        <f>SUM(AF27:AK27)</f>
        <v>0</v>
      </c>
    </row>
    <row r="29" spans="1:37" ht="15.75" thickBot="1" x14ac:dyDescent="0.3">
      <c r="A29" s="19"/>
      <c r="B29" s="97" t="s">
        <v>16</v>
      </c>
      <c r="C29" s="97"/>
      <c r="D29" s="97"/>
      <c r="E29" s="97"/>
      <c r="F29" s="97"/>
      <c r="G29" s="97"/>
      <c r="H29" s="97"/>
      <c r="J29" s="98" t="s">
        <v>16</v>
      </c>
      <c r="K29" s="98"/>
      <c r="L29" s="98"/>
      <c r="M29" s="98"/>
      <c r="N29" s="98"/>
      <c r="O29" s="98"/>
      <c r="P29" s="98"/>
      <c r="Q29" s="98"/>
      <c r="R29" s="98"/>
      <c r="S29" s="98"/>
      <c r="T29" s="98"/>
      <c r="U29" s="98"/>
      <c r="W29" s="95" t="str">
        <f>J29</f>
        <v>Julho</v>
      </c>
      <c r="X29" s="95"/>
      <c r="Y29" s="95"/>
      <c r="Z29" s="95"/>
      <c r="AA29" s="95"/>
      <c r="AB29" s="95"/>
      <c r="AC29" s="95"/>
      <c r="AE29" s="96" t="str">
        <f>W29</f>
        <v>Julho</v>
      </c>
      <c r="AF29" s="96"/>
      <c r="AG29" s="96"/>
      <c r="AH29" s="96"/>
      <c r="AI29" s="96"/>
      <c r="AJ29" s="96"/>
      <c r="AK29" s="96"/>
    </row>
    <row r="30" spans="1:37" ht="15.75" thickBot="1" x14ac:dyDescent="0.3">
      <c r="A30" s="99" t="s">
        <v>5</v>
      </c>
      <c r="B30" s="34" t="s">
        <v>6</v>
      </c>
      <c r="C30" s="22" t="s">
        <v>7</v>
      </c>
      <c r="D30" s="33" t="s">
        <v>8</v>
      </c>
      <c r="E30" s="22" t="s">
        <v>9</v>
      </c>
      <c r="F30" s="24" t="s">
        <v>10</v>
      </c>
      <c r="G30" s="23" t="s">
        <v>11</v>
      </c>
      <c r="H30" s="25" t="s">
        <v>12</v>
      </c>
      <c r="J30" s="6" t="s">
        <v>4</v>
      </c>
      <c r="K30" s="9">
        <v>45476</v>
      </c>
      <c r="L30" s="66">
        <v>45485</v>
      </c>
      <c r="M30" s="66">
        <v>45489</v>
      </c>
      <c r="N30" s="66">
        <v>45500</v>
      </c>
      <c r="O30" s="4"/>
      <c r="P30" s="4"/>
      <c r="Q30" s="4"/>
      <c r="R30" s="4"/>
      <c r="S30" s="4"/>
      <c r="T30" s="4"/>
      <c r="U30" s="5"/>
      <c r="W30" s="6" t="s">
        <v>4</v>
      </c>
      <c r="X30" s="9">
        <v>45485</v>
      </c>
      <c r="Y30" s="66">
        <v>45499</v>
      </c>
      <c r="Z30" s="4"/>
      <c r="AA30" s="4"/>
      <c r="AB30" s="4"/>
      <c r="AC30" s="5"/>
      <c r="AE30" s="6" t="s">
        <v>4</v>
      </c>
      <c r="AF30" s="9"/>
      <c r="AG30" s="4"/>
      <c r="AH30" s="4"/>
      <c r="AI30" s="4"/>
      <c r="AJ30" s="4"/>
      <c r="AK30" s="5"/>
    </row>
    <row r="31" spans="1:37" ht="15.75" thickBot="1" x14ac:dyDescent="0.3">
      <c r="A31" s="99"/>
      <c r="B31" s="26">
        <v>39591</v>
      </c>
      <c r="C31" s="27"/>
      <c r="D31" s="27"/>
      <c r="E31" s="27">
        <v>41063</v>
      </c>
      <c r="F31" s="27">
        <f>SUM(C31-B31)</f>
        <v>-39591</v>
      </c>
      <c r="G31" s="20">
        <f>SUM(E31-D31)</f>
        <v>41063</v>
      </c>
      <c r="H31" s="21">
        <f>SUM(F31:G31)</f>
        <v>1472</v>
      </c>
      <c r="J31" s="7" t="s">
        <v>22</v>
      </c>
      <c r="K31" s="10">
        <v>235.19</v>
      </c>
      <c r="L31" s="11">
        <v>96.96</v>
      </c>
      <c r="M31" s="11">
        <v>247.89</v>
      </c>
      <c r="N31" s="11">
        <v>270.04000000000002</v>
      </c>
      <c r="O31" s="11"/>
      <c r="P31" s="11"/>
      <c r="Q31" s="11"/>
      <c r="R31" s="11"/>
      <c r="S31" s="11"/>
      <c r="T31" s="11"/>
      <c r="U31" s="12"/>
      <c r="W31" s="7" t="s">
        <v>22</v>
      </c>
      <c r="X31" s="10">
        <v>50</v>
      </c>
      <c r="Y31" s="11">
        <v>50</v>
      </c>
      <c r="Z31" s="11"/>
      <c r="AA31" s="11"/>
      <c r="AB31" s="11"/>
      <c r="AC31" s="12"/>
      <c r="AE31" s="7" t="s">
        <v>22</v>
      </c>
      <c r="AF31" s="10"/>
      <c r="AG31" s="11"/>
      <c r="AH31" s="11"/>
      <c r="AI31" s="11"/>
      <c r="AJ31" s="11"/>
      <c r="AK31" s="12"/>
    </row>
    <row r="32" spans="1:37" x14ac:dyDescent="0.25">
      <c r="J32" s="8"/>
      <c r="T32" s="8" t="s">
        <v>23</v>
      </c>
      <c r="U32" s="13">
        <f>SUM(K31:U31)</f>
        <v>850.07999999999993</v>
      </c>
      <c r="AB32" s="8" t="s">
        <v>23</v>
      </c>
      <c r="AC32" s="13">
        <f>SUM(X31:AC31)</f>
        <v>100</v>
      </c>
      <c r="AJ32" s="8" t="s">
        <v>23</v>
      </c>
      <c r="AK32" s="13">
        <f>SUM(AF31:AK31)</f>
        <v>0</v>
      </c>
    </row>
    <row r="33" spans="1:37" ht="15.75" thickBot="1" x14ac:dyDescent="0.3">
      <c r="A33" s="19"/>
      <c r="B33" s="97" t="s">
        <v>17</v>
      </c>
      <c r="C33" s="97"/>
      <c r="D33" s="97"/>
      <c r="E33" s="97"/>
      <c r="F33" s="97"/>
      <c r="G33" s="97"/>
      <c r="H33" s="97"/>
      <c r="J33" s="98" t="s">
        <v>17</v>
      </c>
      <c r="K33" s="98"/>
      <c r="L33" s="98"/>
      <c r="M33" s="98"/>
      <c r="N33" s="98"/>
      <c r="O33" s="98"/>
      <c r="P33" s="98"/>
      <c r="Q33" s="98"/>
      <c r="R33" s="98"/>
      <c r="S33" s="98"/>
      <c r="T33" s="98"/>
      <c r="U33" s="98"/>
      <c r="W33" s="95" t="str">
        <f>J33</f>
        <v>Agosto</v>
      </c>
      <c r="X33" s="95"/>
      <c r="Y33" s="95"/>
      <c r="Z33" s="95"/>
      <c r="AA33" s="95"/>
      <c r="AB33" s="95"/>
      <c r="AC33" s="95"/>
      <c r="AE33" s="96" t="str">
        <f>W33</f>
        <v>Agosto</v>
      </c>
      <c r="AF33" s="96"/>
      <c r="AG33" s="96"/>
      <c r="AH33" s="96"/>
      <c r="AI33" s="96"/>
      <c r="AJ33" s="96"/>
      <c r="AK33" s="96"/>
    </row>
    <row r="34" spans="1:37" ht="15.75" thickBot="1" x14ac:dyDescent="0.3">
      <c r="A34" s="99" t="s">
        <v>5</v>
      </c>
      <c r="B34" s="34" t="s">
        <v>6</v>
      </c>
      <c r="C34" s="22" t="s">
        <v>7</v>
      </c>
      <c r="D34" s="33" t="s">
        <v>8</v>
      </c>
      <c r="E34" s="22" t="s">
        <v>9</v>
      </c>
      <c r="F34" s="24" t="s">
        <v>10</v>
      </c>
      <c r="G34" s="23" t="s">
        <v>11</v>
      </c>
      <c r="H34" s="25" t="s">
        <v>12</v>
      </c>
      <c r="J34" s="6" t="s">
        <v>4</v>
      </c>
      <c r="K34" s="9">
        <v>45510</v>
      </c>
      <c r="L34" s="66">
        <v>45526</v>
      </c>
      <c r="M34" s="4"/>
      <c r="N34" s="4"/>
      <c r="O34" s="4"/>
      <c r="P34" s="4"/>
      <c r="Q34" s="4"/>
      <c r="R34" s="4"/>
      <c r="S34" s="4"/>
      <c r="T34" s="4"/>
      <c r="U34" s="5"/>
      <c r="W34" s="6" t="s">
        <v>4</v>
      </c>
      <c r="X34" s="9">
        <v>45527</v>
      </c>
      <c r="Y34" s="4"/>
      <c r="Z34" s="4"/>
      <c r="AA34" s="4"/>
      <c r="AB34" s="4"/>
      <c r="AC34" s="5"/>
      <c r="AE34" s="6" t="s">
        <v>4</v>
      </c>
      <c r="AF34" s="9"/>
      <c r="AG34" s="4"/>
      <c r="AH34" s="4"/>
      <c r="AI34" s="4"/>
      <c r="AJ34" s="4"/>
      <c r="AK34" s="5"/>
    </row>
    <row r="35" spans="1:37" ht="15.75" thickBot="1" x14ac:dyDescent="0.3">
      <c r="A35" s="99"/>
      <c r="B35" s="26">
        <v>41063</v>
      </c>
      <c r="C35" s="27"/>
      <c r="D35" s="27"/>
      <c r="E35" s="27"/>
      <c r="F35" s="27">
        <f>SUM(C35-B35)</f>
        <v>-41063</v>
      </c>
      <c r="G35" s="20">
        <f>SUM(E35-D35)</f>
        <v>0</v>
      </c>
      <c r="H35" s="21">
        <f>SUM(F35:G35)</f>
        <v>-41063</v>
      </c>
      <c r="J35" s="7" t="s">
        <v>22</v>
      </c>
      <c r="K35" s="10">
        <v>262.02999999999997</v>
      </c>
      <c r="L35" s="11">
        <v>227.97</v>
      </c>
      <c r="M35" s="11"/>
      <c r="N35" s="11"/>
      <c r="O35" s="11"/>
      <c r="P35" s="11"/>
      <c r="Q35" s="11"/>
      <c r="R35" s="11"/>
      <c r="S35" s="11"/>
      <c r="T35" s="11"/>
      <c r="U35" s="12"/>
      <c r="W35" s="7" t="s">
        <v>22</v>
      </c>
      <c r="X35" s="10">
        <v>50</v>
      </c>
      <c r="Y35" s="11"/>
      <c r="Z35" s="11"/>
      <c r="AA35" s="11"/>
      <c r="AB35" s="11"/>
      <c r="AC35" s="12"/>
      <c r="AE35" s="7" t="s">
        <v>22</v>
      </c>
      <c r="AF35" s="10"/>
      <c r="AG35" s="11"/>
      <c r="AH35" s="11"/>
      <c r="AI35" s="11"/>
      <c r="AJ35" s="11"/>
      <c r="AK35" s="12"/>
    </row>
    <row r="36" spans="1:37" x14ac:dyDescent="0.25">
      <c r="J36" s="8"/>
      <c r="T36" s="8" t="s">
        <v>23</v>
      </c>
      <c r="U36" s="13">
        <f>SUM(K35:U35)</f>
        <v>490</v>
      </c>
      <c r="AB36" s="8" t="s">
        <v>23</v>
      </c>
      <c r="AC36" s="13">
        <f>SUM(X35:AC35)</f>
        <v>50</v>
      </c>
      <c r="AJ36" s="8" t="s">
        <v>23</v>
      </c>
      <c r="AK36" s="13">
        <f>SUM(AF35:AK35)</f>
        <v>0</v>
      </c>
    </row>
    <row r="37" spans="1:37" ht="15.75" thickBot="1" x14ac:dyDescent="0.3">
      <c r="A37" s="19"/>
      <c r="B37" s="97" t="s">
        <v>18</v>
      </c>
      <c r="C37" s="97"/>
      <c r="D37" s="97"/>
      <c r="E37" s="97"/>
      <c r="F37" s="97"/>
      <c r="G37" s="97"/>
      <c r="H37" s="97"/>
      <c r="J37" s="98" t="s">
        <v>18</v>
      </c>
      <c r="K37" s="98"/>
      <c r="L37" s="98"/>
      <c r="M37" s="98"/>
      <c r="N37" s="98"/>
      <c r="O37" s="98"/>
      <c r="P37" s="98"/>
      <c r="Q37" s="98"/>
      <c r="R37" s="98"/>
      <c r="S37" s="98"/>
      <c r="T37" s="98"/>
      <c r="U37" s="98"/>
      <c r="W37" s="95" t="str">
        <f>J37</f>
        <v>Setembro</v>
      </c>
      <c r="X37" s="95"/>
      <c r="Y37" s="95"/>
      <c r="Z37" s="95"/>
      <c r="AA37" s="95"/>
      <c r="AB37" s="95"/>
      <c r="AC37" s="95"/>
      <c r="AE37" s="96" t="str">
        <f>W37</f>
        <v>Setembro</v>
      </c>
      <c r="AF37" s="96"/>
      <c r="AG37" s="96"/>
      <c r="AH37" s="96"/>
      <c r="AI37" s="96"/>
      <c r="AJ37" s="96"/>
      <c r="AK37" s="96"/>
    </row>
    <row r="38" spans="1:37"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97" t="s">
        <v>19</v>
      </c>
      <c r="C41" s="97"/>
      <c r="D41" s="97"/>
      <c r="E41" s="97"/>
      <c r="F41" s="97"/>
      <c r="G41" s="97"/>
      <c r="H41" s="97"/>
      <c r="J41" s="98" t="s">
        <v>19</v>
      </c>
      <c r="K41" s="98"/>
      <c r="L41" s="98"/>
      <c r="M41" s="98"/>
      <c r="N41" s="98"/>
      <c r="O41" s="98"/>
      <c r="P41" s="98"/>
      <c r="Q41" s="98"/>
      <c r="R41" s="98"/>
      <c r="S41" s="98"/>
      <c r="T41" s="98"/>
      <c r="U41" s="98"/>
      <c r="W41" s="95" t="str">
        <f>J41</f>
        <v>Outubro</v>
      </c>
      <c r="X41" s="95"/>
      <c r="Y41" s="95"/>
      <c r="Z41" s="95"/>
      <c r="AA41" s="95"/>
      <c r="AB41" s="95"/>
      <c r="AC41" s="95"/>
      <c r="AE41" s="96" t="str">
        <f>W41</f>
        <v>Outubro</v>
      </c>
      <c r="AF41" s="96"/>
      <c r="AG41" s="96"/>
      <c r="AH41" s="96"/>
      <c r="AI41" s="96"/>
      <c r="AJ41" s="96"/>
      <c r="AK41" s="96"/>
    </row>
    <row r="42" spans="1:37"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97" t="s">
        <v>20</v>
      </c>
      <c r="C45" s="97"/>
      <c r="D45" s="97"/>
      <c r="E45" s="97"/>
      <c r="F45" s="97"/>
      <c r="G45" s="97"/>
      <c r="H45" s="97"/>
      <c r="J45" s="98" t="s">
        <v>20</v>
      </c>
      <c r="K45" s="98"/>
      <c r="L45" s="98"/>
      <c r="M45" s="98"/>
      <c r="N45" s="98"/>
      <c r="O45" s="98"/>
      <c r="P45" s="98"/>
      <c r="Q45" s="98"/>
      <c r="R45" s="98"/>
      <c r="S45" s="98"/>
      <c r="T45" s="98"/>
      <c r="U45" s="98"/>
      <c r="W45" s="95" t="str">
        <f>J45</f>
        <v>Novembro</v>
      </c>
      <c r="X45" s="95"/>
      <c r="Y45" s="95"/>
      <c r="Z45" s="95"/>
      <c r="AA45" s="95"/>
      <c r="AB45" s="95"/>
      <c r="AC45" s="95"/>
      <c r="AE45" s="96" t="str">
        <f>W45</f>
        <v>Novembro</v>
      </c>
      <c r="AF45" s="96"/>
      <c r="AG45" s="96"/>
      <c r="AH45" s="96"/>
      <c r="AI45" s="96"/>
      <c r="AJ45" s="96"/>
      <c r="AK45" s="96"/>
    </row>
    <row r="46" spans="1:37"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97" t="s">
        <v>21</v>
      </c>
      <c r="C49" s="97"/>
      <c r="D49" s="97"/>
      <c r="E49" s="97"/>
      <c r="F49" s="97"/>
      <c r="G49" s="97"/>
      <c r="H49" s="97"/>
      <c r="J49" s="98" t="s">
        <v>21</v>
      </c>
      <c r="K49" s="98"/>
      <c r="L49" s="98"/>
      <c r="M49" s="98"/>
      <c r="N49" s="98"/>
      <c r="O49" s="98"/>
      <c r="P49" s="98"/>
      <c r="Q49" s="98"/>
      <c r="R49" s="98"/>
      <c r="S49" s="98"/>
      <c r="T49" s="98"/>
      <c r="U49" s="98"/>
      <c r="W49" s="95" t="str">
        <f>J49</f>
        <v>Dezembro</v>
      </c>
      <c r="X49" s="95"/>
      <c r="Y49" s="95"/>
      <c r="Z49" s="95"/>
      <c r="AA49" s="95"/>
      <c r="AB49" s="95"/>
      <c r="AC49" s="95"/>
      <c r="AE49" s="96" t="str">
        <f>W49</f>
        <v>Dezembro</v>
      </c>
      <c r="AF49" s="96"/>
      <c r="AG49" s="96"/>
      <c r="AH49" s="96"/>
      <c r="AI49" s="96"/>
      <c r="AJ49" s="96"/>
      <c r="AK49" s="96"/>
    </row>
    <row r="50" spans="1:37"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3">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52"/>
  <sheetViews>
    <sheetView showGridLines="0" topLeftCell="A22" workbookViewId="0">
      <selection activeCell="Z32" sqref="Z3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7" width="10.42578125" bestFit="1" customWidth="1"/>
    <col min="21" max="21" width="12.140625" bestFit="1" customWidth="1"/>
    <col min="24" max="26" width="10.42578125" bestFit="1" customWidth="1"/>
    <col min="29" max="29" width="10.5703125" bestFit="1" customWidth="1"/>
    <col min="34" max="36" width="10.140625" bestFit="1" customWidth="1"/>
  </cols>
  <sheetData>
    <row r="2" spans="1:37" x14ac:dyDescent="0.25">
      <c r="A2" t="s">
        <v>0</v>
      </c>
      <c r="B2" s="100" t="s">
        <v>70</v>
      </c>
      <c r="C2" s="100"/>
      <c r="D2" s="1" t="s">
        <v>1</v>
      </c>
      <c r="E2" s="100" t="s">
        <v>79</v>
      </c>
      <c r="F2" s="100"/>
      <c r="H2" t="s">
        <v>45</v>
      </c>
      <c r="I2" s="54"/>
    </row>
    <row r="3" spans="1:37" x14ac:dyDescent="0.25">
      <c r="F3" s="1"/>
    </row>
    <row r="4" spans="1:37" x14ac:dyDescent="0.25">
      <c r="A4" t="s">
        <v>2</v>
      </c>
      <c r="B4" s="101">
        <v>3455.99</v>
      </c>
      <c r="C4" s="101"/>
      <c r="D4" s="1" t="s">
        <v>29</v>
      </c>
      <c r="E4" s="100"/>
      <c r="F4" s="100"/>
      <c r="H4" t="s">
        <v>65</v>
      </c>
      <c r="I4" s="67">
        <v>45422</v>
      </c>
    </row>
    <row r="7" spans="1:37"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104" t="s">
        <v>25</v>
      </c>
      <c r="X7" s="104"/>
      <c r="Y7" s="104"/>
      <c r="Z7" s="104"/>
      <c r="AA7" s="104"/>
      <c r="AB7" s="104"/>
      <c r="AC7" s="104"/>
      <c r="AD7" s="2"/>
      <c r="AE7" s="104" t="s">
        <v>27</v>
      </c>
      <c r="AF7" s="104"/>
      <c r="AG7" s="104"/>
      <c r="AH7" s="104"/>
      <c r="AI7" s="104"/>
      <c r="AJ7" s="104"/>
      <c r="AK7" s="104"/>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7" t="s">
        <v>3</v>
      </c>
      <c r="C9" s="97"/>
      <c r="D9" s="97"/>
      <c r="E9" s="97"/>
      <c r="F9" s="97"/>
      <c r="G9" s="97"/>
      <c r="H9" s="97"/>
      <c r="J9" s="98" t="s">
        <v>3</v>
      </c>
      <c r="K9" s="98"/>
      <c r="L9" s="98"/>
      <c r="M9" s="98"/>
      <c r="N9" s="98"/>
      <c r="O9" s="98"/>
      <c r="P9" s="98"/>
      <c r="Q9" s="98"/>
      <c r="R9" s="98"/>
      <c r="S9" s="98"/>
      <c r="T9" s="98"/>
      <c r="U9" s="98"/>
      <c r="W9" s="95" t="s">
        <v>3</v>
      </c>
      <c r="X9" s="95"/>
      <c r="Y9" s="95"/>
      <c r="Z9" s="95"/>
      <c r="AA9" s="95"/>
      <c r="AB9" s="95"/>
      <c r="AC9" s="95"/>
      <c r="AE9" s="96" t="s">
        <v>3</v>
      </c>
      <c r="AF9" s="96"/>
      <c r="AG9" s="96"/>
      <c r="AH9" s="96"/>
      <c r="AI9" s="96"/>
      <c r="AJ9" s="96"/>
      <c r="AK9" s="96"/>
    </row>
    <row r="10" spans="1:37"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7" t="s">
        <v>13</v>
      </c>
      <c r="C13" s="97"/>
      <c r="D13" s="97"/>
      <c r="E13" s="97"/>
      <c r="F13" s="97"/>
      <c r="G13" s="97"/>
      <c r="H13" s="97"/>
      <c r="J13" s="98" t="s">
        <v>13</v>
      </c>
      <c r="K13" s="98"/>
      <c r="L13" s="98"/>
      <c r="M13" s="98"/>
      <c r="N13" s="98"/>
      <c r="O13" s="98"/>
      <c r="P13" s="98"/>
      <c r="Q13" s="98"/>
      <c r="R13" s="98"/>
      <c r="S13" s="98"/>
      <c r="T13" s="98"/>
      <c r="U13" s="98"/>
      <c r="W13" s="95" t="str">
        <f>J13</f>
        <v>Março</v>
      </c>
      <c r="X13" s="95"/>
      <c r="Y13" s="95"/>
      <c r="Z13" s="95"/>
      <c r="AA13" s="95"/>
      <c r="AB13" s="95"/>
      <c r="AC13" s="95"/>
      <c r="AE13" s="96" t="str">
        <f>W13</f>
        <v>Março</v>
      </c>
      <c r="AF13" s="96"/>
      <c r="AG13" s="96"/>
      <c r="AH13" s="96"/>
      <c r="AI13" s="96"/>
      <c r="AJ13" s="96"/>
      <c r="AK13" s="96"/>
    </row>
    <row r="14" spans="1:37" ht="15.75" thickBot="1" x14ac:dyDescent="0.3">
      <c r="A14" s="99"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97" t="s">
        <v>14</v>
      </c>
      <c r="C17" s="97"/>
      <c r="D17" s="97"/>
      <c r="E17" s="97"/>
      <c r="F17" s="97"/>
      <c r="G17" s="97"/>
      <c r="H17" s="97"/>
      <c r="J17" s="98" t="s">
        <v>14</v>
      </c>
      <c r="K17" s="98"/>
      <c r="L17" s="98"/>
      <c r="M17" s="98"/>
      <c r="N17" s="98"/>
      <c r="O17" s="98"/>
      <c r="P17" s="98"/>
      <c r="Q17" s="98"/>
      <c r="R17" s="98"/>
      <c r="S17" s="98"/>
      <c r="T17" s="98"/>
      <c r="U17" s="98"/>
      <c r="W17" s="95" t="str">
        <f>J17</f>
        <v>Abril</v>
      </c>
      <c r="X17" s="95"/>
      <c r="Y17" s="95"/>
      <c r="Z17" s="95"/>
      <c r="AA17" s="95"/>
      <c r="AB17" s="95"/>
      <c r="AC17" s="95"/>
      <c r="AE17" s="96" t="str">
        <f>W17</f>
        <v>Abril</v>
      </c>
      <c r="AF17" s="96"/>
      <c r="AG17" s="96"/>
      <c r="AH17" s="96"/>
      <c r="AI17" s="96"/>
      <c r="AJ17" s="96"/>
      <c r="AK17" s="96"/>
    </row>
    <row r="18" spans="1:37"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97" t="s">
        <v>15</v>
      </c>
      <c r="C21" s="97"/>
      <c r="D21" s="97"/>
      <c r="E21" s="97"/>
      <c r="F21" s="97"/>
      <c r="G21" s="97"/>
      <c r="H21" s="97"/>
      <c r="J21" s="98" t="s">
        <v>15</v>
      </c>
      <c r="K21" s="98"/>
      <c r="L21" s="98"/>
      <c r="M21" s="98"/>
      <c r="N21" s="98"/>
      <c r="O21" s="98"/>
      <c r="P21" s="98"/>
      <c r="Q21" s="98"/>
      <c r="R21" s="98"/>
      <c r="S21" s="98"/>
      <c r="T21" s="98"/>
      <c r="U21" s="98"/>
      <c r="W21" s="95" t="str">
        <f>J21</f>
        <v>Maio</v>
      </c>
      <c r="X21" s="95"/>
      <c r="Y21" s="95"/>
      <c r="Z21" s="95"/>
      <c r="AA21" s="95"/>
      <c r="AB21" s="95"/>
      <c r="AC21" s="95"/>
      <c r="AE21" s="96" t="str">
        <f>W21</f>
        <v>Maio</v>
      </c>
      <c r="AF21" s="96"/>
      <c r="AG21" s="96"/>
      <c r="AH21" s="96"/>
      <c r="AI21" s="96"/>
      <c r="AJ21" s="96"/>
      <c r="AK21" s="96"/>
    </row>
    <row r="22" spans="1:37" ht="15.75" thickBot="1" x14ac:dyDescent="0.3">
      <c r="A22" s="99" t="s">
        <v>5</v>
      </c>
      <c r="B22" s="34" t="s">
        <v>6</v>
      </c>
      <c r="C22" s="22" t="s">
        <v>7</v>
      </c>
      <c r="D22" s="33" t="s">
        <v>8</v>
      </c>
      <c r="E22" s="22" t="s">
        <v>9</v>
      </c>
      <c r="F22" s="24" t="s">
        <v>10</v>
      </c>
      <c r="G22" s="23" t="s">
        <v>11</v>
      </c>
      <c r="H22" s="25" t="s">
        <v>12</v>
      </c>
      <c r="J22" s="6" t="s">
        <v>4</v>
      </c>
      <c r="K22" s="9">
        <v>45426</v>
      </c>
      <c r="L22" s="66">
        <v>45432</v>
      </c>
      <c r="M22" s="66">
        <v>45435</v>
      </c>
      <c r="N22" s="66">
        <v>45440</v>
      </c>
      <c r="O22" s="66">
        <v>45442</v>
      </c>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99"/>
      <c r="B23" s="26">
        <v>9102</v>
      </c>
      <c r="C23" s="27"/>
      <c r="D23" s="27"/>
      <c r="E23" s="69">
        <v>11070</v>
      </c>
      <c r="F23" s="27">
        <f>SUM(C23-B23)</f>
        <v>-9102</v>
      </c>
      <c r="G23" s="20">
        <f>SUM(E23-D23)</f>
        <v>11070</v>
      </c>
      <c r="H23" s="21">
        <f>SUM(F23:G23)</f>
        <v>1968</v>
      </c>
      <c r="J23" s="7" t="s">
        <v>22</v>
      </c>
      <c r="K23" s="10">
        <v>313.33999999999997</v>
      </c>
      <c r="L23" s="11">
        <v>299.88</v>
      </c>
      <c r="M23" s="11">
        <v>192.78</v>
      </c>
      <c r="N23" s="11">
        <v>287.64</v>
      </c>
      <c r="O23" s="11">
        <v>183.6</v>
      </c>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1277.2399999999998</v>
      </c>
      <c r="AB24" s="8" t="s">
        <v>23</v>
      </c>
      <c r="AC24" s="13">
        <f>SUM(X23:AC23)</f>
        <v>0</v>
      </c>
      <c r="AJ24" s="8" t="s">
        <v>23</v>
      </c>
      <c r="AK24" s="13">
        <f>SUM(AF23:AK23)</f>
        <v>0</v>
      </c>
    </row>
    <row r="25" spans="1:37" ht="15.75" thickBot="1" x14ac:dyDescent="0.3">
      <c r="A25" s="19"/>
      <c r="B25" s="97" t="s">
        <v>24</v>
      </c>
      <c r="C25" s="97"/>
      <c r="D25" s="97"/>
      <c r="E25" s="97"/>
      <c r="F25" s="97"/>
      <c r="G25" s="97"/>
      <c r="H25" s="97"/>
      <c r="J25" s="98" t="s">
        <v>24</v>
      </c>
      <c r="K25" s="98"/>
      <c r="L25" s="98"/>
      <c r="M25" s="98"/>
      <c r="N25" s="98"/>
      <c r="O25" s="98"/>
      <c r="P25" s="98"/>
      <c r="Q25" s="98"/>
      <c r="R25" s="98"/>
      <c r="S25" s="98"/>
      <c r="T25" s="98"/>
      <c r="U25" s="98"/>
      <c r="W25" s="95" t="str">
        <f>J25</f>
        <v>Junho</v>
      </c>
      <c r="X25" s="95"/>
      <c r="Y25" s="95"/>
      <c r="Z25" s="95"/>
      <c r="AA25" s="95"/>
      <c r="AB25" s="95"/>
      <c r="AC25" s="95"/>
      <c r="AE25" s="96" t="str">
        <f>W25</f>
        <v>Junho</v>
      </c>
      <c r="AF25" s="96"/>
      <c r="AG25" s="96"/>
      <c r="AH25" s="96"/>
      <c r="AI25" s="96"/>
      <c r="AJ25" s="96"/>
      <c r="AK25" s="96"/>
    </row>
    <row r="26" spans="1:37" ht="15.75" thickBot="1" x14ac:dyDescent="0.3">
      <c r="A26" s="99" t="s">
        <v>5</v>
      </c>
      <c r="B26" s="34" t="s">
        <v>6</v>
      </c>
      <c r="C26" s="22" t="s">
        <v>7</v>
      </c>
      <c r="D26" s="33" t="s">
        <v>8</v>
      </c>
      <c r="E26" s="22" t="s">
        <v>9</v>
      </c>
      <c r="F26" s="24" t="s">
        <v>10</v>
      </c>
      <c r="G26" s="23" t="s">
        <v>11</v>
      </c>
      <c r="H26" s="25" t="s">
        <v>12</v>
      </c>
      <c r="J26" s="6" t="s">
        <v>4</v>
      </c>
      <c r="K26" s="9">
        <v>45447</v>
      </c>
      <c r="L26" s="66">
        <v>45449</v>
      </c>
      <c r="M26" s="66">
        <v>45454</v>
      </c>
      <c r="N26" s="66">
        <v>45461</v>
      </c>
      <c r="O26" s="66">
        <v>45463</v>
      </c>
      <c r="P26" s="66">
        <v>45468</v>
      </c>
      <c r="Q26" s="66">
        <v>45470</v>
      </c>
      <c r="R26" s="4"/>
      <c r="S26" s="4"/>
      <c r="T26" s="4"/>
      <c r="U26" s="5"/>
      <c r="W26" s="6" t="s">
        <v>4</v>
      </c>
      <c r="X26" s="9">
        <v>45446</v>
      </c>
      <c r="Y26" s="4"/>
      <c r="Z26" s="4"/>
      <c r="AA26" s="4"/>
      <c r="AB26" s="4"/>
      <c r="AC26" s="5"/>
      <c r="AE26" s="6" t="s">
        <v>4</v>
      </c>
      <c r="AF26" s="9"/>
      <c r="AG26" s="4"/>
      <c r="AH26" s="4"/>
      <c r="AI26" s="4"/>
      <c r="AJ26" s="4"/>
      <c r="AK26" s="5"/>
    </row>
    <row r="27" spans="1:37" ht="15.75" thickBot="1" x14ac:dyDescent="0.3">
      <c r="A27" s="99"/>
      <c r="B27" s="26">
        <v>11070</v>
      </c>
      <c r="C27" s="27"/>
      <c r="D27" s="27"/>
      <c r="E27" s="27">
        <v>13200</v>
      </c>
      <c r="F27" s="27">
        <f>SUM(C27-B27)</f>
        <v>-11070</v>
      </c>
      <c r="G27" s="20">
        <f>SUM(E27-D27)</f>
        <v>13200</v>
      </c>
      <c r="H27" s="21">
        <f>SUM(F27:G27)</f>
        <v>2130</v>
      </c>
      <c r="J27" s="7" t="s">
        <v>22</v>
      </c>
      <c r="K27" s="10">
        <v>277.05</v>
      </c>
      <c r="L27" s="11">
        <v>165.24</v>
      </c>
      <c r="M27" s="11">
        <v>285.01</v>
      </c>
      <c r="N27" s="11">
        <v>256</v>
      </c>
      <c r="O27" s="11">
        <v>184.03</v>
      </c>
      <c r="P27" s="11">
        <v>244.8</v>
      </c>
      <c r="Q27" s="11">
        <v>146.02000000000001</v>
      </c>
      <c r="R27" s="11"/>
      <c r="S27" s="11"/>
      <c r="T27" s="11"/>
      <c r="U27" s="12"/>
      <c r="W27" s="7" t="s">
        <v>22</v>
      </c>
      <c r="X27" s="10">
        <v>50</v>
      </c>
      <c r="Y27" s="11"/>
      <c r="Z27" s="11"/>
      <c r="AA27" s="11"/>
      <c r="AB27" s="11"/>
      <c r="AC27" s="12"/>
      <c r="AE27" s="7" t="s">
        <v>22</v>
      </c>
      <c r="AF27" s="10"/>
      <c r="AG27" s="11"/>
      <c r="AH27" s="11"/>
      <c r="AI27" s="11"/>
      <c r="AJ27" s="11"/>
      <c r="AK27" s="12"/>
    </row>
    <row r="28" spans="1:37" x14ac:dyDescent="0.25">
      <c r="J28" s="8"/>
      <c r="T28" s="8" t="s">
        <v>23</v>
      </c>
      <c r="U28" s="13">
        <f>SUM(K27:U27)</f>
        <v>1558.1499999999999</v>
      </c>
      <c r="AB28" s="8" t="s">
        <v>23</v>
      </c>
      <c r="AC28" s="13">
        <f>SUM(X27:AC27)</f>
        <v>50</v>
      </c>
      <c r="AJ28" s="8" t="s">
        <v>23</v>
      </c>
      <c r="AK28" s="13">
        <f>SUM(AF27:AK27)</f>
        <v>0</v>
      </c>
    </row>
    <row r="29" spans="1:37" ht="15.75" thickBot="1" x14ac:dyDescent="0.3">
      <c r="A29" s="19"/>
      <c r="B29" s="97" t="s">
        <v>16</v>
      </c>
      <c r="C29" s="97"/>
      <c r="D29" s="97"/>
      <c r="E29" s="97"/>
      <c r="F29" s="97"/>
      <c r="G29" s="97"/>
      <c r="H29" s="97"/>
      <c r="J29" s="98" t="s">
        <v>16</v>
      </c>
      <c r="K29" s="98"/>
      <c r="L29" s="98"/>
      <c r="M29" s="98"/>
      <c r="N29" s="98"/>
      <c r="O29" s="98"/>
      <c r="P29" s="98"/>
      <c r="Q29" s="98"/>
      <c r="R29" s="98"/>
      <c r="S29" s="98"/>
      <c r="T29" s="98"/>
      <c r="U29" s="98"/>
      <c r="W29" s="95" t="str">
        <f>J29</f>
        <v>Julho</v>
      </c>
      <c r="X29" s="95"/>
      <c r="Y29" s="95"/>
      <c r="Z29" s="95"/>
      <c r="AA29" s="95"/>
      <c r="AB29" s="95"/>
      <c r="AC29" s="95"/>
      <c r="AE29" s="96" t="str">
        <f>W29</f>
        <v>Julho</v>
      </c>
      <c r="AF29" s="96"/>
      <c r="AG29" s="96"/>
      <c r="AH29" s="96"/>
      <c r="AI29" s="96"/>
      <c r="AJ29" s="96"/>
      <c r="AK29" s="96"/>
    </row>
    <row r="30" spans="1:37" ht="15.75" thickBot="1" x14ac:dyDescent="0.3">
      <c r="A30" s="99" t="s">
        <v>5</v>
      </c>
      <c r="B30" s="34" t="s">
        <v>6</v>
      </c>
      <c r="C30" s="22" t="s">
        <v>7</v>
      </c>
      <c r="D30" s="33" t="s">
        <v>8</v>
      </c>
      <c r="E30" s="22" t="s">
        <v>9</v>
      </c>
      <c r="F30" s="24" t="s">
        <v>10</v>
      </c>
      <c r="G30" s="23" t="s">
        <v>11</v>
      </c>
      <c r="H30" s="25" t="s">
        <v>12</v>
      </c>
      <c r="J30" s="6" t="s">
        <v>4</v>
      </c>
      <c r="K30" s="9">
        <v>45482</v>
      </c>
      <c r="L30" s="66">
        <v>45484</v>
      </c>
      <c r="M30" s="66">
        <v>45489</v>
      </c>
      <c r="N30" s="66">
        <v>45491</v>
      </c>
      <c r="O30" s="66">
        <v>45495</v>
      </c>
      <c r="P30" s="66">
        <v>45500</v>
      </c>
      <c r="Q30" s="4"/>
      <c r="R30" s="4"/>
      <c r="S30" s="4"/>
      <c r="T30" s="4"/>
      <c r="U30" s="5"/>
      <c r="W30" s="6" t="s">
        <v>4</v>
      </c>
      <c r="X30" s="9">
        <v>45486</v>
      </c>
      <c r="Y30" s="66">
        <v>45492</v>
      </c>
      <c r="Z30" s="66">
        <v>45496</v>
      </c>
      <c r="AA30" s="4"/>
      <c r="AB30" s="4"/>
      <c r="AC30" s="5"/>
      <c r="AE30" s="6" t="s">
        <v>4</v>
      </c>
      <c r="AF30" s="9"/>
      <c r="AG30" s="4"/>
      <c r="AH30" s="4"/>
      <c r="AI30" s="4"/>
      <c r="AJ30" s="4"/>
      <c r="AK30" s="5"/>
    </row>
    <row r="31" spans="1:37" ht="15.75" thickBot="1" x14ac:dyDescent="0.3">
      <c r="A31" s="99"/>
      <c r="B31" s="26">
        <v>13200</v>
      </c>
      <c r="C31" s="27"/>
      <c r="D31" s="27"/>
      <c r="E31" s="27">
        <v>15371</v>
      </c>
      <c r="F31" s="27">
        <f>SUM(C31-B31)</f>
        <v>-13200</v>
      </c>
      <c r="G31" s="20">
        <f>SUM(E31-D31)</f>
        <v>15371</v>
      </c>
      <c r="H31" s="21">
        <f>SUM(F31:G31)</f>
        <v>2171</v>
      </c>
      <c r="J31" s="7" t="s">
        <v>22</v>
      </c>
      <c r="K31" s="10">
        <v>289.33999999999997</v>
      </c>
      <c r="L31" s="11">
        <v>114.28</v>
      </c>
      <c r="M31" s="11">
        <v>290.02</v>
      </c>
      <c r="N31" s="11">
        <v>139.13999999999999</v>
      </c>
      <c r="O31" s="11">
        <v>308.66000000000003</v>
      </c>
      <c r="P31" s="11">
        <v>235.02</v>
      </c>
      <c r="Q31" s="11"/>
      <c r="R31" s="11"/>
      <c r="S31" s="11"/>
      <c r="T31" s="11"/>
      <c r="U31" s="12"/>
      <c r="W31" s="7" t="s">
        <v>22</v>
      </c>
      <c r="X31" s="10">
        <v>50</v>
      </c>
      <c r="Y31" s="11">
        <v>50</v>
      </c>
      <c r="Z31" s="11">
        <v>50</v>
      </c>
      <c r="AA31" s="11"/>
      <c r="AB31" s="11"/>
      <c r="AC31" s="12"/>
      <c r="AE31" s="7" t="s">
        <v>22</v>
      </c>
      <c r="AF31" s="10"/>
      <c r="AG31" s="11"/>
      <c r="AH31" s="11"/>
      <c r="AI31" s="11"/>
      <c r="AJ31" s="11"/>
      <c r="AK31" s="12"/>
    </row>
    <row r="32" spans="1:37" x14ac:dyDescent="0.25">
      <c r="J32" s="8"/>
      <c r="T32" s="8" t="s">
        <v>23</v>
      </c>
      <c r="U32" s="13">
        <f>SUM(K31:U31)</f>
        <v>1376.46</v>
      </c>
      <c r="AB32" s="8" t="s">
        <v>23</v>
      </c>
      <c r="AC32" s="13">
        <f>SUM(X31:AC31)</f>
        <v>150</v>
      </c>
      <c r="AJ32" s="8" t="s">
        <v>23</v>
      </c>
      <c r="AK32" s="13">
        <f>SUM(AF31:AK31)</f>
        <v>0</v>
      </c>
    </row>
    <row r="33" spans="1:37" ht="15.75" thickBot="1" x14ac:dyDescent="0.3">
      <c r="A33" s="19"/>
      <c r="B33" s="97" t="s">
        <v>17</v>
      </c>
      <c r="C33" s="97"/>
      <c r="D33" s="97"/>
      <c r="E33" s="97"/>
      <c r="F33" s="97"/>
      <c r="G33" s="97"/>
      <c r="H33" s="97"/>
      <c r="J33" s="98" t="s">
        <v>17</v>
      </c>
      <c r="K33" s="98"/>
      <c r="L33" s="98"/>
      <c r="M33" s="98"/>
      <c r="N33" s="98"/>
      <c r="O33" s="98"/>
      <c r="P33" s="98"/>
      <c r="Q33" s="98"/>
      <c r="R33" s="98"/>
      <c r="S33" s="98"/>
      <c r="T33" s="98"/>
      <c r="U33" s="98"/>
      <c r="W33" s="95" t="str">
        <f>J33</f>
        <v>Agosto</v>
      </c>
      <c r="X33" s="95"/>
      <c r="Y33" s="95"/>
      <c r="Z33" s="95"/>
      <c r="AA33" s="95"/>
      <c r="AB33" s="95"/>
      <c r="AC33" s="95"/>
      <c r="AE33" s="96" t="str">
        <f>W33</f>
        <v>Agosto</v>
      </c>
      <c r="AF33" s="96"/>
      <c r="AG33" s="96"/>
      <c r="AH33" s="96"/>
      <c r="AI33" s="96"/>
      <c r="AJ33" s="96"/>
      <c r="AK33" s="96"/>
    </row>
    <row r="34" spans="1:37" ht="15.75" thickBot="1" x14ac:dyDescent="0.3">
      <c r="A34" s="99" t="s">
        <v>5</v>
      </c>
      <c r="B34" s="34" t="s">
        <v>6</v>
      </c>
      <c r="C34" s="22" t="s">
        <v>7</v>
      </c>
      <c r="D34" s="33" t="s">
        <v>8</v>
      </c>
      <c r="E34" s="22" t="s">
        <v>9</v>
      </c>
      <c r="F34" s="24" t="s">
        <v>10</v>
      </c>
      <c r="G34" s="23" t="s">
        <v>11</v>
      </c>
      <c r="H34" s="25" t="s">
        <v>12</v>
      </c>
      <c r="J34" s="6" t="s">
        <v>4</v>
      </c>
      <c r="K34" s="9">
        <v>45505</v>
      </c>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99"/>
      <c r="B35" s="26"/>
      <c r="C35" s="27"/>
      <c r="D35" s="27"/>
      <c r="E35" s="27"/>
      <c r="F35" s="27">
        <f>SUM(C35-B35)</f>
        <v>0</v>
      </c>
      <c r="G35" s="20">
        <f>SUM(E35-D35)</f>
        <v>0</v>
      </c>
      <c r="H35" s="21">
        <f>SUM(F35:G35)</f>
        <v>0</v>
      </c>
      <c r="J35" s="7" t="s">
        <v>22</v>
      </c>
      <c r="K35" s="10">
        <v>305</v>
      </c>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305</v>
      </c>
      <c r="AB36" s="8" t="s">
        <v>23</v>
      </c>
      <c r="AC36" s="13">
        <f>SUM(X35:AC35)</f>
        <v>0</v>
      </c>
      <c r="AJ36" s="8" t="s">
        <v>23</v>
      </c>
      <c r="AK36" s="13">
        <f>SUM(AF35:AK35)</f>
        <v>0</v>
      </c>
    </row>
    <row r="37" spans="1:37" ht="15.75" thickBot="1" x14ac:dyDescent="0.3">
      <c r="A37" s="19"/>
      <c r="B37" s="97" t="s">
        <v>18</v>
      </c>
      <c r="C37" s="97"/>
      <c r="D37" s="97"/>
      <c r="E37" s="97"/>
      <c r="F37" s="97"/>
      <c r="G37" s="97"/>
      <c r="H37" s="97"/>
      <c r="J37" s="98" t="s">
        <v>18</v>
      </c>
      <c r="K37" s="98"/>
      <c r="L37" s="98"/>
      <c r="M37" s="98"/>
      <c r="N37" s="98"/>
      <c r="O37" s="98"/>
      <c r="P37" s="98"/>
      <c r="Q37" s="98"/>
      <c r="R37" s="98"/>
      <c r="S37" s="98"/>
      <c r="T37" s="98"/>
      <c r="U37" s="98"/>
      <c r="W37" s="95" t="str">
        <f>J37</f>
        <v>Setembro</v>
      </c>
      <c r="X37" s="95"/>
      <c r="Y37" s="95"/>
      <c r="Z37" s="95"/>
      <c r="AA37" s="95"/>
      <c r="AB37" s="95"/>
      <c r="AC37" s="95"/>
      <c r="AE37" s="96" t="str">
        <f>W37</f>
        <v>Setembro</v>
      </c>
      <c r="AF37" s="96"/>
      <c r="AG37" s="96"/>
      <c r="AH37" s="96"/>
      <c r="AI37" s="96"/>
      <c r="AJ37" s="96"/>
      <c r="AK37" s="96"/>
    </row>
    <row r="38" spans="1:37"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97" t="s">
        <v>19</v>
      </c>
      <c r="C41" s="97"/>
      <c r="D41" s="97"/>
      <c r="E41" s="97"/>
      <c r="F41" s="97"/>
      <c r="G41" s="97"/>
      <c r="H41" s="97"/>
      <c r="J41" s="98" t="s">
        <v>19</v>
      </c>
      <c r="K41" s="98"/>
      <c r="L41" s="98"/>
      <c r="M41" s="98"/>
      <c r="N41" s="98"/>
      <c r="O41" s="98"/>
      <c r="P41" s="98"/>
      <c r="Q41" s="98"/>
      <c r="R41" s="98"/>
      <c r="S41" s="98"/>
      <c r="T41" s="98"/>
      <c r="U41" s="98"/>
      <c r="W41" s="95" t="str">
        <f>J41</f>
        <v>Outubro</v>
      </c>
      <c r="X41" s="95"/>
      <c r="Y41" s="95"/>
      <c r="Z41" s="95"/>
      <c r="AA41" s="95"/>
      <c r="AB41" s="95"/>
      <c r="AC41" s="95"/>
      <c r="AE41" s="96" t="str">
        <f>W41</f>
        <v>Outubro</v>
      </c>
      <c r="AF41" s="96"/>
      <c r="AG41" s="96"/>
      <c r="AH41" s="96"/>
      <c r="AI41" s="96"/>
      <c r="AJ41" s="96"/>
      <c r="AK41" s="96"/>
    </row>
    <row r="42" spans="1:37"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97" t="s">
        <v>20</v>
      </c>
      <c r="C45" s="97"/>
      <c r="D45" s="97"/>
      <c r="E45" s="97"/>
      <c r="F45" s="97"/>
      <c r="G45" s="97"/>
      <c r="H45" s="97"/>
      <c r="J45" s="98" t="s">
        <v>20</v>
      </c>
      <c r="K45" s="98"/>
      <c r="L45" s="98"/>
      <c r="M45" s="98"/>
      <c r="N45" s="98"/>
      <c r="O45" s="98"/>
      <c r="P45" s="98"/>
      <c r="Q45" s="98"/>
      <c r="R45" s="98"/>
      <c r="S45" s="98"/>
      <c r="T45" s="98"/>
      <c r="U45" s="98"/>
      <c r="W45" s="95" t="str">
        <f>J45</f>
        <v>Novembro</v>
      </c>
      <c r="X45" s="95"/>
      <c r="Y45" s="95"/>
      <c r="Z45" s="95"/>
      <c r="AA45" s="95"/>
      <c r="AB45" s="95"/>
      <c r="AC45" s="95"/>
      <c r="AE45" s="96" t="str">
        <f>W45</f>
        <v>Novembro</v>
      </c>
      <c r="AF45" s="96"/>
      <c r="AG45" s="96"/>
      <c r="AH45" s="96"/>
      <c r="AI45" s="96"/>
      <c r="AJ45" s="96"/>
      <c r="AK45" s="96"/>
    </row>
    <row r="46" spans="1:37"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97" t="s">
        <v>21</v>
      </c>
      <c r="C49" s="97"/>
      <c r="D49" s="97"/>
      <c r="E49" s="97"/>
      <c r="F49" s="97"/>
      <c r="G49" s="97"/>
      <c r="H49" s="97"/>
      <c r="J49" s="98" t="s">
        <v>21</v>
      </c>
      <c r="K49" s="98"/>
      <c r="L49" s="98"/>
      <c r="M49" s="98"/>
      <c r="N49" s="98"/>
      <c r="O49" s="98"/>
      <c r="P49" s="98"/>
      <c r="Q49" s="98"/>
      <c r="R49" s="98"/>
      <c r="S49" s="98"/>
      <c r="T49" s="98"/>
      <c r="U49" s="98"/>
      <c r="W49" s="95" t="str">
        <f>J49</f>
        <v>Dezembro</v>
      </c>
      <c r="X49" s="95"/>
      <c r="Y49" s="95"/>
      <c r="Z49" s="95"/>
      <c r="AA49" s="95"/>
      <c r="AB49" s="95"/>
      <c r="AC49" s="95"/>
      <c r="AE49" s="96" t="str">
        <f>W49</f>
        <v>Dezembro</v>
      </c>
      <c r="AF49" s="96"/>
      <c r="AG49" s="96"/>
      <c r="AH49" s="96"/>
      <c r="AI49" s="96"/>
      <c r="AJ49" s="96"/>
      <c r="AK49" s="96"/>
    </row>
    <row r="50" spans="1:37"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3">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K52"/>
  <sheetViews>
    <sheetView showGridLines="0" topLeftCell="I1" workbookViewId="0">
      <selection activeCell="T4" sqref="T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3" width="10.42578125" bestFit="1" customWidth="1"/>
    <col min="21" max="21" width="13.28515625" bestFit="1" customWidth="1"/>
    <col min="24" max="25" width="10.42578125" bestFit="1" customWidth="1"/>
    <col min="29" max="29" width="10.5703125" bestFit="1" customWidth="1"/>
    <col min="34" max="36" width="10.140625" bestFit="1" customWidth="1"/>
  </cols>
  <sheetData>
    <row r="2" spans="1:37" x14ac:dyDescent="0.25">
      <c r="A2" t="s">
        <v>0</v>
      </c>
      <c r="B2" s="100" t="s">
        <v>71</v>
      </c>
      <c r="C2" s="100"/>
      <c r="D2" s="1" t="s">
        <v>1</v>
      </c>
      <c r="E2" s="100" t="s">
        <v>76</v>
      </c>
      <c r="F2" s="100"/>
      <c r="H2" t="s">
        <v>45</v>
      </c>
      <c r="I2" s="54"/>
    </row>
    <row r="3" spans="1:37" x14ac:dyDescent="0.25">
      <c r="F3" s="1"/>
    </row>
    <row r="4" spans="1:37" x14ac:dyDescent="0.25">
      <c r="A4" t="s">
        <v>2</v>
      </c>
      <c r="B4" s="101">
        <v>3455.99</v>
      </c>
      <c r="C4" s="101"/>
      <c r="D4" s="1" t="s">
        <v>29</v>
      </c>
      <c r="E4" s="100"/>
      <c r="F4" s="100"/>
      <c r="H4" t="s">
        <v>65</v>
      </c>
      <c r="I4" s="67">
        <v>45414</v>
      </c>
    </row>
    <row r="7" spans="1:37"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104" t="s">
        <v>25</v>
      </c>
      <c r="X7" s="104"/>
      <c r="Y7" s="104"/>
      <c r="Z7" s="104"/>
      <c r="AA7" s="104"/>
      <c r="AB7" s="104"/>
      <c r="AC7" s="104"/>
      <c r="AD7" s="2"/>
      <c r="AE7" s="104" t="s">
        <v>27</v>
      </c>
      <c r="AF7" s="104"/>
      <c r="AG7" s="104"/>
      <c r="AH7" s="104"/>
      <c r="AI7" s="104"/>
      <c r="AJ7" s="104"/>
      <c r="AK7" s="104"/>
    </row>
    <row r="8" spans="1:37" s="15" customFormat="1" ht="21" x14ac:dyDescent="0.35">
      <c r="A8" s="14"/>
      <c r="B8" s="14"/>
      <c r="C8" s="14"/>
      <c r="D8" s="100"/>
      <c r="E8" s="100"/>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7" t="s">
        <v>3</v>
      </c>
      <c r="C9" s="97"/>
      <c r="D9" s="97"/>
      <c r="E9" s="97"/>
      <c r="F9" s="97"/>
      <c r="G9" s="97"/>
      <c r="H9" s="97"/>
      <c r="J9" s="98" t="s">
        <v>3</v>
      </c>
      <c r="K9" s="98"/>
      <c r="L9" s="98"/>
      <c r="M9" s="98"/>
      <c r="N9" s="98"/>
      <c r="O9" s="98"/>
      <c r="P9" s="98"/>
      <c r="Q9" s="98"/>
      <c r="R9" s="98"/>
      <c r="S9" s="98"/>
      <c r="T9" s="98"/>
      <c r="U9" s="98"/>
      <c r="W9" s="95" t="s">
        <v>3</v>
      </c>
      <c r="X9" s="95"/>
      <c r="Y9" s="95"/>
      <c r="Z9" s="95"/>
      <c r="AA9" s="95"/>
      <c r="AB9" s="95"/>
      <c r="AC9" s="95"/>
      <c r="AE9" s="96" t="s">
        <v>3</v>
      </c>
      <c r="AF9" s="96"/>
      <c r="AG9" s="96"/>
      <c r="AH9" s="96"/>
      <c r="AI9" s="96"/>
      <c r="AJ9" s="96"/>
      <c r="AK9" s="96"/>
    </row>
    <row r="10" spans="1:37" ht="15.75" thickBot="1" x14ac:dyDescent="0.3">
      <c r="A10" s="99"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7" t="s">
        <v>13</v>
      </c>
      <c r="C13" s="97"/>
      <c r="D13" s="97"/>
      <c r="E13" s="97"/>
      <c r="F13" s="97"/>
      <c r="G13" s="97"/>
      <c r="H13" s="97"/>
      <c r="J13" s="98" t="s">
        <v>13</v>
      </c>
      <c r="K13" s="98"/>
      <c r="L13" s="98"/>
      <c r="M13" s="98"/>
      <c r="N13" s="98"/>
      <c r="O13" s="98"/>
      <c r="P13" s="98"/>
      <c r="Q13" s="98"/>
      <c r="R13" s="98"/>
      <c r="S13" s="98"/>
      <c r="T13" s="98"/>
      <c r="U13" s="98"/>
      <c r="W13" s="95" t="str">
        <f>J13</f>
        <v>Março</v>
      </c>
      <c r="X13" s="95"/>
      <c r="Y13" s="95"/>
      <c r="Z13" s="95"/>
      <c r="AA13" s="95"/>
      <c r="AB13" s="95"/>
      <c r="AC13" s="95"/>
      <c r="AE13" s="96" t="str">
        <f>W13</f>
        <v>Março</v>
      </c>
      <c r="AF13" s="96"/>
      <c r="AG13" s="96"/>
      <c r="AH13" s="96"/>
      <c r="AI13" s="96"/>
      <c r="AJ13" s="96"/>
      <c r="AK13" s="96"/>
    </row>
    <row r="14" spans="1:37" ht="15.75" thickBot="1" x14ac:dyDescent="0.3">
      <c r="A14" s="99" t="s">
        <v>5</v>
      </c>
      <c r="B14" s="34" t="s">
        <v>6</v>
      </c>
      <c r="C14" s="22" t="s">
        <v>7</v>
      </c>
      <c r="D14" s="33" t="s">
        <v>8</v>
      </c>
      <c r="E14" s="22" t="s">
        <v>9</v>
      </c>
      <c r="F14" s="24" t="s">
        <v>10</v>
      </c>
      <c r="G14" s="23" t="s">
        <v>11</v>
      </c>
      <c r="H14" s="25" t="s">
        <v>12</v>
      </c>
      <c r="J14" s="6" t="s">
        <v>4</v>
      </c>
      <c r="K14" s="66"/>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9"/>
      <c r="B15" s="26"/>
      <c r="C15" s="27"/>
      <c r="D15" s="27"/>
      <c r="E15" s="27"/>
      <c r="F15" s="27">
        <f>SUM(C15-B15)</f>
        <v>0</v>
      </c>
      <c r="G15" s="20">
        <f>SUM(E15-D15)</f>
        <v>0</v>
      </c>
      <c r="H15" s="21">
        <f>SUM(F15:G15)</f>
        <v>0</v>
      </c>
      <c r="J15" s="7" t="s">
        <v>22</v>
      </c>
      <c r="K15" s="11"/>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D16" s="114"/>
      <c r="E16" s="114"/>
      <c r="J16" s="8"/>
      <c r="T16" s="8" t="s">
        <v>23</v>
      </c>
      <c r="U16" s="13">
        <f>SUM(K15:U15)</f>
        <v>0</v>
      </c>
      <c r="AB16" s="8" t="s">
        <v>23</v>
      </c>
      <c r="AC16" s="13">
        <f>SUM(X15:AC15)</f>
        <v>0</v>
      </c>
      <c r="AJ16" s="8" t="s">
        <v>23</v>
      </c>
      <c r="AK16" s="13">
        <f>SUM(AF15:AK15)</f>
        <v>0</v>
      </c>
    </row>
    <row r="17" spans="1:37" ht="15.75" thickBot="1" x14ac:dyDescent="0.3">
      <c r="A17" s="19"/>
      <c r="B17" s="97" t="s">
        <v>14</v>
      </c>
      <c r="C17" s="97"/>
      <c r="D17" s="97"/>
      <c r="E17" s="97"/>
      <c r="F17" s="97"/>
      <c r="G17" s="97"/>
      <c r="H17" s="97"/>
      <c r="J17" s="98" t="s">
        <v>14</v>
      </c>
      <c r="K17" s="98"/>
      <c r="L17" s="98"/>
      <c r="M17" s="98"/>
      <c r="N17" s="98"/>
      <c r="O17" s="98"/>
      <c r="P17" s="98"/>
      <c r="Q17" s="98"/>
      <c r="R17" s="98"/>
      <c r="S17" s="98"/>
      <c r="T17" s="98"/>
      <c r="U17" s="98"/>
      <c r="W17" s="95" t="str">
        <f>J17</f>
        <v>Abril</v>
      </c>
      <c r="X17" s="95"/>
      <c r="Y17" s="95"/>
      <c r="Z17" s="95"/>
      <c r="AA17" s="95"/>
      <c r="AB17" s="95"/>
      <c r="AC17" s="95"/>
      <c r="AE17" s="96" t="str">
        <f>W17</f>
        <v>Abril</v>
      </c>
      <c r="AF17" s="96"/>
      <c r="AG17" s="96"/>
      <c r="AH17" s="96"/>
      <c r="AI17" s="96"/>
      <c r="AJ17" s="96"/>
      <c r="AK17" s="96"/>
    </row>
    <row r="18" spans="1:37"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97" t="s">
        <v>15</v>
      </c>
      <c r="C21" s="97"/>
      <c r="D21" s="97"/>
      <c r="E21" s="97"/>
      <c r="F21" s="97"/>
      <c r="G21" s="97"/>
      <c r="H21" s="97"/>
      <c r="J21" s="98" t="s">
        <v>15</v>
      </c>
      <c r="K21" s="98"/>
      <c r="L21" s="98"/>
      <c r="M21" s="98"/>
      <c r="N21" s="98"/>
      <c r="O21" s="98"/>
      <c r="P21" s="98"/>
      <c r="Q21" s="98"/>
      <c r="R21" s="98"/>
      <c r="S21" s="98"/>
      <c r="T21" s="98"/>
      <c r="U21" s="98"/>
      <c r="W21" s="95" t="str">
        <f>J21</f>
        <v>Maio</v>
      </c>
      <c r="X21" s="95"/>
      <c r="Y21" s="95"/>
      <c r="Z21" s="95"/>
      <c r="AA21" s="95"/>
      <c r="AB21" s="95"/>
      <c r="AC21" s="95"/>
      <c r="AE21" s="96" t="str">
        <f>W21</f>
        <v>Maio</v>
      </c>
      <c r="AF21" s="96"/>
      <c r="AG21" s="96"/>
      <c r="AH21" s="96"/>
      <c r="AI21" s="96"/>
      <c r="AJ21" s="96"/>
      <c r="AK21" s="96"/>
    </row>
    <row r="22" spans="1:37" ht="15.75" thickBot="1" x14ac:dyDescent="0.3">
      <c r="A22" s="99" t="s">
        <v>5</v>
      </c>
      <c r="B22" s="34" t="s">
        <v>6</v>
      </c>
      <c r="C22" s="22" t="s">
        <v>7</v>
      </c>
      <c r="D22" s="33" t="s">
        <v>8</v>
      </c>
      <c r="E22" s="22" t="s">
        <v>9</v>
      </c>
      <c r="F22" s="24" t="s">
        <v>10</v>
      </c>
      <c r="G22" s="23" t="s">
        <v>11</v>
      </c>
      <c r="H22" s="25" t="s">
        <v>12</v>
      </c>
      <c r="J22" s="6" t="s">
        <v>4</v>
      </c>
      <c r="K22" s="9">
        <v>45420</v>
      </c>
      <c r="L22" s="66">
        <v>45426</v>
      </c>
      <c r="M22" s="66">
        <v>45433</v>
      </c>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99"/>
      <c r="B23" s="26">
        <v>28570</v>
      </c>
      <c r="C23" s="27"/>
      <c r="D23" s="27"/>
      <c r="E23" s="27">
        <v>29780</v>
      </c>
      <c r="F23" s="27">
        <f>SUM(C23-B23)</f>
        <v>-28570</v>
      </c>
      <c r="G23" s="20">
        <f>SUM(E23-D23)</f>
        <v>29780</v>
      </c>
      <c r="H23" s="21">
        <f>SUM(F23:G23)</f>
        <v>1210</v>
      </c>
      <c r="J23" s="7" t="s">
        <v>22</v>
      </c>
      <c r="K23" s="30">
        <v>167.94</v>
      </c>
      <c r="L23" s="11">
        <v>207.93</v>
      </c>
      <c r="M23" s="11">
        <v>253.03</v>
      </c>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628.9</v>
      </c>
      <c r="AB24" s="8" t="s">
        <v>23</v>
      </c>
      <c r="AC24" s="13">
        <f>SUM(X23:AC23)</f>
        <v>0</v>
      </c>
      <c r="AJ24" s="8" t="s">
        <v>23</v>
      </c>
      <c r="AK24" s="13">
        <f>SUM(AF23:AK23)</f>
        <v>0</v>
      </c>
    </row>
    <row r="25" spans="1:37" ht="15.75" thickBot="1" x14ac:dyDescent="0.3">
      <c r="A25" s="19"/>
      <c r="B25" s="97" t="s">
        <v>24</v>
      </c>
      <c r="C25" s="97"/>
      <c r="D25" s="97"/>
      <c r="E25" s="97"/>
      <c r="F25" s="97"/>
      <c r="G25" s="97"/>
      <c r="H25" s="97"/>
      <c r="J25" s="98" t="s">
        <v>24</v>
      </c>
      <c r="K25" s="98"/>
      <c r="L25" s="98"/>
      <c r="M25" s="98"/>
      <c r="N25" s="98"/>
      <c r="O25" s="98"/>
      <c r="P25" s="98"/>
      <c r="Q25" s="98"/>
      <c r="R25" s="98"/>
      <c r="S25" s="98"/>
      <c r="T25" s="98"/>
      <c r="U25" s="98"/>
      <c r="W25" s="95" t="str">
        <f>J25</f>
        <v>Junho</v>
      </c>
      <c r="X25" s="95"/>
      <c r="Y25" s="95"/>
      <c r="Z25" s="95"/>
      <c r="AA25" s="95"/>
      <c r="AB25" s="95"/>
      <c r="AC25" s="95"/>
      <c r="AE25" s="96" t="str">
        <f>W25</f>
        <v>Junho</v>
      </c>
      <c r="AF25" s="96"/>
      <c r="AG25" s="96"/>
      <c r="AH25" s="96"/>
      <c r="AI25" s="96"/>
      <c r="AJ25" s="96"/>
      <c r="AK25" s="96"/>
    </row>
    <row r="26" spans="1:37" ht="15.75" thickBot="1" x14ac:dyDescent="0.3">
      <c r="A26" s="99" t="s">
        <v>5</v>
      </c>
      <c r="B26" s="34" t="s">
        <v>6</v>
      </c>
      <c r="C26" s="22" t="s">
        <v>7</v>
      </c>
      <c r="D26" s="33" t="s">
        <v>8</v>
      </c>
      <c r="E26" s="22" t="s">
        <v>9</v>
      </c>
      <c r="F26" s="24" t="s">
        <v>10</v>
      </c>
      <c r="G26" s="23" t="s">
        <v>11</v>
      </c>
      <c r="H26" s="25" t="s">
        <v>12</v>
      </c>
      <c r="J26" s="6" t="s">
        <v>4</v>
      </c>
      <c r="K26" s="9">
        <v>45447</v>
      </c>
      <c r="L26" s="66">
        <v>45459</v>
      </c>
      <c r="M26" s="66">
        <v>45468</v>
      </c>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99"/>
      <c r="B27" s="26">
        <v>29780</v>
      </c>
      <c r="C27" s="27"/>
      <c r="D27" s="27"/>
      <c r="E27" s="27">
        <v>30993</v>
      </c>
      <c r="F27" s="27">
        <f>SUM(C27-B27)</f>
        <v>-29780</v>
      </c>
      <c r="G27" s="20">
        <f>SUM(E27-D27)</f>
        <v>30993</v>
      </c>
      <c r="H27" s="21">
        <f>SUM(F27:G27)</f>
        <v>1213</v>
      </c>
      <c r="J27" s="7" t="s">
        <v>22</v>
      </c>
      <c r="K27" s="10">
        <v>237.67</v>
      </c>
      <c r="L27" s="11">
        <v>230.02</v>
      </c>
      <c r="M27" s="11">
        <v>223.24</v>
      </c>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690.93000000000006</v>
      </c>
      <c r="AB28" s="8" t="s">
        <v>23</v>
      </c>
      <c r="AC28" s="13">
        <f>SUM(X27:AC27)</f>
        <v>0</v>
      </c>
      <c r="AJ28" s="8" t="s">
        <v>23</v>
      </c>
      <c r="AK28" s="13">
        <f>SUM(AF27:AK27)</f>
        <v>0</v>
      </c>
    </row>
    <row r="29" spans="1:37" ht="15.75" thickBot="1" x14ac:dyDescent="0.3">
      <c r="A29" s="19"/>
      <c r="B29" s="97" t="s">
        <v>16</v>
      </c>
      <c r="C29" s="97"/>
      <c r="D29" s="97"/>
      <c r="E29" s="97"/>
      <c r="F29" s="97"/>
      <c r="G29" s="97"/>
      <c r="H29" s="97"/>
      <c r="J29" s="98" t="s">
        <v>16</v>
      </c>
      <c r="K29" s="98"/>
      <c r="L29" s="98"/>
      <c r="M29" s="98"/>
      <c r="N29" s="98"/>
      <c r="O29" s="98"/>
      <c r="P29" s="98"/>
      <c r="Q29" s="98"/>
      <c r="R29" s="98"/>
      <c r="S29" s="98"/>
      <c r="T29" s="98"/>
      <c r="U29" s="98"/>
      <c r="W29" s="95" t="str">
        <f>J29</f>
        <v>Julho</v>
      </c>
      <c r="X29" s="95"/>
      <c r="Y29" s="95"/>
      <c r="Z29" s="95"/>
      <c r="AA29" s="95"/>
      <c r="AB29" s="95"/>
      <c r="AC29" s="95"/>
      <c r="AE29" s="96" t="str">
        <f>W29</f>
        <v>Julho</v>
      </c>
      <c r="AF29" s="96"/>
      <c r="AG29" s="96"/>
      <c r="AH29" s="96"/>
      <c r="AI29" s="96"/>
      <c r="AJ29" s="96"/>
      <c r="AK29" s="96"/>
    </row>
    <row r="30" spans="1:37" ht="15.75" thickBot="1" x14ac:dyDescent="0.3">
      <c r="A30" s="99" t="s">
        <v>5</v>
      </c>
      <c r="B30" s="34" t="s">
        <v>6</v>
      </c>
      <c r="C30" s="22" t="s">
        <v>7</v>
      </c>
      <c r="D30" s="33" t="s">
        <v>8</v>
      </c>
      <c r="E30" s="22" t="s">
        <v>9</v>
      </c>
      <c r="F30" s="24" t="s">
        <v>10</v>
      </c>
      <c r="G30" s="23" t="s">
        <v>11</v>
      </c>
      <c r="H30" s="25" t="s">
        <v>12</v>
      </c>
      <c r="J30" s="6" t="s">
        <v>4</v>
      </c>
      <c r="K30" s="9">
        <v>45477</v>
      </c>
      <c r="L30" s="66">
        <v>45484</v>
      </c>
      <c r="M30" s="66">
        <v>45498</v>
      </c>
      <c r="N30" s="4"/>
      <c r="O30" s="4"/>
      <c r="P30" s="4"/>
      <c r="Q30" s="4"/>
      <c r="R30" s="4"/>
      <c r="S30" s="4"/>
      <c r="T30" s="4"/>
      <c r="U30" s="5"/>
      <c r="W30" s="6" t="s">
        <v>4</v>
      </c>
      <c r="X30" s="9">
        <v>45486</v>
      </c>
      <c r="Y30" s="66">
        <v>45500</v>
      </c>
      <c r="Z30" s="4"/>
      <c r="AA30" s="4"/>
      <c r="AB30" s="4"/>
      <c r="AC30" s="5"/>
      <c r="AE30" s="6" t="s">
        <v>4</v>
      </c>
      <c r="AF30" s="9"/>
      <c r="AG30" s="4"/>
      <c r="AH30" s="4"/>
      <c r="AI30" s="4"/>
      <c r="AJ30" s="4"/>
      <c r="AK30" s="5"/>
    </row>
    <row r="31" spans="1:37" ht="15.75" thickBot="1" x14ac:dyDescent="0.3">
      <c r="A31" s="99"/>
      <c r="B31" s="26">
        <v>30993</v>
      </c>
      <c r="C31" s="27"/>
      <c r="D31" s="27"/>
      <c r="E31" s="27">
        <v>32216</v>
      </c>
      <c r="F31" s="27">
        <f>SUM(C31-B31)</f>
        <v>-30993</v>
      </c>
      <c r="G31" s="20">
        <f>SUM(E31-D31)</f>
        <v>32216</v>
      </c>
      <c r="H31" s="21">
        <f>SUM(F31:G31)</f>
        <v>1223</v>
      </c>
      <c r="J31" s="7" t="s">
        <v>22</v>
      </c>
      <c r="K31" s="10">
        <v>222.25</v>
      </c>
      <c r="L31" s="11">
        <v>227.05</v>
      </c>
      <c r="M31" s="11">
        <v>214.21</v>
      </c>
      <c r="N31" s="11"/>
      <c r="O31" s="11"/>
      <c r="P31" s="11"/>
      <c r="Q31" s="11"/>
      <c r="R31" s="11"/>
      <c r="S31" s="11"/>
      <c r="T31" s="11"/>
      <c r="U31" s="12"/>
      <c r="W31" s="7" t="s">
        <v>22</v>
      </c>
      <c r="X31" s="10">
        <v>50</v>
      </c>
      <c r="Y31" s="11">
        <v>50</v>
      </c>
      <c r="Z31" s="11"/>
      <c r="AA31" s="11"/>
      <c r="AB31" s="11"/>
      <c r="AC31" s="12"/>
      <c r="AE31" s="7" t="s">
        <v>22</v>
      </c>
      <c r="AF31" s="10"/>
      <c r="AG31" s="11"/>
      <c r="AH31" s="11"/>
      <c r="AI31" s="11"/>
      <c r="AJ31" s="11"/>
      <c r="AK31" s="12"/>
    </row>
    <row r="32" spans="1:37" x14ac:dyDescent="0.25">
      <c r="J32" s="8"/>
      <c r="T32" s="8" t="s">
        <v>23</v>
      </c>
      <c r="U32" s="13">
        <f>SUM(K31:U31)</f>
        <v>663.51</v>
      </c>
      <c r="AB32" s="8" t="s">
        <v>23</v>
      </c>
      <c r="AC32" s="13">
        <f>SUM(X31:AC31)</f>
        <v>100</v>
      </c>
      <c r="AJ32" s="8" t="s">
        <v>23</v>
      </c>
      <c r="AK32" s="13">
        <f>SUM(AF31:AK31)</f>
        <v>0</v>
      </c>
    </row>
    <row r="33" spans="1:37" ht="15.75" thickBot="1" x14ac:dyDescent="0.3">
      <c r="A33" s="19"/>
      <c r="B33" s="97" t="s">
        <v>17</v>
      </c>
      <c r="C33" s="97"/>
      <c r="D33" s="97"/>
      <c r="E33" s="97"/>
      <c r="F33" s="97"/>
      <c r="G33" s="97"/>
      <c r="H33" s="97"/>
      <c r="J33" s="98" t="s">
        <v>17</v>
      </c>
      <c r="K33" s="98"/>
      <c r="L33" s="98"/>
      <c r="M33" s="98"/>
      <c r="N33" s="98"/>
      <c r="O33" s="98"/>
      <c r="P33" s="98"/>
      <c r="Q33" s="98"/>
      <c r="R33" s="98"/>
      <c r="S33" s="98"/>
      <c r="T33" s="98"/>
      <c r="U33" s="98"/>
      <c r="W33" s="95" t="str">
        <f>J33</f>
        <v>Agosto</v>
      </c>
      <c r="X33" s="95"/>
      <c r="Y33" s="95"/>
      <c r="Z33" s="95"/>
      <c r="AA33" s="95"/>
      <c r="AB33" s="95"/>
      <c r="AC33" s="95"/>
      <c r="AE33" s="96" t="str">
        <f>W33</f>
        <v>Agosto</v>
      </c>
      <c r="AF33" s="96"/>
      <c r="AG33" s="96"/>
      <c r="AH33" s="96"/>
      <c r="AI33" s="96"/>
      <c r="AJ33" s="96"/>
      <c r="AK33" s="96"/>
    </row>
    <row r="34" spans="1:37" ht="15.75" thickBot="1" x14ac:dyDescent="0.3">
      <c r="A34" s="99" t="s">
        <v>5</v>
      </c>
      <c r="B34" s="34" t="s">
        <v>6</v>
      </c>
      <c r="C34" s="22" t="s">
        <v>7</v>
      </c>
      <c r="D34" s="33" t="s">
        <v>8</v>
      </c>
      <c r="E34" s="22" t="s">
        <v>9</v>
      </c>
      <c r="F34" s="24" t="s">
        <v>10</v>
      </c>
      <c r="G34" s="23" t="s">
        <v>11</v>
      </c>
      <c r="H34" s="25" t="s">
        <v>12</v>
      </c>
      <c r="J34" s="6" t="s">
        <v>4</v>
      </c>
      <c r="K34" s="9">
        <v>45510</v>
      </c>
      <c r="L34" s="66">
        <v>45530</v>
      </c>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99"/>
      <c r="B35" s="26"/>
      <c r="C35" s="27"/>
      <c r="D35" s="27"/>
      <c r="E35" s="27"/>
      <c r="F35" s="27">
        <f>SUM(C35-B35)</f>
        <v>0</v>
      </c>
      <c r="G35" s="20">
        <f>SUM(E35-D35)</f>
        <v>0</v>
      </c>
      <c r="H35" s="21">
        <f>SUM(F35:G35)</f>
        <v>0</v>
      </c>
      <c r="J35" s="7" t="s">
        <v>22</v>
      </c>
      <c r="K35" s="10">
        <v>224.42</v>
      </c>
      <c r="L35" s="11">
        <v>236.02</v>
      </c>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460.44</v>
      </c>
      <c r="AB36" s="8" t="s">
        <v>23</v>
      </c>
      <c r="AC36" s="13">
        <f>SUM(X35:AC35)</f>
        <v>0</v>
      </c>
      <c r="AJ36" s="8" t="s">
        <v>23</v>
      </c>
      <c r="AK36" s="13">
        <f>SUM(AF35:AK35)</f>
        <v>0</v>
      </c>
    </row>
    <row r="37" spans="1:37" ht="15.75" thickBot="1" x14ac:dyDescent="0.3">
      <c r="A37" s="19"/>
      <c r="B37" s="97" t="s">
        <v>18</v>
      </c>
      <c r="C37" s="97"/>
      <c r="D37" s="97"/>
      <c r="E37" s="97"/>
      <c r="F37" s="97"/>
      <c r="G37" s="97"/>
      <c r="H37" s="97"/>
      <c r="J37" s="98" t="s">
        <v>18</v>
      </c>
      <c r="K37" s="98"/>
      <c r="L37" s="98"/>
      <c r="M37" s="98"/>
      <c r="N37" s="98"/>
      <c r="O37" s="98"/>
      <c r="P37" s="98"/>
      <c r="Q37" s="98"/>
      <c r="R37" s="98"/>
      <c r="S37" s="98"/>
      <c r="T37" s="98"/>
      <c r="U37" s="98"/>
      <c r="W37" s="95" t="str">
        <f>J37</f>
        <v>Setembro</v>
      </c>
      <c r="X37" s="95"/>
      <c r="Y37" s="95"/>
      <c r="Z37" s="95"/>
      <c r="AA37" s="95"/>
      <c r="AB37" s="95"/>
      <c r="AC37" s="95"/>
      <c r="AE37" s="96" t="str">
        <f>W37</f>
        <v>Setembro</v>
      </c>
      <c r="AF37" s="96"/>
      <c r="AG37" s="96"/>
      <c r="AH37" s="96"/>
      <c r="AI37" s="96"/>
      <c r="AJ37" s="96"/>
      <c r="AK37" s="96"/>
    </row>
    <row r="38" spans="1:37"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97" t="s">
        <v>19</v>
      </c>
      <c r="C41" s="97"/>
      <c r="D41" s="97"/>
      <c r="E41" s="97"/>
      <c r="F41" s="97"/>
      <c r="G41" s="97"/>
      <c r="H41" s="97"/>
      <c r="J41" s="98" t="s">
        <v>19</v>
      </c>
      <c r="K41" s="98"/>
      <c r="L41" s="98"/>
      <c r="M41" s="98"/>
      <c r="N41" s="98"/>
      <c r="O41" s="98"/>
      <c r="P41" s="98"/>
      <c r="Q41" s="98"/>
      <c r="R41" s="98"/>
      <c r="S41" s="98"/>
      <c r="T41" s="98"/>
      <c r="U41" s="98"/>
      <c r="W41" s="95" t="str">
        <f>J41</f>
        <v>Outubro</v>
      </c>
      <c r="X41" s="95"/>
      <c r="Y41" s="95"/>
      <c r="Z41" s="95"/>
      <c r="AA41" s="95"/>
      <c r="AB41" s="95"/>
      <c r="AC41" s="95"/>
      <c r="AE41" s="96" t="str">
        <f>W41</f>
        <v>Outubro</v>
      </c>
      <c r="AF41" s="96"/>
      <c r="AG41" s="96"/>
      <c r="AH41" s="96"/>
      <c r="AI41" s="96"/>
      <c r="AJ41" s="96"/>
      <c r="AK41" s="96"/>
    </row>
    <row r="42" spans="1:37"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97" t="s">
        <v>20</v>
      </c>
      <c r="C45" s="97"/>
      <c r="D45" s="97"/>
      <c r="E45" s="97"/>
      <c r="F45" s="97"/>
      <c r="G45" s="97"/>
      <c r="H45" s="97"/>
      <c r="J45" s="98" t="s">
        <v>20</v>
      </c>
      <c r="K45" s="98"/>
      <c r="L45" s="98"/>
      <c r="M45" s="98"/>
      <c r="N45" s="98"/>
      <c r="O45" s="98"/>
      <c r="P45" s="98"/>
      <c r="Q45" s="98"/>
      <c r="R45" s="98"/>
      <c r="S45" s="98"/>
      <c r="T45" s="98"/>
      <c r="U45" s="98"/>
      <c r="W45" s="95" t="str">
        <f>J45</f>
        <v>Novembro</v>
      </c>
      <c r="X45" s="95"/>
      <c r="Y45" s="95"/>
      <c r="Z45" s="95"/>
      <c r="AA45" s="95"/>
      <c r="AB45" s="95"/>
      <c r="AC45" s="95"/>
      <c r="AE45" s="96" t="str">
        <f>W45</f>
        <v>Novembro</v>
      </c>
      <c r="AF45" s="96"/>
      <c r="AG45" s="96"/>
      <c r="AH45" s="96"/>
      <c r="AI45" s="96"/>
      <c r="AJ45" s="96"/>
      <c r="AK45" s="96"/>
    </row>
    <row r="46" spans="1:37"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97" t="s">
        <v>21</v>
      </c>
      <c r="C49" s="97"/>
      <c r="D49" s="97"/>
      <c r="E49" s="97"/>
      <c r="F49" s="97"/>
      <c r="G49" s="97"/>
      <c r="H49" s="97"/>
      <c r="J49" s="98" t="s">
        <v>21</v>
      </c>
      <c r="K49" s="98"/>
      <c r="L49" s="98"/>
      <c r="M49" s="98"/>
      <c r="N49" s="98"/>
      <c r="O49" s="98"/>
      <c r="P49" s="98"/>
      <c r="Q49" s="98"/>
      <c r="R49" s="98"/>
      <c r="S49" s="98"/>
      <c r="T49" s="98"/>
      <c r="U49" s="98"/>
      <c r="W49" s="95" t="str">
        <f>J49</f>
        <v>Dezembro</v>
      </c>
      <c r="X49" s="95"/>
      <c r="Y49" s="95"/>
      <c r="Z49" s="95"/>
      <c r="AA49" s="95"/>
      <c r="AB49" s="95"/>
      <c r="AC49" s="95"/>
      <c r="AE49" s="96" t="str">
        <f>W49</f>
        <v>Dezembro</v>
      </c>
      <c r="AF49" s="96"/>
      <c r="AG49" s="96"/>
      <c r="AH49" s="96"/>
      <c r="AI49" s="96"/>
      <c r="AJ49" s="96"/>
      <c r="AK49" s="96"/>
    </row>
    <row r="50" spans="1:37"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D16:E16"/>
    <mergeCell ref="A50:A51"/>
    <mergeCell ref="B41:H41"/>
    <mergeCell ref="J41:U41"/>
    <mergeCell ref="W41:AC41"/>
    <mergeCell ref="A46:A47"/>
    <mergeCell ref="B49:H49"/>
    <mergeCell ref="J49:U49"/>
    <mergeCell ref="W49:AC49"/>
    <mergeCell ref="A26:A27"/>
    <mergeCell ref="B17:H17"/>
    <mergeCell ref="J17:U17"/>
    <mergeCell ref="W17:AC17"/>
    <mergeCell ref="A22:A23"/>
    <mergeCell ref="B25:H25"/>
    <mergeCell ref="J25:U25"/>
    <mergeCell ref="AE41:AK41"/>
    <mergeCell ref="A42:A43"/>
    <mergeCell ref="B45:H45"/>
    <mergeCell ref="J45:U45"/>
    <mergeCell ref="W45:AC45"/>
    <mergeCell ref="AE45:AK45"/>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E17:AK17"/>
    <mergeCell ref="A18:A19"/>
    <mergeCell ref="B21:H21"/>
    <mergeCell ref="J21:U21"/>
    <mergeCell ref="W21:AC21"/>
    <mergeCell ref="AE21:AK21"/>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D8:E8"/>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topLeftCell="A19"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topLeftCell="A7"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topLeftCell="A3" workbookViewId="0">
      <selection activeCell="E11" sqref="B11:E1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topLeftCell="A25"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topLeftCell="A28"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topLeftCell="A28"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topLeftCell="A25"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topLeftCell="A25"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topLeftCell="A6" workbookViewId="0">
      <selection activeCell="E11" sqref="B11:E1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topLeftCell="A28"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topLeftCell="A28" workbookViewId="0">
      <selection activeCell="E51"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topLeftCell="A22"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topLeftCell="A28" workbookViewId="0">
      <selection activeCell="E51"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topLeftCell="A28" workbookViewId="0">
      <selection activeCell="E51"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topLeftCell="A22" workbookViewId="0">
      <selection activeCell="E51" sqref="B51:E5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topLeftCell="A25" workbookViewId="0">
      <selection activeCell="E52" sqref="B51:E5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100"/>
      <c r="C2" s="100"/>
      <c r="D2" s="1" t="s">
        <v>1</v>
      </c>
      <c r="E2" s="100"/>
      <c r="F2" s="100"/>
      <c r="H2" t="s">
        <v>45</v>
      </c>
      <c r="I2" s="54">
        <v>5325</v>
      </c>
    </row>
    <row r="3" spans="1:40" x14ac:dyDescent="0.25">
      <c r="F3" s="1"/>
    </row>
    <row r="4" spans="1:40" x14ac:dyDescent="0.25">
      <c r="A4" t="s">
        <v>2</v>
      </c>
      <c r="B4" s="101">
        <v>3500</v>
      </c>
      <c r="C4" s="101"/>
      <c r="D4" s="1" t="s">
        <v>29</v>
      </c>
      <c r="E4" s="100"/>
      <c r="F4" s="100"/>
    </row>
    <row r="7" spans="1:40" ht="21" x14ac:dyDescent="0.35">
      <c r="A7" s="103" t="s">
        <v>28</v>
      </c>
      <c r="B7" s="103"/>
      <c r="C7" s="103"/>
      <c r="D7" s="103"/>
      <c r="E7" s="103"/>
      <c r="F7" s="103"/>
      <c r="G7" s="103"/>
      <c r="H7" s="103"/>
      <c r="J7" s="105" t="s">
        <v>26</v>
      </c>
      <c r="K7" s="105"/>
      <c r="L7" s="105"/>
      <c r="M7" s="105"/>
      <c r="N7" s="105"/>
      <c r="O7" s="105"/>
      <c r="P7" s="105"/>
      <c r="Q7" s="105"/>
      <c r="R7" s="105"/>
      <c r="S7" s="105"/>
      <c r="T7" s="105"/>
      <c r="U7" s="105"/>
      <c r="V7" s="2"/>
      <c r="W7" s="2"/>
      <c r="X7" s="2"/>
      <c r="Y7" s="104" t="s">
        <v>25</v>
      </c>
      <c r="Z7" s="104"/>
      <c r="AA7" s="104"/>
      <c r="AB7" s="104"/>
      <c r="AC7" s="104"/>
      <c r="AD7" s="104"/>
      <c r="AE7" s="104"/>
      <c r="AF7" s="2"/>
      <c r="AG7" s="2"/>
      <c r="AH7" s="104" t="s">
        <v>27</v>
      </c>
      <c r="AI7" s="104"/>
      <c r="AJ7" s="104"/>
      <c r="AK7" s="104"/>
      <c r="AL7" s="104"/>
      <c r="AM7" s="104"/>
      <c r="AN7" s="104"/>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7" t="s">
        <v>3</v>
      </c>
      <c r="C9" s="97"/>
      <c r="D9" s="97"/>
      <c r="E9" s="97"/>
      <c r="F9" s="97"/>
      <c r="G9" s="97"/>
      <c r="H9" s="97"/>
      <c r="J9" s="98" t="s">
        <v>3</v>
      </c>
      <c r="K9" s="98"/>
      <c r="L9" s="98"/>
      <c r="M9" s="98"/>
      <c r="N9" s="98"/>
      <c r="O9" s="98"/>
      <c r="P9" s="98"/>
      <c r="Q9" s="98"/>
      <c r="R9" s="98"/>
      <c r="S9" s="98"/>
      <c r="T9" s="98"/>
      <c r="U9" s="98"/>
      <c r="Y9" s="95" t="s">
        <v>3</v>
      </c>
      <c r="Z9" s="95"/>
      <c r="AA9" s="95"/>
      <c r="AB9" s="95"/>
      <c r="AC9" s="95"/>
      <c r="AD9" s="95"/>
      <c r="AE9" s="95"/>
      <c r="AH9" s="96" t="s">
        <v>3</v>
      </c>
      <c r="AI9" s="96"/>
      <c r="AJ9" s="96"/>
      <c r="AK9" s="96"/>
      <c r="AL9" s="96"/>
      <c r="AM9" s="96"/>
      <c r="AN9" s="96"/>
    </row>
    <row r="10" spans="1:40" ht="15.75" thickBot="1" x14ac:dyDescent="0.3">
      <c r="A10" s="99"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9"/>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7" t="s">
        <v>13</v>
      </c>
      <c r="C13" s="97"/>
      <c r="D13" s="97"/>
      <c r="E13" s="97"/>
      <c r="F13" s="97"/>
      <c r="G13" s="97"/>
      <c r="H13" s="97"/>
      <c r="J13" s="98" t="s">
        <v>13</v>
      </c>
      <c r="K13" s="98"/>
      <c r="L13" s="98"/>
      <c r="M13" s="98"/>
      <c r="N13" s="98"/>
      <c r="O13" s="98"/>
      <c r="P13" s="98"/>
      <c r="Q13" s="98"/>
      <c r="R13" s="98"/>
      <c r="S13" s="98"/>
      <c r="T13" s="98"/>
      <c r="U13" s="98"/>
      <c r="Y13" s="95" t="str">
        <f>J13</f>
        <v>Março</v>
      </c>
      <c r="Z13" s="95"/>
      <c r="AA13" s="95"/>
      <c r="AB13" s="95"/>
      <c r="AC13" s="95"/>
      <c r="AD13" s="95"/>
      <c r="AE13" s="95"/>
      <c r="AH13" s="96" t="str">
        <f>Y13</f>
        <v>Março</v>
      </c>
      <c r="AI13" s="96"/>
      <c r="AJ13" s="96"/>
      <c r="AK13" s="96"/>
      <c r="AL13" s="96"/>
      <c r="AM13" s="96"/>
      <c r="AN13" s="96"/>
    </row>
    <row r="14" spans="1:40" ht="15.75" thickBot="1" x14ac:dyDescent="0.3">
      <c r="A14" s="99"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9"/>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7" t="s">
        <v>14</v>
      </c>
      <c r="C17" s="97"/>
      <c r="D17" s="97"/>
      <c r="E17" s="97"/>
      <c r="F17" s="97"/>
      <c r="G17" s="97"/>
      <c r="H17" s="97"/>
      <c r="J17" s="98" t="s">
        <v>14</v>
      </c>
      <c r="K17" s="98"/>
      <c r="L17" s="98"/>
      <c r="M17" s="98"/>
      <c r="N17" s="98"/>
      <c r="O17" s="98"/>
      <c r="P17" s="98"/>
      <c r="Q17" s="98"/>
      <c r="R17" s="98"/>
      <c r="S17" s="98"/>
      <c r="T17" s="98"/>
      <c r="U17" s="98"/>
      <c r="Y17" s="95" t="str">
        <f>J17</f>
        <v>Abril</v>
      </c>
      <c r="Z17" s="95"/>
      <c r="AA17" s="95"/>
      <c r="AB17" s="95"/>
      <c r="AC17" s="95"/>
      <c r="AD17" s="95"/>
      <c r="AE17" s="95"/>
      <c r="AH17" s="96" t="str">
        <f>Y17</f>
        <v>Abril</v>
      </c>
      <c r="AI17" s="96"/>
      <c r="AJ17" s="96"/>
      <c r="AK17" s="96"/>
      <c r="AL17" s="96"/>
      <c r="AM17" s="96"/>
      <c r="AN17" s="96"/>
    </row>
    <row r="18" spans="1:40" ht="15.75" thickBot="1" x14ac:dyDescent="0.3">
      <c r="A18" s="99"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9"/>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7" t="s">
        <v>15</v>
      </c>
      <c r="C21" s="97"/>
      <c r="D21" s="97"/>
      <c r="E21" s="97"/>
      <c r="F21" s="97"/>
      <c r="G21" s="97"/>
      <c r="H21" s="97"/>
      <c r="J21" s="98" t="s">
        <v>15</v>
      </c>
      <c r="K21" s="98"/>
      <c r="L21" s="98"/>
      <c r="M21" s="98"/>
      <c r="N21" s="98"/>
      <c r="O21" s="98"/>
      <c r="P21" s="98"/>
      <c r="Q21" s="98"/>
      <c r="R21" s="98"/>
      <c r="S21" s="98"/>
      <c r="T21" s="98"/>
      <c r="U21" s="98"/>
      <c r="Y21" s="95" t="str">
        <f>J21</f>
        <v>Maio</v>
      </c>
      <c r="Z21" s="95"/>
      <c r="AA21" s="95"/>
      <c r="AB21" s="95"/>
      <c r="AC21" s="95"/>
      <c r="AD21" s="95"/>
      <c r="AE21" s="95"/>
      <c r="AH21" s="96" t="str">
        <f>Y21</f>
        <v>Maio</v>
      </c>
      <c r="AI21" s="96"/>
      <c r="AJ21" s="96"/>
      <c r="AK21" s="96"/>
      <c r="AL21" s="96"/>
      <c r="AM21" s="96"/>
      <c r="AN21" s="96"/>
    </row>
    <row r="22" spans="1:40" ht="15.75" thickBot="1" x14ac:dyDescent="0.3">
      <c r="A22" s="99"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9"/>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7" t="s">
        <v>24</v>
      </c>
      <c r="C25" s="97"/>
      <c r="D25" s="97"/>
      <c r="E25" s="97"/>
      <c r="F25" s="97"/>
      <c r="G25" s="97"/>
      <c r="H25" s="97"/>
      <c r="J25" s="98" t="s">
        <v>24</v>
      </c>
      <c r="K25" s="98"/>
      <c r="L25" s="98"/>
      <c r="M25" s="98"/>
      <c r="N25" s="98"/>
      <c r="O25" s="98"/>
      <c r="P25" s="98"/>
      <c r="Q25" s="98"/>
      <c r="R25" s="98"/>
      <c r="S25" s="98"/>
      <c r="T25" s="98"/>
      <c r="U25" s="98"/>
      <c r="Y25" s="95" t="str">
        <f>J25</f>
        <v>Junho</v>
      </c>
      <c r="Z25" s="95"/>
      <c r="AA25" s="95"/>
      <c r="AB25" s="95"/>
      <c r="AC25" s="95"/>
      <c r="AD25" s="95"/>
      <c r="AE25" s="95"/>
      <c r="AH25" s="96" t="str">
        <f>Y25</f>
        <v>Junho</v>
      </c>
      <c r="AI25" s="96"/>
      <c r="AJ25" s="96"/>
      <c r="AK25" s="96"/>
      <c r="AL25" s="96"/>
      <c r="AM25" s="96"/>
      <c r="AN25" s="96"/>
    </row>
    <row r="26" spans="1:40" ht="15.75" thickBot="1" x14ac:dyDescent="0.3">
      <c r="A26" s="99"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9"/>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7" t="s">
        <v>16</v>
      </c>
      <c r="C29" s="97"/>
      <c r="D29" s="97"/>
      <c r="E29" s="97"/>
      <c r="F29" s="97"/>
      <c r="G29" s="97"/>
      <c r="H29" s="97"/>
      <c r="J29" s="98" t="s">
        <v>16</v>
      </c>
      <c r="K29" s="98"/>
      <c r="L29" s="98"/>
      <c r="M29" s="98"/>
      <c r="N29" s="98"/>
      <c r="O29" s="98"/>
      <c r="P29" s="98"/>
      <c r="Q29" s="98"/>
      <c r="R29" s="98"/>
      <c r="S29" s="98"/>
      <c r="T29" s="98"/>
      <c r="U29" s="98"/>
      <c r="Y29" s="95" t="str">
        <f>J29</f>
        <v>Julho</v>
      </c>
      <c r="Z29" s="95"/>
      <c r="AA29" s="95"/>
      <c r="AB29" s="95"/>
      <c r="AC29" s="95"/>
      <c r="AD29" s="95"/>
      <c r="AE29" s="95"/>
      <c r="AH29" s="96" t="str">
        <f>Y29</f>
        <v>Julho</v>
      </c>
      <c r="AI29" s="96"/>
      <c r="AJ29" s="96"/>
      <c r="AK29" s="96"/>
      <c r="AL29" s="96"/>
      <c r="AM29" s="96"/>
      <c r="AN29" s="96"/>
    </row>
    <row r="30" spans="1:40" ht="15.75" thickBot="1" x14ac:dyDescent="0.3">
      <c r="A30" s="99"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9"/>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7" t="s">
        <v>17</v>
      </c>
      <c r="C33" s="97"/>
      <c r="D33" s="97"/>
      <c r="E33" s="97"/>
      <c r="F33" s="97"/>
      <c r="G33" s="97"/>
      <c r="H33" s="97"/>
      <c r="J33" s="98" t="s">
        <v>17</v>
      </c>
      <c r="K33" s="98"/>
      <c r="L33" s="98"/>
      <c r="M33" s="98"/>
      <c r="N33" s="98"/>
      <c r="O33" s="98"/>
      <c r="P33" s="98"/>
      <c r="Q33" s="98"/>
      <c r="R33" s="98"/>
      <c r="S33" s="98"/>
      <c r="T33" s="98"/>
      <c r="U33" s="98"/>
      <c r="Y33" s="95" t="str">
        <f>J33</f>
        <v>Agosto</v>
      </c>
      <c r="Z33" s="95"/>
      <c r="AA33" s="95"/>
      <c r="AB33" s="95"/>
      <c r="AC33" s="95"/>
      <c r="AD33" s="95"/>
      <c r="AE33" s="95"/>
      <c r="AH33" s="96" t="str">
        <f>Y33</f>
        <v>Agosto</v>
      </c>
      <c r="AI33" s="96"/>
      <c r="AJ33" s="96"/>
      <c r="AK33" s="96"/>
      <c r="AL33" s="96"/>
      <c r="AM33" s="96"/>
      <c r="AN33" s="96"/>
    </row>
    <row r="34" spans="1:40" ht="15.75" thickBot="1" x14ac:dyDescent="0.3">
      <c r="A34" s="99"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9"/>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7" t="s">
        <v>18</v>
      </c>
      <c r="C37" s="97"/>
      <c r="D37" s="97"/>
      <c r="E37" s="97"/>
      <c r="F37" s="97"/>
      <c r="G37" s="97"/>
      <c r="H37" s="97"/>
      <c r="J37" s="98" t="s">
        <v>18</v>
      </c>
      <c r="K37" s="98"/>
      <c r="L37" s="98"/>
      <c r="M37" s="98"/>
      <c r="N37" s="98"/>
      <c r="O37" s="98"/>
      <c r="P37" s="98"/>
      <c r="Q37" s="98"/>
      <c r="R37" s="98"/>
      <c r="S37" s="98"/>
      <c r="T37" s="98"/>
      <c r="U37" s="98"/>
      <c r="Y37" s="95" t="str">
        <f>J37</f>
        <v>Setembro</v>
      </c>
      <c r="Z37" s="95"/>
      <c r="AA37" s="95"/>
      <c r="AB37" s="95"/>
      <c r="AC37" s="95"/>
      <c r="AD37" s="95"/>
      <c r="AE37" s="95"/>
      <c r="AH37" s="96" t="str">
        <f>Y37</f>
        <v>Setembro</v>
      </c>
      <c r="AI37" s="96"/>
      <c r="AJ37" s="96"/>
      <c r="AK37" s="96"/>
      <c r="AL37" s="96"/>
      <c r="AM37" s="96"/>
      <c r="AN37" s="96"/>
    </row>
    <row r="38" spans="1:40" ht="15.75" thickBot="1" x14ac:dyDescent="0.3">
      <c r="A38" s="99"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9"/>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7" t="s">
        <v>19</v>
      </c>
      <c r="C41" s="97"/>
      <c r="D41" s="97"/>
      <c r="E41" s="97"/>
      <c r="F41" s="97"/>
      <c r="G41" s="97"/>
      <c r="H41" s="97"/>
      <c r="J41" s="98" t="s">
        <v>19</v>
      </c>
      <c r="K41" s="98"/>
      <c r="L41" s="98"/>
      <c r="M41" s="98"/>
      <c r="N41" s="98"/>
      <c r="O41" s="98"/>
      <c r="P41" s="98"/>
      <c r="Q41" s="98"/>
      <c r="R41" s="98"/>
      <c r="S41" s="98"/>
      <c r="T41" s="98"/>
      <c r="U41" s="98"/>
      <c r="Y41" s="95" t="str">
        <f>J41</f>
        <v>Outubro</v>
      </c>
      <c r="Z41" s="95"/>
      <c r="AA41" s="95"/>
      <c r="AB41" s="95"/>
      <c r="AC41" s="95"/>
      <c r="AD41" s="95"/>
      <c r="AE41" s="95"/>
      <c r="AH41" s="96" t="str">
        <f>Y41</f>
        <v>Outubro</v>
      </c>
      <c r="AI41" s="96"/>
      <c r="AJ41" s="96"/>
      <c r="AK41" s="96"/>
      <c r="AL41" s="96"/>
      <c r="AM41" s="96"/>
      <c r="AN41" s="96"/>
    </row>
    <row r="42" spans="1:40" ht="15.75" thickBot="1" x14ac:dyDescent="0.3">
      <c r="A42" s="99"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9"/>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7" t="s">
        <v>20</v>
      </c>
      <c r="C45" s="97"/>
      <c r="D45" s="97"/>
      <c r="E45" s="97"/>
      <c r="F45" s="97"/>
      <c r="G45" s="97"/>
      <c r="H45" s="97"/>
      <c r="J45" s="98" t="s">
        <v>20</v>
      </c>
      <c r="K45" s="98"/>
      <c r="L45" s="98"/>
      <c r="M45" s="98"/>
      <c r="N45" s="98"/>
      <c r="O45" s="98"/>
      <c r="P45" s="98"/>
      <c r="Q45" s="98"/>
      <c r="R45" s="98"/>
      <c r="S45" s="98"/>
      <c r="T45" s="98"/>
      <c r="U45" s="98"/>
      <c r="Y45" s="95" t="str">
        <f>J45</f>
        <v>Novembro</v>
      </c>
      <c r="Z45" s="95"/>
      <c r="AA45" s="95"/>
      <c r="AB45" s="95"/>
      <c r="AC45" s="95"/>
      <c r="AD45" s="95"/>
      <c r="AE45" s="95"/>
      <c r="AH45" s="96" t="str">
        <f>Y45</f>
        <v>Novembro</v>
      </c>
      <c r="AI45" s="96"/>
      <c r="AJ45" s="96"/>
      <c r="AK45" s="96"/>
      <c r="AL45" s="96"/>
      <c r="AM45" s="96"/>
      <c r="AN45" s="96"/>
    </row>
    <row r="46" spans="1:40" ht="15.75" thickBot="1" x14ac:dyDescent="0.3">
      <c r="A46" s="99"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9"/>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7" t="s">
        <v>21</v>
      </c>
      <c r="C49" s="97"/>
      <c r="D49" s="97"/>
      <c r="E49" s="97"/>
      <c r="F49" s="97"/>
      <c r="G49" s="97"/>
      <c r="H49" s="97"/>
      <c r="J49" s="98" t="s">
        <v>21</v>
      </c>
      <c r="K49" s="98"/>
      <c r="L49" s="98"/>
      <c r="M49" s="98"/>
      <c r="N49" s="98"/>
      <c r="O49" s="98"/>
      <c r="P49" s="98"/>
      <c r="Q49" s="98"/>
      <c r="R49" s="98"/>
      <c r="S49" s="98"/>
      <c r="T49" s="98"/>
      <c r="U49" s="98"/>
      <c r="Y49" s="95" t="str">
        <f>J49</f>
        <v>Dezembro</v>
      </c>
      <c r="Z49" s="95"/>
      <c r="AA49" s="95"/>
      <c r="AB49" s="95"/>
      <c r="AC49" s="95"/>
      <c r="AD49" s="95"/>
      <c r="AE49" s="95"/>
      <c r="AH49" s="96" t="str">
        <f>Y49</f>
        <v>Dezembro</v>
      </c>
      <c r="AI49" s="96"/>
      <c r="AJ49" s="96"/>
      <c r="AK49" s="96"/>
      <c r="AL49" s="96"/>
      <c r="AM49" s="96"/>
      <c r="AN49" s="96"/>
    </row>
    <row r="50" spans="1:40" ht="15.75" thickBot="1" x14ac:dyDescent="0.3">
      <c r="A50" s="99"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9"/>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3">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Eliomar</vt:lpstr>
      <vt:lpstr>Jerfferson </vt:lpstr>
      <vt:lpstr>Eliomar-Desmob</vt:lpstr>
      <vt:lpstr>Ademir-Desmob</vt:lpstr>
      <vt:lpstr>Filipe-Desmob</vt:lpstr>
      <vt:lpstr>Felipe Silva-Mob.CGN Lapa</vt:lpstr>
      <vt:lpstr>André-Desmob</vt:lpstr>
      <vt:lpstr>Rogerio - Devol</vt:lpstr>
      <vt:lpstr>Jonatas-Devol </vt:lpstr>
      <vt:lpstr>Jonatas-Desmob</vt:lpstr>
      <vt:lpstr>Filipe - Desmob</vt:lpstr>
      <vt:lpstr> Eric - Desmob</vt:lpstr>
      <vt:lpstr>Carlos Eduardo - Desmob</vt:lpstr>
      <vt:lpstr>Jairo - Desmob</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2026-06-09T12:29:54Z</dcterms:modified>
</cp:coreProperties>
</file>