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P:\02 - Documentação Empresa\9.Veiculos\2. Locação Veicular\4. Planilhas de acompanhamento veicular\"/>
    </mc:Choice>
  </mc:AlternateContent>
  <xr:revisionPtr revIDLastSave="0" documentId="13_ncr:1_{CFA0F929-6BA1-45DD-8F04-ED8A0402D748}" xr6:coauthVersionLast="47" xr6:coauthVersionMax="47" xr10:uidLastSave="{00000000-0000-0000-0000-000000000000}"/>
  <bookViews>
    <workbookView xWindow="-120" yWindow="-120" windowWidth="29040" windowHeight="15720" tabRatio="897" firstSheet="1" activeTab="1" xr2:uid="{00000000-000D-0000-FFFF-FFFF00000000}"/>
  </bookViews>
  <sheets>
    <sheet name="Locaçao Mensal" sheetId="3" state="hidden" r:id="rId1"/>
    <sheet name="Locação Mensal" sheetId="22" r:id="rId2"/>
    <sheet name="Uso Particular " sheetId="44" r:id="rId3"/>
    <sheet name="Valor Mensal - Faturas" sheetId="37" r:id="rId4"/>
    <sheet name="Obras Diversas - Laboratorio" sheetId="39" r:id="rId5"/>
    <sheet name="Controle Combustivel" sheetId="29" r:id="rId6"/>
    <sheet name="22039_ARINOS" sheetId="23" r:id="rId7"/>
    <sheet name="22007_LDV-V" sheetId="17" r:id="rId8"/>
    <sheet name="23018_IBIMIRIM" sheetId="36" r:id="rId9"/>
    <sheet name="23026_LAGOA_CGN" sheetId="42" r:id="rId10"/>
    <sheet name="22005_MAPEAMENTO" sheetId="16" r:id="rId11"/>
    <sheet name="21029_ENEL GOIANIA" sheetId="15" r:id="rId12"/>
    <sheet name="19018_F.Angra" sheetId="30" r:id="rId13"/>
    <sheet name="20017_DNIT" sheetId="24" r:id="rId14"/>
    <sheet name="0000_ARO" sheetId="43" r:id="rId15"/>
    <sheet name="LABORATÓRIO" sheetId="41" r:id="rId16"/>
    <sheet name="Folga - Uso particular" sheetId="38" r:id="rId17"/>
    <sheet name="Planilha1" sheetId="45" r:id="rId18"/>
  </sheets>
  <definedNames>
    <definedName name="_xlnm._FilterDatabase" localSheetId="14" hidden="1">'0000_ARO'!$A$2:$DC$33</definedName>
    <definedName name="_xlnm._FilterDatabase" localSheetId="12" hidden="1">'19018_F.Angra'!$A$4:$M$4</definedName>
    <definedName name="_xlnm._FilterDatabase" localSheetId="7" hidden="1">'22007_LDV-V'!$A$2:$DC$47</definedName>
    <definedName name="_xlnm._FilterDatabase" localSheetId="8" hidden="1">'23018_IBIMIRIM'!$A$2:$DA$48</definedName>
    <definedName name="_xlnm._FilterDatabase" localSheetId="16" hidden="1">'Folga - Uso particular'!$A$2:$I$43</definedName>
    <definedName name="_xlnm._FilterDatabase" localSheetId="15" hidden="1">LABORATÓRIO!$A$2:$DC$7</definedName>
    <definedName name="_xlnm._FilterDatabase" localSheetId="0" hidden="1">'Locaçao Mensal'!$A$13:$S$40</definedName>
    <definedName name="_xlnm._FilterDatabase" localSheetId="4" hidden="1">'Obras Diversas - Laboratorio'!$A$2:$O$119</definedName>
    <definedName name="_xlnm._FilterDatabase" localSheetId="2" hidden="1">'Uso Particular '!$A$2:$G$77</definedName>
    <definedName name="_xlnm._FilterDatabase" localSheetId="3" hidden="1">'Valor Mensal - Faturas'!$A$2:$J$162</definedName>
    <definedName name="_xlnm.Print_Area" localSheetId="14">'0000_ARO'!$A$1:$DC$33</definedName>
    <definedName name="_xlnm.Print_Area" localSheetId="7">'22007_LDV-V'!$A$1:$DC$47</definedName>
    <definedName name="_xlnm.Print_Area" localSheetId="15">LABORATÓRIO!$A$1:$DC$7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15" l="1"/>
  <c r="H55" i="15"/>
  <c r="G56" i="15"/>
  <c r="H56" i="15"/>
  <c r="G57" i="15"/>
  <c r="H57" i="15"/>
  <c r="G58" i="15"/>
  <c r="H58" i="15"/>
  <c r="G59" i="15"/>
  <c r="H59" i="15"/>
  <c r="G60" i="15"/>
  <c r="H60" i="15"/>
  <c r="L52" i="15" l="1"/>
  <c r="J52" i="15"/>
  <c r="I52" i="15"/>
  <c r="L51" i="15" l="1"/>
  <c r="J51" i="15"/>
  <c r="I51" i="15"/>
  <c r="F75" i="44"/>
  <c r="L48" i="15"/>
  <c r="L47" i="15"/>
  <c r="J47" i="15"/>
  <c r="I47" i="15"/>
  <c r="I48" i="15" l="1"/>
  <c r="L46" i="15" l="1"/>
  <c r="J46" i="15"/>
  <c r="J45" i="15" l="1"/>
  <c r="I45" i="15" l="1"/>
  <c r="G47" i="15" l="1"/>
  <c r="H47" i="15"/>
  <c r="G48" i="15"/>
  <c r="H48" i="15"/>
  <c r="G49" i="15"/>
  <c r="H49" i="15"/>
  <c r="G50" i="15"/>
  <c r="H50" i="15"/>
  <c r="G51" i="15"/>
  <c r="H51" i="15"/>
  <c r="G52" i="15"/>
  <c r="H52" i="15"/>
  <c r="G53" i="15"/>
  <c r="H53" i="15"/>
  <c r="G54" i="15"/>
  <c r="H54" i="15"/>
  <c r="J43" i="15" l="1"/>
  <c r="H32" i="15"/>
  <c r="H33" i="15"/>
  <c r="H34" i="15"/>
  <c r="H35" i="15"/>
  <c r="H36" i="15"/>
  <c r="H38" i="15"/>
  <c r="H39" i="15"/>
  <c r="H40" i="15"/>
  <c r="H43" i="15"/>
  <c r="H45" i="15"/>
  <c r="H46" i="15"/>
  <c r="H25" i="15"/>
  <c r="H26" i="15"/>
  <c r="H27" i="15"/>
  <c r="H28" i="15"/>
  <c r="H29" i="15"/>
  <c r="H30" i="15"/>
  <c r="H31" i="15"/>
  <c r="J44" i="15"/>
  <c r="H44" i="15" s="1"/>
  <c r="J42" i="15" l="1"/>
  <c r="H42" i="15" s="1"/>
  <c r="L41" i="15" l="1"/>
  <c r="J41" i="15"/>
  <c r="I41" i="15"/>
  <c r="H41" i="15" s="1"/>
  <c r="G39" i="15" l="1"/>
  <c r="G40" i="15"/>
  <c r="G41" i="15"/>
  <c r="G42" i="15"/>
  <c r="G43" i="15"/>
  <c r="G44" i="15"/>
  <c r="G45" i="15"/>
  <c r="G46" i="15"/>
  <c r="J37" i="15" l="1"/>
  <c r="I37" i="15"/>
  <c r="H37" i="15" l="1"/>
  <c r="G37" i="15"/>
  <c r="G38" i="15"/>
  <c r="G36" i="15"/>
  <c r="G35" i="15" l="1"/>
  <c r="G34" i="15" l="1"/>
  <c r="G33" i="15"/>
  <c r="G31" i="15"/>
  <c r="G32" i="15"/>
  <c r="AD56" i="36" l="1"/>
  <c r="AC56" i="36"/>
  <c r="H57" i="36"/>
  <c r="I57" i="36"/>
  <c r="G29" i="15" l="1"/>
  <c r="G30" i="15"/>
  <c r="G17" i="42" l="1"/>
  <c r="H24" i="15" l="1"/>
  <c r="H23" i="15"/>
  <c r="I55" i="36"/>
  <c r="I56" i="36"/>
  <c r="H55" i="36"/>
  <c r="H56" i="36"/>
  <c r="G55" i="36"/>
  <c r="G56" i="36"/>
  <c r="G54" i="36"/>
  <c r="G52" i="36"/>
  <c r="G53" i="36"/>
  <c r="I53" i="36"/>
  <c r="H53" i="36"/>
  <c r="I54" i="36"/>
  <c r="H54" i="36"/>
  <c r="H50" i="36"/>
  <c r="AF10" i="29"/>
  <c r="AF5" i="29"/>
  <c r="J24" i="23" l="1"/>
  <c r="G24" i="23"/>
  <c r="J23" i="23"/>
  <c r="G23" i="23"/>
  <c r="I52" i="36" l="1"/>
  <c r="H52" i="36"/>
  <c r="I51" i="36"/>
  <c r="H51" i="36"/>
  <c r="G51" i="36"/>
  <c r="I50" i="36"/>
  <c r="G50" i="36"/>
  <c r="I49" i="36"/>
  <c r="H49" i="36"/>
  <c r="G49" i="36"/>
  <c r="H22" i="15" l="1"/>
  <c r="H21" i="15" l="1"/>
  <c r="AG10" i="29" s="1"/>
  <c r="J21" i="23" l="1"/>
  <c r="J22" i="23"/>
  <c r="AG5" i="29" l="1"/>
  <c r="G36" i="36"/>
  <c r="I48" i="36"/>
  <c r="H48" i="36"/>
  <c r="G48" i="36"/>
  <c r="I47" i="36"/>
  <c r="H47" i="36"/>
  <c r="G47" i="36"/>
  <c r="I46" i="36"/>
  <c r="H46" i="36"/>
  <c r="G46" i="36"/>
  <c r="I45" i="36"/>
  <c r="H45" i="36"/>
  <c r="G45" i="36"/>
  <c r="AE7" i="29" l="1"/>
  <c r="AF7" i="29"/>
  <c r="AG7" i="29"/>
  <c r="I17" i="42"/>
  <c r="H17" i="42"/>
  <c r="AC11" i="29" l="1"/>
  <c r="AC10" i="29"/>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 i="17"/>
  <c r="J36" i="17"/>
  <c r="J37" i="17"/>
  <c r="J35" i="17"/>
  <c r="AC5" i="29"/>
  <c r="J19" i="23" l="1"/>
  <c r="J20" i="23" l="1"/>
  <c r="AD5" i="29" s="1"/>
  <c r="H19" i="15" l="1"/>
  <c r="H20" i="15"/>
  <c r="H13" i="30"/>
  <c r="AD11" i="29" s="1"/>
  <c r="AD10" i="29" l="1"/>
  <c r="G41" i="36"/>
  <c r="H41" i="36"/>
  <c r="I41" i="36"/>
  <c r="G42" i="36"/>
  <c r="H42" i="36"/>
  <c r="I42" i="36"/>
  <c r="G43" i="36"/>
  <c r="H43" i="36"/>
  <c r="I43" i="36"/>
  <c r="G44" i="36"/>
  <c r="H44" i="36"/>
  <c r="I44" i="36"/>
  <c r="AC7" i="29" l="1"/>
  <c r="AD7" i="29"/>
  <c r="AB7" i="29"/>
  <c r="G19" i="23"/>
  <c r="G20" i="23"/>
  <c r="AB5" i="29" l="1"/>
  <c r="Z11" i="29"/>
  <c r="AA10" i="29"/>
  <c r="Z10" i="29"/>
  <c r="AA5" i="29"/>
  <c r="Z5" i="29"/>
  <c r="H12" i="30" l="1"/>
  <c r="AA11" i="29" s="1"/>
  <c r="H38" i="36" l="1"/>
  <c r="I38" i="36"/>
  <c r="G38" i="36"/>
  <c r="I16" i="42" l="1"/>
  <c r="H16" i="42"/>
  <c r="G16" i="42"/>
  <c r="AD8" i="29" s="1"/>
  <c r="G18" i="23"/>
  <c r="I40" i="36"/>
  <c r="H40" i="36"/>
  <c r="G40" i="36"/>
  <c r="I39" i="36"/>
  <c r="H39" i="36"/>
  <c r="G39" i="36"/>
  <c r="I37" i="36"/>
  <c r="H37" i="36"/>
  <c r="G37" i="36"/>
  <c r="I36" i="36"/>
  <c r="H36" i="36"/>
  <c r="W11" i="29"/>
  <c r="H11" i="30"/>
  <c r="X11" i="29" s="1"/>
  <c r="X10" i="29"/>
  <c r="W10" i="29"/>
  <c r="I15" i="42"/>
  <c r="H15" i="42"/>
  <c r="G15" i="42"/>
  <c r="I14" i="42"/>
  <c r="H14" i="42"/>
  <c r="G14" i="42"/>
  <c r="I35" i="36"/>
  <c r="H35" i="36"/>
  <c r="G35" i="36"/>
  <c r="I34" i="36"/>
  <c r="H34" i="36"/>
  <c r="G34" i="36"/>
  <c r="I33" i="36"/>
  <c r="H33" i="36"/>
  <c r="G33" i="36"/>
  <c r="I32" i="36"/>
  <c r="H32" i="36"/>
  <c r="G32" i="36"/>
  <c r="X5" i="29"/>
  <c r="W5" i="29"/>
  <c r="AA8" i="29" l="1"/>
  <c r="Z8" i="29"/>
  <c r="AA7" i="29"/>
  <c r="V7" i="29"/>
  <c r="X7" i="29"/>
  <c r="W7" i="29"/>
  <c r="Z7" i="29"/>
  <c r="Y7" i="29"/>
  <c r="Y8" i="29"/>
  <c r="T11" i="29"/>
  <c r="U10" i="29"/>
  <c r="T10" i="29"/>
  <c r="T9" i="29"/>
  <c r="H14" i="16"/>
  <c r="U9" i="29" s="1"/>
  <c r="U5" i="29"/>
  <c r="T5" i="29"/>
  <c r="H10" i="30"/>
  <c r="U11" i="29" s="1"/>
  <c r="G13" i="23" l="1"/>
  <c r="J13" i="23"/>
  <c r="Q11" i="29"/>
  <c r="Q10" i="29"/>
  <c r="Q9" i="29"/>
  <c r="Q5" i="29"/>
  <c r="H9" i="30" l="1"/>
  <c r="R11" i="29" s="1"/>
  <c r="H11" i="15"/>
  <c r="H12" i="15"/>
  <c r="H12" i="16"/>
  <c r="H13" i="16"/>
  <c r="G23" i="17"/>
  <c r="G24" i="17"/>
  <c r="G25" i="17"/>
  <c r="J12" i="23"/>
  <c r="G12" i="23"/>
  <c r="J11" i="23"/>
  <c r="R5" i="29" l="1"/>
  <c r="R9" i="29"/>
  <c r="S9" i="29"/>
  <c r="R10" i="29"/>
  <c r="N11" i="29"/>
  <c r="N10" i="29"/>
  <c r="N9" i="29"/>
  <c r="K9" i="29"/>
  <c r="N5" i="29"/>
  <c r="I19" i="36" l="1"/>
  <c r="H19" i="36"/>
  <c r="H11" i="16"/>
  <c r="H10" i="16"/>
  <c r="O9" i="29" s="1"/>
  <c r="H8" i="30"/>
  <c r="O11" i="29" s="1"/>
  <c r="H10" i="15" l="1"/>
  <c r="H9" i="15"/>
  <c r="H16" i="36"/>
  <c r="I16" i="36"/>
  <c r="G16" i="36"/>
  <c r="O10" i="29" l="1"/>
  <c r="G19" i="36"/>
  <c r="J9" i="23" l="1"/>
  <c r="J10" i="23"/>
  <c r="I20" i="36"/>
  <c r="H20" i="36"/>
  <c r="G20" i="36"/>
  <c r="O5" i="29" l="1"/>
  <c r="J8" i="23"/>
  <c r="J7" i="23"/>
  <c r="L12" i="29" l="1"/>
  <c r="L12" i="24"/>
  <c r="I9" i="36" l="1"/>
  <c r="H9" i="36"/>
  <c r="G9" i="36"/>
  <c r="K11" i="29"/>
  <c r="K10" i="29"/>
  <c r="L5" i="29"/>
  <c r="K5" i="29"/>
  <c r="I12" i="17" l="1"/>
  <c r="H7" i="15"/>
  <c r="H8" i="15"/>
  <c r="H8" i="16"/>
  <c r="H9" i="16"/>
  <c r="H7" i="30"/>
  <c r="L11" i="29" s="1"/>
  <c r="L10" i="29" l="1"/>
  <c r="L9" i="29"/>
  <c r="K6" i="17"/>
  <c r="K7" i="17"/>
  <c r="K8" i="17"/>
  <c r="I6" i="17"/>
  <c r="I7" i="17"/>
  <c r="H6" i="17"/>
  <c r="H7" i="17"/>
  <c r="B1" i="43" l="1"/>
  <c r="B1" i="42"/>
  <c r="B1" i="36"/>
  <c r="B1" i="17"/>
  <c r="H3" i="17"/>
  <c r="D13" i="29"/>
  <c r="D8" i="29"/>
  <c r="D11" i="29"/>
  <c r="D12" i="29"/>
  <c r="D9" i="29"/>
  <c r="D6" i="29"/>
  <c r="D5" i="29"/>
  <c r="I13" i="29"/>
  <c r="H13" i="29"/>
  <c r="G13" i="29"/>
  <c r="K33" i="43"/>
  <c r="J33" i="43"/>
  <c r="I33" i="43"/>
  <c r="H33" i="43"/>
  <c r="G33" i="43"/>
  <c r="K32" i="43"/>
  <c r="J32" i="43"/>
  <c r="I32" i="43"/>
  <c r="H32" i="43"/>
  <c r="G32" i="43"/>
  <c r="K31" i="43"/>
  <c r="J31" i="43"/>
  <c r="I31" i="43"/>
  <c r="H31" i="43"/>
  <c r="G31" i="43"/>
  <c r="K30" i="43"/>
  <c r="J30" i="43"/>
  <c r="I30" i="43"/>
  <c r="H30" i="43"/>
  <c r="G30" i="43"/>
  <c r="K29" i="43"/>
  <c r="J29" i="43"/>
  <c r="I29" i="43"/>
  <c r="H29" i="43"/>
  <c r="G29" i="43"/>
  <c r="K28" i="43"/>
  <c r="J28" i="43"/>
  <c r="I28" i="43"/>
  <c r="H28" i="43"/>
  <c r="G28" i="43"/>
  <c r="K27" i="43"/>
  <c r="J27" i="43"/>
  <c r="I27" i="43"/>
  <c r="H27" i="43"/>
  <c r="G27" i="43"/>
  <c r="K26" i="43"/>
  <c r="J26" i="43"/>
  <c r="I26" i="43"/>
  <c r="H26" i="43"/>
  <c r="G26" i="43"/>
  <c r="K25" i="43"/>
  <c r="J25" i="43"/>
  <c r="I25" i="43"/>
  <c r="H25" i="43"/>
  <c r="G25" i="43"/>
  <c r="K24" i="43"/>
  <c r="J24" i="43"/>
  <c r="I24" i="43"/>
  <c r="H24" i="43"/>
  <c r="G24" i="43"/>
  <c r="K23" i="43"/>
  <c r="J23" i="43"/>
  <c r="I23" i="43"/>
  <c r="H23" i="43"/>
  <c r="G23" i="43"/>
  <c r="K22" i="43"/>
  <c r="J22" i="43"/>
  <c r="I22" i="43"/>
  <c r="H22" i="43"/>
  <c r="G22" i="43"/>
  <c r="K21" i="43"/>
  <c r="J21" i="43"/>
  <c r="I21" i="43"/>
  <c r="H21" i="43"/>
  <c r="G21" i="43"/>
  <c r="K20" i="43"/>
  <c r="J20" i="43"/>
  <c r="I20" i="43"/>
  <c r="H20" i="43"/>
  <c r="G20" i="43"/>
  <c r="K19" i="43"/>
  <c r="J19" i="43"/>
  <c r="I19" i="43"/>
  <c r="H19" i="43"/>
  <c r="G19" i="43"/>
  <c r="K18" i="43"/>
  <c r="J18" i="43"/>
  <c r="I18" i="43"/>
  <c r="H18" i="43"/>
  <c r="G18" i="43"/>
  <c r="K17" i="43"/>
  <c r="J17" i="43"/>
  <c r="I17" i="43"/>
  <c r="H17" i="43"/>
  <c r="G17" i="43"/>
  <c r="K16" i="43"/>
  <c r="J16" i="43"/>
  <c r="I16" i="43"/>
  <c r="H16" i="43"/>
  <c r="G16" i="43"/>
  <c r="K15" i="43"/>
  <c r="J15" i="43"/>
  <c r="I15" i="43"/>
  <c r="H15" i="43"/>
  <c r="G15" i="43"/>
  <c r="K14" i="43"/>
  <c r="J14" i="43"/>
  <c r="I14" i="43"/>
  <c r="H14" i="43"/>
  <c r="G14" i="43"/>
  <c r="K13" i="43"/>
  <c r="J13" i="43"/>
  <c r="I13" i="43"/>
  <c r="H13" i="43"/>
  <c r="G13" i="43"/>
  <c r="K12" i="43"/>
  <c r="J12" i="43"/>
  <c r="I12" i="43"/>
  <c r="H12" i="43"/>
  <c r="G12" i="43"/>
  <c r="K11" i="43"/>
  <c r="J11" i="43"/>
  <c r="I11" i="43"/>
  <c r="H11" i="43"/>
  <c r="G11" i="43"/>
  <c r="K10" i="43"/>
  <c r="J10" i="43"/>
  <c r="I10" i="43"/>
  <c r="H10" i="43"/>
  <c r="G10" i="43"/>
  <c r="K9" i="43"/>
  <c r="J9" i="43"/>
  <c r="I9" i="43"/>
  <c r="H9" i="43"/>
  <c r="G9" i="43"/>
  <c r="K8" i="43"/>
  <c r="J8" i="43"/>
  <c r="I8" i="43"/>
  <c r="H8" i="43"/>
  <c r="G8" i="43"/>
  <c r="K7" i="43"/>
  <c r="J7" i="43"/>
  <c r="I7" i="43"/>
  <c r="H7" i="43"/>
  <c r="G7" i="43"/>
  <c r="K6" i="43"/>
  <c r="J6" i="43"/>
  <c r="I6" i="43"/>
  <c r="H6" i="43"/>
  <c r="G6" i="43"/>
  <c r="K5" i="43"/>
  <c r="J5" i="43"/>
  <c r="I5" i="43"/>
  <c r="H5" i="43"/>
  <c r="G5" i="43"/>
  <c r="K4" i="43"/>
  <c r="J4" i="43"/>
  <c r="I4" i="43"/>
  <c r="N13" i="29" s="1"/>
  <c r="H4" i="43"/>
  <c r="O13" i="29" s="1"/>
  <c r="G4" i="43"/>
  <c r="M13" i="29" s="1"/>
  <c r="K3" i="43"/>
  <c r="J3" i="43"/>
  <c r="I3" i="43"/>
  <c r="K13" i="29" s="1"/>
  <c r="H3" i="43"/>
  <c r="G3" i="43"/>
  <c r="J13" i="29" s="1"/>
  <c r="H4" i="42"/>
  <c r="G4" i="42"/>
  <c r="L13" i="29" l="1"/>
  <c r="D2" i="29"/>
  <c r="F13" i="29"/>
  <c r="G7" i="17"/>
  <c r="H12" i="29" l="1"/>
  <c r="I12" i="29"/>
  <c r="H11" i="29"/>
  <c r="F11" i="29" s="1"/>
  <c r="H5" i="30"/>
  <c r="H6" i="30"/>
  <c r="H10" i="29"/>
  <c r="F10" i="29" s="1"/>
  <c r="H6" i="15"/>
  <c r="H5" i="15"/>
  <c r="H9" i="29"/>
  <c r="F9" i="29" s="1"/>
  <c r="H6" i="16"/>
  <c r="H7" i="16"/>
  <c r="H5" i="16"/>
  <c r="J6" i="23"/>
  <c r="J5" i="23"/>
  <c r="H5" i="29"/>
  <c r="F5" i="29" s="1"/>
  <c r="I5" i="29" l="1"/>
  <c r="I11" i="29"/>
  <c r="I9" i="29"/>
  <c r="I10" i="29"/>
  <c r="G6" i="17"/>
  <c r="G22" i="23" l="1"/>
  <c r="G21" i="23"/>
  <c r="AE5" i="29" s="1"/>
  <c r="G17" i="23"/>
  <c r="Y5" i="29" s="1"/>
  <c r="G16" i="23"/>
  <c r="V5" i="29" s="1"/>
  <c r="G15" i="23"/>
  <c r="G14" i="23"/>
  <c r="S5" i="29" s="1"/>
  <c r="G11" i="23"/>
  <c r="P5" i="29" s="1"/>
  <c r="G10" i="23"/>
  <c r="G9" i="23"/>
  <c r="G8" i="23"/>
  <c r="G7" i="23"/>
  <c r="G6" i="23"/>
  <c r="G5" i="23"/>
  <c r="G13" i="42"/>
  <c r="V8" i="29" s="1"/>
  <c r="H13" i="42"/>
  <c r="X8" i="29" s="1"/>
  <c r="I13" i="42"/>
  <c r="W8" i="29" s="1"/>
  <c r="G14" i="16"/>
  <c r="G13" i="16"/>
  <c r="G12" i="16"/>
  <c r="G11" i="16"/>
  <c r="G10" i="16"/>
  <c r="G9" i="16"/>
  <c r="G8" i="16"/>
  <c r="G7" i="16"/>
  <c r="G6" i="16"/>
  <c r="G5" i="16"/>
  <c r="G28" i="15"/>
  <c r="G27" i="15"/>
  <c r="G26" i="15"/>
  <c r="G25" i="15"/>
  <c r="G24" i="15"/>
  <c r="G23" i="15"/>
  <c r="G22" i="15"/>
  <c r="G21" i="15"/>
  <c r="AE10" i="29" s="1"/>
  <c r="G20" i="15"/>
  <c r="G19" i="15"/>
  <c r="G18" i="15"/>
  <c r="G17" i="15"/>
  <c r="G16" i="15"/>
  <c r="G15" i="15"/>
  <c r="G14" i="15"/>
  <c r="G13" i="15"/>
  <c r="S10" i="29" s="1"/>
  <c r="G12" i="15"/>
  <c r="G11" i="15"/>
  <c r="G10" i="15"/>
  <c r="G9" i="15"/>
  <c r="G8" i="15"/>
  <c r="G7" i="15"/>
  <c r="G6" i="15"/>
  <c r="G5" i="15"/>
  <c r="G28" i="24"/>
  <c r="G27" i="24"/>
  <c r="G26" i="24"/>
  <c r="G25" i="24"/>
  <c r="G24" i="24"/>
  <c r="G23" i="24"/>
  <c r="G22" i="24"/>
  <c r="G21" i="24"/>
  <c r="G20" i="24"/>
  <c r="G19" i="24"/>
  <c r="G18" i="24"/>
  <c r="G17" i="24"/>
  <c r="G16" i="24"/>
  <c r="G15" i="24"/>
  <c r="G14" i="24"/>
  <c r="G13" i="24"/>
  <c r="G12" i="24"/>
  <c r="G11" i="24"/>
  <c r="G10" i="24"/>
  <c r="G9" i="24"/>
  <c r="G8" i="24"/>
  <c r="G7" i="24"/>
  <c r="G6" i="24"/>
  <c r="G5" i="24"/>
  <c r="G17" i="30"/>
  <c r="G16" i="30"/>
  <c r="G15" i="30"/>
  <c r="G14" i="30"/>
  <c r="G13" i="30"/>
  <c r="AB11" i="29" s="1"/>
  <c r="G12" i="30"/>
  <c r="Y11" i="29" s="1"/>
  <c r="G11" i="30"/>
  <c r="V11" i="29" s="1"/>
  <c r="G10" i="30"/>
  <c r="S11" i="29" s="1"/>
  <c r="G9" i="30"/>
  <c r="P11" i="29" s="1"/>
  <c r="G8" i="30"/>
  <c r="M11" i="29" s="1"/>
  <c r="G7" i="30"/>
  <c r="J11" i="29" s="1"/>
  <c r="G6" i="30"/>
  <c r="G5" i="30"/>
  <c r="G12" i="42"/>
  <c r="S8" i="29" s="1"/>
  <c r="G11" i="42"/>
  <c r="G10" i="42"/>
  <c r="P8" i="29" s="1"/>
  <c r="G9" i="42"/>
  <c r="G8" i="42"/>
  <c r="G7" i="42"/>
  <c r="G6" i="42"/>
  <c r="G5" i="42"/>
  <c r="G3" i="42"/>
  <c r="I12" i="42"/>
  <c r="H12" i="42"/>
  <c r="I11" i="42"/>
  <c r="H11" i="42"/>
  <c r="I10" i="42"/>
  <c r="Q8" i="29" s="1"/>
  <c r="H10" i="42"/>
  <c r="R8" i="29" s="1"/>
  <c r="I9" i="42"/>
  <c r="H9" i="42"/>
  <c r="I8" i="42"/>
  <c r="H8" i="42"/>
  <c r="I7" i="42"/>
  <c r="H7" i="42"/>
  <c r="I6" i="42"/>
  <c r="H6" i="42"/>
  <c r="V10" i="29" l="1"/>
  <c r="M10" i="29"/>
  <c r="Y10" i="29"/>
  <c r="AB10" i="29"/>
  <c r="K8" i="29"/>
  <c r="M9" i="29"/>
  <c r="M8" i="29"/>
  <c r="L8" i="29"/>
  <c r="AB8" i="29"/>
  <c r="J8" i="29"/>
  <c r="P10" i="29"/>
  <c r="P9" i="29"/>
  <c r="O8" i="29"/>
  <c r="N8" i="29"/>
  <c r="M5" i="29"/>
  <c r="O12" i="29"/>
  <c r="U8" i="29"/>
  <c r="N12" i="29"/>
  <c r="F12" i="29" s="1"/>
  <c r="T8" i="29"/>
  <c r="M12" i="29"/>
  <c r="J12" i="29"/>
  <c r="N14" i="29"/>
  <c r="F14" i="29" s="1"/>
  <c r="O14" i="29"/>
  <c r="M14" i="29"/>
  <c r="J9" i="29"/>
  <c r="J5" i="29"/>
  <c r="J10" i="29"/>
  <c r="G12" i="29"/>
  <c r="G5" i="29"/>
  <c r="G8" i="29"/>
  <c r="G10" i="29"/>
  <c r="G11" i="29"/>
  <c r="G9" i="29"/>
  <c r="I31" i="36"/>
  <c r="H31" i="36"/>
  <c r="G31" i="36"/>
  <c r="I30" i="36"/>
  <c r="H30" i="36"/>
  <c r="G30" i="36"/>
  <c r="I29" i="36"/>
  <c r="H29" i="36"/>
  <c r="G29" i="36"/>
  <c r="I28" i="36"/>
  <c r="H28" i="36"/>
  <c r="G28" i="36"/>
  <c r="I27" i="36"/>
  <c r="H27" i="36"/>
  <c r="G27" i="36"/>
  <c r="I26" i="36"/>
  <c r="H26" i="36"/>
  <c r="G26" i="36"/>
  <c r="I25" i="36"/>
  <c r="H25" i="36"/>
  <c r="G25" i="36"/>
  <c r="I24" i="36"/>
  <c r="H24" i="36"/>
  <c r="G24" i="36"/>
  <c r="I23" i="36"/>
  <c r="H23" i="36"/>
  <c r="G23" i="36"/>
  <c r="I22" i="36"/>
  <c r="H22" i="36"/>
  <c r="G22" i="36"/>
  <c r="I21" i="36"/>
  <c r="H21" i="36"/>
  <c r="G21" i="36"/>
  <c r="I18" i="36"/>
  <c r="H18" i="36"/>
  <c r="G18" i="36"/>
  <c r="I17" i="36"/>
  <c r="H17" i="36"/>
  <c r="G17" i="36"/>
  <c r="I15" i="36"/>
  <c r="H15" i="36"/>
  <c r="G15" i="36"/>
  <c r="I14" i="36"/>
  <c r="H14" i="36"/>
  <c r="G14" i="36"/>
  <c r="I13" i="36"/>
  <c r="H13" i="36"/>
  <c r="G13" i="36"/>
  <c r="I12" i="36"/>
  <c r="H12" i="36"/>
  <c r="G12" i="36"/>
  <c r="I11" i="36"/>
  <c r="H11" i="36"/>
  <c r="G11" i="36"/>
  <c r="I10" i="36"/>
  <c r="H10" i="36"/>
  <c r="G10" i="36"/>
  <c r="I8" i="36"/>
  <c r="H8" i="36"/>
  <c r="G8" i="36"/>
  <c r="K17" i="17"/>
  <c r="I17" i="17"/>
  <c r="H17" i="17"/>
  <c r="G17" i="17"/>
  <c r="K16" i="17"/>
  <c r="I16" i="17"/>
  <c r="H16" i="17"/>
  <c r="G16" i="17"/>
  <c r="K15" i="17"/>
  <c r="I15" i="17"/>
  <c r="H15" i="17"/>
  <c r="G15" i="17"/>
  <c r="K14" i="17"/>
  <c r="I14" i="17"/>
  <c r="H14" i="17"/>
  <c r="G14" i="17"/>
  <c r="K13" i="17"/>
  <c r="I13" i="17"/>
  <c r="H13" i="17"/>
  <c r="G13" i="17"/>
  <c r="K12" i="17"/>
  <c r="H12" i="17"/>
  <c r="G12" i="17"/>
  <c r="K11" i="17"/>
  <c r="I11" i="17"/>
  <c r="H11" i="17"/>
  <c r="G11" i="17"/>
  <c r="P7" i="29" l="1"/>
  <c r="U7" i="29"/>
  <c r="T7" i="29"/>
  <c r="S7" i="29"/>
  <c r="Q7" i="29"/>
  <c r="R7" i="29"/>
  <c r="M7" i="29"/>
  <c r="O7" i="29"/>
  <c r="N7" i="29"/>
  <c r="K7" i="29"/>
  <c r="L7" i="29"/>
  <c r="J6" i="29"/>
  <c r="J7" i="29"/>
  <c r="K6" i="29"/>
  <c r="L6" i="29"/>
  <c r="H5" i="42"/>
  <c r="I5" i="42"/>
  <c r="I3" i="42" l="1"/>
  <c r="H8" i="29" s="1"/>
  <c r="F8" i="29" s="1"/>
  <c r="H3" i="42"/>
  <c r="I8" i="29" s="1"/>
  <c r="G5" i="41" l="1"/>
  <c r="AP15" i="29" l="1"/>
  <c r="AN15" i="29"/>
  <c r="AK15" i="29" l="1"/>
  <c r="AM15" i="29"/>
  <c r="AO15" i="29"/>
  <c r="AL15" i="29" l="1"/>
  <c r="I7" i="36" l="1"/>
  <c r="H7" i="36"/>
  <c r="G7" i="36"/>
  <c r="AH15" i="29" l="1"/>
  <c r="G4" i="41"/>
  <c r="G6" i="41"/>
  <c r="H6" i="41"/>
  <c r="J6" i="41"/>
  <c r="K6" i="41"/>
  <c r="G7" i="41"/>
  <c r="H7" i="41"/>
  <c r="J7" i="41"/>
  <c r="K7" i="41"/>
  <c r="K4" i="41"/>
  <c r="J4" i="41"/>
  <c r="H4" i="41"/>
  <c r="K3" i="41"/>
  <c r="H3" i="41"/>
  <c r="G3" i="41"/>
  <c r="AJ15" i="29" l="1"/>
  <c r="I7" i="41"/>
  <c r="I6" i="41"/>
  <c r="J3" i="41"/>
  <c r="I3" i="41" s="1"/>
  <c r="I4" i="41"/>
  <c r="G6" i="36"/>
  <c r="H5" i="36"/>
  <c r="I5" i="36"/>
  <c r="H6" i="36"/>
  <c r="I6" i="36"/>
  <c r="G5" i="36"/>
  <c r="I4" i="36"/>
  <c r="H4" i="36"/>
  <c r="G4" i="36"/>
  <c r="AI15" i="29" l="1"/>
  <c r="C2" i="29"/>
  <c r="I3" i="36"/>
  <c r="H7" i="29" s="1"/>
  <c r="F7" i="29" s="1"/>
  <c r="H3" i="36"/>
  <c r="I7" i="29" s="1"/>
  <c r="G3" i="36"/>
  <c r="G7" i="29" s="1"/>
  <c r="G47" i="17" l="1"/>
  <c r="H47" i="17"/>
  <c r="I47" i="17"/>
  <c r="J47" i="17"/>
  <c r="K47" i="17"/>
  <c r="J46" i="17" l="1"/>
  <c r="J45" i="17"/>
  <c r="J44" i="17"/>
  <c r="J43" i="17"/>
  <c r="J42" i="17"/>
  <c r="J41" i="17"/>
  <c r="J40" i="17"/>
  <c r="J39" i="17"/>
  <c r="J38" i="17"/>
  <c r="K46" i="17" l="1"/>
  <c r="K45" i="17"/>
  <c r="K44" i="17"/>
  <c r="K43" i="17"/>
  <c r="K42" i="17"/>
  <c r="K41" i="17"/>
  <c r="K40" i="17"/>
  <c r="K39" i="17"/>
  <c r="K38" i="17"/>
  <c r="K37" i="17"/>
  <c r="K36" i="17"/>
  <c r="K35" i="17"/>
  <c r="K34" i="17"/>
  <c r="K33" i="17"/>
  <c r="K32" i="17"/>
  <c r="K31" i="17"/>
  <c r="K30" i="17"/>
  <c r="K29" i="17"/>
  <c r="K28" i="17"/>
  <c r="K26" i="17"/>
  <c r="K25" i="17"/>
  <c r="K24" i="17"/>
  <c r="K23" i="17"/>
  <c r="K22" i="17"/>
  <c r="K21" i="17"/>
  <c r="K20" i="17"/>
  <c r="K19" i="17"/>
  <c r="K10" i="17"/>
  <c r="K9" i="17"/>
  <c r="K5" i="17"/>
  <c r="K4" i="17"/>
  <c r="K3" i="17"/>
  <c r="G41" i="17"/>
  <c r="G42" i="17"/>
  <c r="G43" i="17"/>
  <c r="G44" i="17"/>
  <c r="G45" i="17"/>
  <c r="G46" i="17"/>
  <c r="I44" i="17"/>
  <c r="I42" i="17"/>
  <c r="I41" i="17"/>
  <c r="I43" i="17"/>
  <c r="I45" i="17"/>
  <c r="I46" i="17"/>
  <c r="H44" i="17"/>
  <c r="H42" i="17"/>
  <c r="H41" i="17"/>
  <c r="H43" i="17"/>
  <c r="H45" i="17"/>
  <c r="I3" i="17"/>
  <c r="I4" i="17"/>
  <c r="I5" i="17"/>
  <c r="I8" i="17"/>
  <c r="I9" i="17"/>
  <c r="I10" i="17"/>
  <c r="I18" i="17"/>
  <c r="I19" i="17"/>
  <c r="I20" i="17"/>
  <c r="I21" i="17"/>
  <c r="I22" i="17"/>
  <c r="I23" i="17"/>
  <c r="I24" i="17"/>
  <c r="I25" i="17"/>
  <c r="I26" i="17"/>
  <c r="I27" i="17"/>
  <c r="I28" i="17"/>
  <c r="I29" i="17"/>
  <c r="I30" i="17"/>
  <c r="I31" i="17"/>
  <c r="I32" i="17"/>
  <c r="I33" i="17"/>
  <c r="I34" i="17"/>
  <c r="I35" i="17"/>
  <c r="I36" i="17"/>
  <c r="I37" i="17"/>
  <c r="I38" i="17"/>
  <c r="I39" i="17"/>
  <c r="I40" i="17"/>
  <c r="H22" i="17"/>
  <c r="H23" i="17"/>
  <c r="H24" i="17"/>
  <c r="H25" i="17"/>
  <c r="H26" i="17"/>
  <c r="H28" i="17"/>
  <c r="H29" i="17"/>
  <c r="H30" i="17"/>
  <c r="H31" i="17"/>
  <c r="H32" i="17"/>
  <c r="H33" i="17"/>
  <c r="H34" i="17"/>
  <c r="H35" i="17"/>
  <c r="H36" i="17"/>
  <c r="H37" i="17"/>
  <c r="H38" i="17"/>
  <c r="H39" i="17"/>
  <c r="H40" i="17"/>
  <c r="G33" i="17"/>
  <c r="G34" i="17"/>
  <c r="G35" i="17"/>
  <c r="G36" i="17"/>
  <c r="G37" i="17"/>
  <c r="G38" i="17"/>
  <c r="G39" i="17"/>
  <c r="G40" i="17"/>
  <c r="G22" i="17"/>
  <c r="P6" i="29" s="1"/>
  <c r="G26" i="17"/>
  <c r="G27" i="17"/>
  <c r="G28" i="17"/>
  <c r="G29" i="17"/>
  <c r="G30" i="17"/>
  <c r="G31" i="17"/>
  <c r="G32" i="17"/>
  <c r="H4" i="17"/>
  <c r="H5" i="17"/>
  <c r="H8" i="17"/>
  <c r="H9" i="17"/>
  <c r="H10" i="17"/>
  <c r="H19" i="17"/>
  <c r="H20" i="17"/>
  <c r="H21" i="17"/>
  <c r="G3" i="17"/>
  <c r="G4" i="17"/>
  <c r="G5" i="17"/>
  <c r="G8" i="17"/>
  <c r="G9" i="17"/>
  <c r="G10" i="17"/>
  <c r="G18" i="17"/>
  <c r="G19" i="17"/>
  <c r="G20" i="17"/>
  <c r="G21" i="17"/>
  <c r="Y6" i="29" l="1"/>
  <c r="Y15" i="29" s="1"/>
  <c r="Q6" i="29"/>
  <c r="AE6" i="29"/>
  <c r="AE15" i="29" s="1"/>
  <c r="AG6" i="29"/>
  <c r="AG15" i="29" s="1"/>
  <c r="AF6" i="29"/>
  <c r="AF15" i="29" s="1"/>
  <c r="R6" i="29"/>
  <c r="AB6" i="29"/>
  <c r="AB15" i="29" s="1"/>
  <c r="AD6" i="29"/>
  <c r="AD15" i="29" s="1"/>
  <c r="AA6" i="29"/>
  <c r="AA15" i="29" s="1"/>
  <c r="AC6" i="29"/>
  <c r="AC15" i="29" s="1"/>
  <c r="Z6" i="29"/>
  <c r="Z15" i="29" s="1"/>
  <c r="V6" i="29"/>
  <c r="V15" i="29" s="1"/>
  <c r="X6" i="29"/>
  <c r="X15" i="29" s="1"/>
  <c r="W6" i="29"/>
  <c r="W15" i="29" s="1"/>
  <c r="S6" i="29"/>
  <c r="S15" i="29" s="1"/>
  <c r="T6" i="29"/>
  <c r="T15" i="29" s="1"/>
  <c r="M6" i="29"/>
  <c r="N6" i="29"/>
  <c r="G6" i="29"/>
  <c r="I6" i="29"/>
  <c r="H6" i="29"/>
  <c r="H27" i="17"/>
  <c r="U6" i="29" s="1"/>
  <c r="U15" i="29" s="1"/>
  <c r="K18" i="17"/>
  <c r="K27" i="17"/>
  <c r="H18" i="17"/>
  <c r="O6" i="29" s="1"/>
  <c r="H46" i="17"/>
  <c r="F6" i="29" l="1"/>
  <c r="G15" i="29"/>
  <c r="Q15" i="29"/>
  <c r="N15" i="29"/>
  <c r="O15" i="29"/>
  <c r="J15" i="29"/>
  <c r="M15" i="29"/>
  <c r="K15" i="29"/>
  <c r="R15" i="29"/>
  <c r="L15" i="29"/>
  <c r="P15" i="29"/>
  <c r="I15" i="29"/>
  <c r="H15" i="29"/>
  <c r="G16" i="29" l="1"/>
  <c r="G17" i="29"/>
  <c r="F15" i="29"/>
  <c r="K133" i="3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Administrativo2</author>
    <author>tc={9AB7EB86-3E90-454F-B5D0-D6FDA9B05D4E}</author>
    <author>tc={927D02BB-2430-4387-BCF4-9CD552E700C8}</author>
    <author>Recepção</author>
    <author>tc={C337C4E7-57C4-40A8-9794-BF6EA6001F3C}</author>
    <author>tc={22826C5B-0DA8-46BB-BDE5-1D4041B940EE}</author>
    <author>tc={579BFBAE-A82F-4FF8-859C-C4B52D2592E7}</author>
    <author>tc={8712EFC3-5516-4459-99E5-5C183CF71FE9}</author>
    <author>tc={2055C634-62B3-404B-93F3-68F4464F8F84}</author>
    <author>tc={D7D8E9E9-53BA-49A1-9AA7-ADE9637DBBCA}</author>
    <author>tc={79E80C58-570B-4F18-BA27-99825DE5B8B8}</author>
    <author>tc={8C382A98-4691-4CDB-BF21-855C15FBB8C3}</author>
    <author>tc={7A3F3671-2132-44FC-89D9-E62A113FBFDB}</author>
    <author>tc={8ACFE0BF-AE70-4120-B4D7-70FF38F11913}</author>
    <author>tc={A7BEFBDD-15CD-464C-8A72-510B3FE5D11C}</author>
    <author>tc={0A3E6725-CA66-4D77-A50C-C2B9C3E8A85E}</author>
    <author>tc={9150E1A0-87FD-43A6-B756-6B2E95881829}</author>
    <author>tc={93B6D9CF-B20D-4F1B-A981-1FB152394636}</author>
    <author>tc={8FFC8AFF-0C8F-42A0-92C7-55F489C97383}</author>
    <author>tc={B2613222-3371-4F76-8C4F-DF455A3E5A56}</author>
    <author>tc={8DEBE6C9-F9FE-4189-9826-3CDEF63F2997}</author>
    <author>tc={96F750E3-D7CA-42B2-814B-D8F6DDCDEC59}</author>
    <author>tc={675A42A8-3B9A-4413-8768-DCEF48D582A7}</author>
    <author>tc={9CE3CAC4-58A0-4D5C-BB56-3A331E35B080}</author>
    <author>tc={55BC2B51-0447-448E-A714-7AC27498D969}</author>
    <author>tc={574F4D13-5342-4D85-BBFF-2CE9CB084029}</author>
    <author>tc={56D413C7-7AFC-4564-93E2-759BF5AF3B1E}</author>
    <author>tc={FEDC5CC1-2ED7-4F1C-AB70-98F0B5DD2145}</author>
    <author>tc={B958D95B-C6B8-4B3C-B07F-40F36D96836F}</author>
    <author>tc={B3B3946A-A3B3-4B2D-A18A-40170BC0356A}</author>
    <author>tc={55092A39-01BE-4FE7-AC09-FA83D5B5BA05}</author>
    <author>tc={81B0571D-3572-47E9-999B-9A066E80A351}</author>
    <author>tc={E5FDD8C5-7AA3-4714-8F00-8B78D19AB857}</author>
    <author>tc={89C56715-3BDD-422C-8C24-7F5BA3D8BBF9}</author>
    <author>tc={076770A8-344D-490A-BDB3-F7CAA6BF950C}</author>
    <author>tc={98E6EDE6-D437-452F-A40D-8274FAFD3980}</author>
    <author>tc={7C36F89E-568D-48D2-8525-964B015E63F1}</author>
    <author>tc={7FF6A931-4F24-44A7-A4E3-D97C44A35A9B}</author>
    <author>tc={46193DD8-50D2-4640-AF15-1854AAD7FB5E}</author>
    <author>tc={C8765792-8908-4AA0-A5EE-1649D061CDB2}</author>
    <author>tc={50C1FEAB-AF53-4168-ACA0-BCF27F98AC33}</author>
    <author>tc={124C10E6-B8DB-42EA-93E7-4C115D5EB713}</author>
    <author>tc={7A104DF7-195A-426A-91F9-6D4214CAF8C9}</author>
    <author>tc={590FB05C-9EB5-41C2-8076-F35C6B701004}</author>
    <author>tc={DD7EE425-2CE8-427D-A125-560EC5F9BE48}</author>
    <author>tc={F79B387B-A36C-493A-BC1F-4FBD4B533F1E}</author>
    <author>tc={4CA3B387-5040-4260-BB50-2ECA44FF4207}</author>
    <author>tc={5F53D230-E5C7-43C2-B987-4A185A8C4FB8}</author>
    <author>tc={F54D3303-B396-46A4-B47F-DF70980DBF28}</author>
    <author>tc={8EE7DE61-BE71-4FD1-99D6-9C4F08FF31D6}</author>
    <author>tc={39EEF479-6431-4880-AE87-3610A54B9AE8}</author>
    <author>tc={0ED78D23-07A5-4090-BF41-A1CFA883730E}</author>
    <author>tc={D3BA6C45-E1F8-4F48-A76F-38F17A41B378}</author>
    <author>tc={85C329A4-DDB1-4318-9C9F-F6B25A832AE3}</author>
    <author>tc={265E30D1-FA64-40D6-A2FE-36EC8E2B4F1C}</author>
    <author>tc={51911419-1D48-4357-B095-46200205BA1B}</author>
    <author>tc={896C2B40-530A-468F-B09A-925326A4F2F1}</author>
    <author>tc={99816EBE-7492-4D50-A1CB-A37A84217B48}</author>
    <author>tc={CE312DA4-17EB-430D-A9D3-FD5FD77EDE71}</author>
    <author>tc={28C0BAC5-3A0B-4876-9A6F-5F4E9119E46E}</author>
    <author>tc={68645099-3E6D-41BC-AA80-9DC95C316F77}</author>
    <author>tc={097A9749-D442-46B3-8CA8-400A580978B4}</author>
    <author>tc={1F23B199-0BCB-46C3-837E-CE76AF258278}</author>
    <author>tc={25E46B60-C967-4B17-BA15-83A304DFD68F}</author>
    <author>tc={4DBAFC71-2EAE-4E7E-96CD-BF1B831DCE95}</author>
    <author>tc={CBA38FD3-AB19-49A0-8FA5-68F6002B8F1B}</author>
    <author>tc={38D8914D-D0CB-4120-85FA-3C235A515D17}</author>
    <author>tc={F35CCE4A-8BC5-4194-8E82-4EFA2C3A6786}</author>
    <author>tc={7926DE9F-7571-44F2-96D2-E66026FF6870}</author>
    <author>tc={4A88859E-90E2-42E9-A2E3-7392F0324C48}</author>
    <author>tc={D3120A53-6EC8-4C30-8E27-15FCB6E92935}</author>
    <author>tc={66122591-41EE-476B-91D5-09766553E026}</author>
    <author>tc={2FF5AC1A-EC47-4E68-8D47-3A0DCCC3D6B5}</author>
  </authors>
  <commentList>
    <comment ref="T5" authorId="0" shapeId="0" xr:uid="{00000000-0006-0000-0100-000001000000}">
      <text>
        <r>
          <rPr>
            <b/>
            <sz val="9"/>
            <color indexed="81"/>
            <rFont val="Segoe UI"/>
            <family val="2"/>
          </rPr>
          <t>Administrativo2:</t>
        </r>
        <r>
          <rPr>
            <sz val="9"/>
            <color indexed="81"/>
            <rFont val="Segoe UI"/>
            <family val="2"/>
          </rPr>
          <t xml:space="preserve">
Carro repassado do Rainor para Pedro dia 16/08/2023</t>
        </r>
      </text>
    </comment>
    <comment ref="F6" authorId="0" shapeId="0" xr:uid="{B1E6DCBE-EAF7-479C-8E7F-D7D706AF8687}">
      <text>
        <r>
          <rPr>
            <b/>
            <sz val="9"/>
            <color indexed="81"/>
            <rFont val="Segoe UI"/>
            <family val="2"/>
          </rPr>
          <t>Troca de Condutor:</t>
        </r>
        <r>
          <rPr>
            <sz val="9"/>
            <color indexed="81"/>
            <rFont val="Segoe UI"/>
            <family val="2"/>
          </rPr>
          <t xml:space="preserve">
de 26/02/2025 a 11/06/2025 a S10 TDP1E16 era de Eider Breno e no dia 11/06/2025 foi transferido para Alain, decisão tomada em conjunto entre Alain, Breno e Alverson porque identificaram que o Alain precisa muito da caminhonete pra andar na Rede de Média Tensão  RMT que são atividades de postes.</t>
        </r>
      </text>
    </comment>
    <comment ref="J6" authorId="0" shapeId="0" xr:uid="{4E93DFE5-44FE-4940-A82D-625DF3EDF6A5}">
      <text>
        <r>
          <rPr>
            <b/>
            <sz val="9"/>
            <color indexed="81"/>
            <rFont val="Segoe UI"/>
            <family val="2"/>
          </rPr>
          <t>26/02/2025</t>
        </r>
        <r>
          <rPr>
            <sz val="9"/>
            <color indexed="81"/>
            <rFont val="Segoe UI"/>
            <family val="2"/>
          </rPr>
          <t xml:space="preserve">
</t>
        </r>
      </text>
    </comment>
    <comment ref="M6" authorId="1" shapeId="0" xr:uid="{9AB7EB86-3E90-454F-B5D0-D6FDA9B05D4E}">
      <text>
        <t>[Comentário encadeado]
Sua versão do Excel permite que você leia este comentário encadeado, no entanto, as edições serão removidas se o arquivo for aberto em uma versão mais recente do Excel. Saiba mais: https://go.microsoft.com/fwlink/?linkid=870924
Comentário:
    1º teste de fumaça preta 27/02/2025</t>
      </text>
    </comment>
    <comment ref="Q7" authorId="2" shapeId="0" xr:uid="{927D02BB-2430-4387-BCF4-9CD552E700C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TEL5D67 guinchado na sexta 06/03/26 por motivo de perda da placa e táxi agendado para o mesmo dia a tarde, Alire chegou no táxi até a loja do aeroporto de Pertrolina PE no sábado 07/03/26 de manhã para retirada do novo veículo.
</t>
      </text>
    </comment>
    <comment ref="AA8" authorId="0" shapeId="0" xr:uid="{00000000-0006-0000-0100-000003000000}">
      <text>
        <r>
          <rPr>
            <b/>
            <sz val="9"/>
            <color indexed="81"/>
            <rFont val="Segoe UI"/>
            <family val="2"/>
          </rPr>
          <t>Administrativo2:</t>
        </r>
        <r>
          <rPr>
            <sz val="9"/>
            <color indexed="81"/>
            <rFont val="Segoe UI"/>
            <family val="2"/>
          </rPr>
          <t xml:space="preserve">
Veiculo entregue na desmobilização de caio
</t>
        </r>
      </text>
    </comment>
    <comment ref="V10" authorId="0" shapeId="0" xr:uid="{00000000-0006-0000-0100-000004000000}">
      <text>
        <r>
          <rPr>
            <b/>
            <sz val="9"/>
            <color indexed="81"/>
            <rFont val="Segoe UI"/>
            <family val="2"/>
          </rPr>
          <t>Administrativo2:</t>
        </r>
        <r>
          <rPr>
            <sz val="9"/>
            <color indexed="81"/>
            <rFont val="Segoe UI"/>
            <family val="2"/>
          </rPr>
          <t xml:space="preserve">
Veiculo guinchado dia 22/07/2023</t>
        </r>
      </text>
    </comment>
    <comment ref="R12" authorId="0" shapeId="0" xr:uid="{00000000-0006-0000-0100-000005000000}">
      <text>
        <r>
          <rPr>
            <b/>
            <sz val="9"/>
            <color indexed="81"/>
            <rFont val="Segoe UI"/>
            <family val="2"/>
          </rPr>
          <t>Administrativo2:</t>
        </r>
        <r>
          <rPr>
            <sz val="9"/>
            <color indexed="81"/>
            <rFont val="Segoe UI"/>
            <family val="2"/>
          </rPr>
          <t xml:space="preserve">
2,986,00
Com proteção de vidro</t>
        </r>
      </text>
    </comment>
    <comment ref="F28" authorId="0" shapeId="0" xr:uid="{00000000-0006-0000-0100-000006000000}">
      <text>
        <r>
          <rPr>
            <b/>
            <sz val="9"/>
            <color indexed="81"/>
            <rFont val="Segoe UI"/>
            <family val="2"/>
          </rPr>
          <t>Administrativo2:</t>
        </r>
        <r>
          <rPr>
            <sz val="9"/>
            <color indexed="81"/>
            <rFont val="Segoe UI"/>
            <family val="2"/>
          </rPr>
          <t xml:space="preserve">
RENEGADE SHY2C77 repassado do MARCONIS para Edilson 06/07/2023</t>
        </r>
      </text>
    </comment>
    <comment ref="P37" authorId="0" shapeId="0" xr:uid="{00000000-0006-0000-0100-000007000000}">
      <text>
        <r>
          <rPr>
            <b/>
            <sz val="9"/>
            <color indexed="81"/>
            <rFont val="Segoe UI"/>
            <family val="2"/>
          </rPr>
          <t>Administrativo2:</t>
        </r>
        <r>
          <rPr>
            <sz val="9"/>
            <color indexed="81"/>
            <rFont val="Segoe UI"/>
            <family val="2"/>
          </rPr>
          <t xml:space="preserve">
carro entregue no lugar do marconis
</t>
        </r>
      </text>
    </comment>
    <comment ref="F38" authorId="0" shapeId="0" xr:uid="{00000000-0006-0000-0100-000008000000}">
      <text>
        <r>
          <rPr>
            <b/>
            <sz val="9"/>
            <color indexed="81"/>
            <rFont val="Segoe UI"/>
            <family val="2"/>
          </rPr>
          <t>Administrativo2:</t>
        </r>
        <r>
          <rPr>
            <sz val="9"/>
            <color indexed="81"/>
            <rFont val="Segoe UI"/>
            <family val="2"/>
          </rPr>
          <t xml:space="preserve">
RVH2E00 TRACKER repassado do Francisco Edilson para Claudio Amaraldia 06/07/2023.</t>
        </r>
      </text>
    </comment>
    <comment ref="R38" authorId="0" shapeId="0" xr:uid="{00000000-0006-0000-0100-000009000000}">
      <text>
        <r>
          <rPr>
            <b/>
            <sz val="9"/>
            <color indexed="81"/>
            <rFont val="Segoe UI"/>
            <family val="2"/>
          </rPr>
          <t>Administrativo2:</t>
        </r>
        <r>
          <rPr>
            <sz val="9"/>
            <color indexed="81"/>
            <rFont val="Segoe UI"/>
            <family val="2"/>
          </rPr>
          <t xml:space="preserve">
Efetuado rodizio com o carro da contingência dia 03/08/2023. 
</t>
        </r>
      </text>
    </comment>
    <comment ref="F50" authorId="0" shapeId="0" xr:uid="{0EBE7EE9-F4B1-4BB6-BCCF-7CC29D991DC8}">
      <text>
        <r>
          <rPr>
            <b/>
            <sz val="9"/>
            <color indexed="81"/>
            <rFont val="Segoe UI"/>
            <family val="2"/>
          </rPr>
          <t>Troca de Condutor:</t>
        </r>
        <r>
          <rPr>
            <sz val="9"/>
            <color indexed="81"/>
            <rFont val="Segoe UI"/>
            <family val="2"/>
          </rPr>
          <t xml:space="preserve">
Onix PVR3B92 - Este veículo foi locado por Idalecio em 02/07/2025 e ficou sendo utilizado por ele até 12/08/2025, após foi transferido para Alverson e o Polo STZ7D92 que estava sendo utilizado por Alverson foi passado para o Idalecio - Devido o Polo ser 15cm mais alto que o Onix .
</t>
        </r>
        <r>
          <rPr>
            <b/>
            <sz val="9"/>
            <color indexed="81"/>
            <rFont val="Segoe UI"/>
            <family val="2"/>
          </rPr>
          <t>Troca de Condutor 2:</t>
        </r>
        <r>
          <rPr>
            <sz val="9"/>
            <color indexed="81"/>
            <rFont val="Segoe UI"/>
            <family val="2"/>
          </rPr>
          <t xml:space="preserve">
24/02/2026 - Polo TJL7E95 17.956km - Na desmobilização de Alverson ficou alinhado de que o veículo permaneceria no projeto, ficando com Idalecio até a chegada de Elisson, o qual recebeu o veículo em 04/03/26.
</t>
        </r>
      </text>
    </comment>
    <comment ref="J50" authorId="0" shapeId="0" xr:uid="{45E333DB-0500-48FE-972D-AE1839CCCEA1}">
      <text>
        <r>
          <rPr>
            <b/>
            <sz val="9"/>
            <color indexed="81"/>
            <rFont val="Segoe UI"/>
            <family val="2"/>
          </rPr>
          <t>Onix PVR3B92 - Instalado na retirada do veículo em 02/07/2025</t>
        </r>
        <r>
          <rPr>
            <sz val="9"/>
            <color indexed="81"/>
            <rFont val="Segoe UI"/>
            <family val="2"/>
          </rPr>
          <t xml:space="preserve">
Telemtria sem informação do dia 02/07 até atualmente - solicitado resolução a Recife GPS</t>
        </r>
        <r>
          <rPr>
            <b/>
            <sz val="9"/>
            <color indexed="81"/>
            <rFont val="Segoe UI"/>
            <family val="2"/>
          </rPr>
          <t xml:space="preserve">
Onix PVR3B92 - Desinstalado na substituição 23/08/2025</t>
        </r>
        <r>
          <rPr>
            <sz val="9"/>
            <color indexed="81"/>
            <rFont val="Segoe UI"/>
            <family val="2"/>
          </rPr>
          <t xml:space="preserve">
</t>
        </r>
        <r>
          <rPr>
            <b/>
            <sz val="9"/>
            <color indexed="81"/>
            <rFont val="Segoe UI"/>
            <family val="2"/>
          </rPr>
          <t>Polo  TJL7E95 - rastreador instalado 23/08/2025</t>
        </r>
      </text>
    </comment>
    <comment ref="H67" authorId="0" shapeId="0" xr:uid="{00000000-0006-0000-0100-00000A000000}">
      <text>
        <r>
          <rPr>
            <b/>
            <sz val="9"/>
            <color indexed="81"/>
            <rFont val="Segoe UI"/>
            <family val="2"/>
          </rPr>
          <t>Administrativo2:</t>
        </r>
        <r>
          <rPr>
            <sz val="9"/>
            <color indexed="81"/>
            <rFont val="Segoe UI"/>
            <family val="2"/>
          </rPr>
          <t xml:space="preserve">
2511,00
Com Proteção de vidro
</t>
        </r>
      </text>
    </comment>
    <comment ref="P109" authorId="3" shapeId="0" xr:uid="{F0986160-7C48-494D-8B36-D4CC30DE4A59}">
      <text>
        <r>
          <rPr>
            <b/>
            <sz val="9"/>
            <color indexed="81"/>
            <rFont val="Segoe UI"/>
            <family val="2"/>
          </rPr>
          <t>Recepção:</t>
        </r>
        <r>
          <rPr>
            <sz val="9"/>
            <color indexed="81"/>
            <rFont val="Segoe UI"/>
            <family val="2"/>
          </rPr>
          <t xml:space="preserve">
Até antes de  20/12 o condutor responsável era Danilo, porém entreou de recesso e após isso foi desmobilizado, então ocarro foi sedido ao Igor
</t>
        </r>
      </text>
    </comment>
    <comment ref="H112" authorId="3" shapeId="0" xr:uid="{1CCB9154-B6E8-48BA-8CC4-5EBEFF773F24}">
      <text>
        <r>
          <rPr>
            <b/>
            <sz val="9"/>
            <color indexed="81"/>
            <rFont val="Segoe UI"/>
            <family val="2"/>
          </rPr>
          <t>Recepção:</t>
        </r>
        <r>
          <rPr>
            <sz val="9"/>
            <color indexed="81"/>
            <rFont val="Segoe UI"/>
            <family val="2"/>
          </rPr>
          <t xml:space="preserve">
Ar-condicionado não estava funcionando, foi realizada a substituição do veículo 15/04/2025</t>
        </r>
      </text>
    </comment>
    <comment ref="AD114" authorId="4" shapeId="0" xr:uid="{C337C4E7-57C4-40A8-9794-BF6EA6001F3C}">
      <text>
        <t>[Comentário encadeado]
Sua versão do Excel permite que você leia este comentário encadeado, no entanto, as edições serão removidas se o arquivo for aberto em uma versão mais recente do Excel. Saiba mais: https://go.microsoft.com/fwlink/?linkid=870924
Comentário:
    Foi cobrado R$3.371,73 de taxa de deslocamento</t>
      </text>
    </comment>
    <comment ref="F117" authorId="0" shapeId="0" xr:uid="{9DFAF2C4-0E4B-4803-91BC-ED7CA2972804}">
      <text>
        <r>
          <rPr>
            <b/>
            <sz val="9"/>
            <color indexed="81"/>
            <rFont val="Segoe UI"/>
            <family val="2"/>
          </rPr>
          <t>Troca de Condutor - de Antonio Willian para Herik</t>
        </r>
        <r>
          <rPr>
            <sz val="9"/>
            <color indexed="81"/>
            <rFont val="Segoe UI"/>
            <family val="2"/>
          </rPr>
          <t xml:space="preserve">
Em 06/09/2025 Antonio Willian foi mobilizado da Obra VSE para MDC e no período de 06/09 a 13/09/25 o veículo Tracker TEL5D17 ficou sendo utilizado por Jhonny enquanto aguardava a chegada do Herik e a partir do dia 15/09/25 o veículo ficou sob a responsabilidade do Herik.
</t>
        </r>
        <r>
          <rPr>
            <b/>
            <sz val="9"/>
            <color indexed="81"/>
            <rFont val="Segoe UI"/>
            <family val="2"/>
          </rPr>
          <t xml:space="preserve">
Troca de Condutor - de Herik para Jair</t>
        </r>
        <r>
          <rPr>
            <sz val="9"/>
            <color indexed="81"/>
            <rFont val="Segoe UI"/>
            <family val="2"/>
          </rPr>
          <t xml:space="preserve">
em 10/12/2025 após Herik notificar que, por questões pessoais, não retornaria para o projeto VSE após o recesso de final de ano, trabalharia até 19/12 e o carro do Jair SIS6B61 estava sendo solicitado pela locadora a substituição devido o km, ficou acordado entre ambos jair ficar com o carro de Herik e o carro do Jair foi devolvido em 12/12/2025
</t>
        </r>
      </text>
    </comment>
    <comment ref="J117" authorId="0" shapeId="0" xr:uid="{ACCD68C1-2C20-4BA2-83AE-1B534533013F}">
      <text>
        <r>
          <rPr>
            <sz val="9"/>
            <color indexed="81"/>
            <rFont val="Segoe UI"/>
            <family val="2"/>
          </rPr>
          <t>T-Cross EXU6G81 - instalado em 05/08/2025
Tracker TEL5D17 - instalação do rastreador 29/08/2025</t>
        </r>
      </text>
    </comment>
    <comment ref="P117" authorId="0" shapeId="0" xr:uid="{923C0228-C170-4193-B10B-19384AE24F87}">
      <text>
        <r>
          <rPr>
            <b/>
            <sz val="9"/>
            <color indexed="81"/>
            <rFont val="Segoe UI"/>
            <family val="2"/>
          </rPr>
          <t>Troca de Condutor - de Antonio Willian para Herik</t>
        </r>
        <r>
          <rPr>
            <sz val="9"/>
            <color indexed="81"/>
            <rFont val="Segoe UI"/>
            <family val="2"/>
          </rPr>
          <t xml:space="preserve">
Em 06/09/2025 Antonio Willian foi mobilizado da Obra VSE para MDC e no período de 06/09 a 13/09/25 o veículo Tracker TEL5D17 ficou sendo utilizado por Jhonny enquanto aguardava a chegada do Herik e a partir do dia 15/09/25 o veículo ficou sob a responsabilidade do Herik
</t>
        </r>
      </text>
    </comment>
    <comment ref="P132" authorId="3" shapeId="0" xr:uid="{762BDFB9-FD58-4451-B579-E84D25CE0B12}">
      <text>
        <r>
          <rPr>
            <b/>
            <sz val="9"/>
            <color indexed="81"/>
            <rFont val="Segoe UI"/>
            <family val="2"/>
          </rPr>
          <t>Recepção:</t>
        </r>
        <r>
          <rPr>
            <sz val="9"/>
            <color indexed="81"/>
            <rFont val="Segoe UI"/>
            <family val="2"/>
          </rPr>
          <t xml:space="preserve">
Francisco Augusto ficou de sobreaviso 20.12 a 06.01</t>
        </r>
      </text>
    </comment>
    <comment ref="M133" authorId="5" shapeId="0" xr:uid="{22826C5B-0DA8-46BB-BDE5-1D4041B940EE}">
      <text>
        <t>[Comentário encadeado]
Sua versão do Excel permite que você leia este comentário encadeado, no entanto, as edições serão removidas se o arquivo for aberto em uma versão mais recente do Excel. Saiba mais: https://go.microsoft.com/fwlink/?linkid=870924
Comentário:
    1º 16/04/2025
2º 09/04/2026</t>
      </text>
    </comment>
    <comment ref="J137" authorId="0" shapeId="0" xr:uid="{E65BA379-F1FC-4317-8D79-5121B61A0FA1}">
      <text>
        <r>
          <rPr>
            <b/>
            <sz val="9"/>
            <color indexed="81"/>
            <rFont val="Segoe UI"/>
            <family val="2"/>
          </rPr>
          <t>Renegade RVC9D71 - Rastreador desinstalado em 05/09/2025</t>
        </r>
        <r>
          <rPr>
            <sz val="9"/>
            <color indexed="81"/>
            <rFont val="Segoe UI"/>
            <family val="2"/>
          </rPr>
          <t xml:space="preserve">
</t>
        </r>
      </text>
    </comment>
    <comment ref="O137" authorId="3" shapeId="0" xr:uid="{DE78FDC9-F87B-4298-86A9-498A06EDC021}">
      <text>
        <r>
          <rPr>
            <b/>
            <sz val="9"/>
            <color indexed="81"/>
            <rFont val="Segoe UI"/>
            <family val="2"/>
          </rPr>
          <t>Recepção:</t>
        </r>
        <r>
          <rPr>
            <sz val="9"/>
            <color indexed="81"/>
            <rFont val="Segoe UI"/>
            <family val="2"/>
          </rPr>
          <t xml:space="preserve">
SIX0H46 foi guinchado e retirado o novo veículo</t>
        </r>
      </text>
    </comment>
    <comment ref="J156" authorId="0" shapeId="0" xr:uid="{D8FFEE0C-4A8F-4AF7-B31C-456A99BF945E}">
      <text>
        <r>
          <rPr>
            <b/>
            <sz val="9"/>
            <color indexed="81"/>
            <rFont val="Segoe UI"/>
            <family val="2"/>
          </rPr>
          <t xml:space="preserve">26/02/2025
</t>
        </r>
        <r>
          <rPr>
            <sz val="9"/>
            <color indexed="81"/>
            <rFont val="Segoe UI"/>
            <family val="2"/>
          </rPr>
          <t xml:space="preserve">
Desinstalado na devolução 25/10/2025</t>
        </r>
      </text>
    </comment>
    <comment ref="F157" authorId="3" shapeId="0" xr:uid="{166AAA80-7B91-4D80-8167-34900AFF6A28}">
      <text>
        <r>
          <rPr>
            <b/>
            <sz val="9"/>
            <color indexed="81"/>
            <rFont val="Segoe UI"/>
            <family val="2"/>
          </rPr>
          <t>Recepção:</t>
        </r>
        <r>
          <rPr>
            <sz val="9"/>
            <color indexed="81"/>
            <rFont val="Segoe UI"/>
            <family val="2"/>
          </rPr>
          <t xml:space="preserve">
Veículo TCY1C25 retirado por Ualace - transferido para Claudio em 28/03/2025</t>
        </r>
      </text>
    </comment>
    <comment ref="R157" authorId="6" shapeId="0" xr:uid="{579BFBAE-A82F-4FF8-859C-C4B52D2592E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
      </text>
    </comment>
    <comment ref="S157" authorId="7" shapeId="0" xr:uid="{8712EFC3-5516-4459-99E5-5C183CF71FE9}">
      <text>
        <t>[Comentário encadeado]
Sua versão do Excel permite que você leia este comentário encadeado, no entanto, as edições serão removidas se o arquivo for aberto em uma versão mais recente do Excel. Saiba mais: https://go.microsoft.com/fwlink/?linkid=870924
Comentário:
    C3 TES6H46 guinchado em 09/04/26 e o táxi chegou só a tarde para direcionar Claudio para a loja Unidas em Belo Horizonte e chegaram na loja no dia 10/04/26 para retirar o novo veículo.</t>
      </text>
    </comment>
    <comment ref="AA160" authorId="8" shapeId="0" xr:uid="{2055C634-62B3-404B-93F3-68F4464F8F84}">
      <text>
        <t>[Comentário encadeado]
Sua versão do Excel permite que você leia este comentário encadeado, no entanto, as edições serão removidas se o arquivo for aberto em uma versão mais recente do Excel. Saiba mais: https://go.microsoft.com/fwlink/?linkid=870924
Comentário:
    Veículo deixado na oficina Ponto Car em Pirapora MG no dia 07/04/26 para verificar os problemas: o ar condicionado está fazendo um barulho e com mau funcionamento, o carro está apresentando falha para dar partida, quando está em transito algumas vezes para e depois volta a funcionar e no dia 06/04/26 apresentou aquecimento - Ficou na oficina aguardando diagnostico até 13/04/26 e eles identificaram apenas que estava sumindo água mas não sabem o que ocasionou e para onde a água está indo. Devido a falta de diagnostico e demora para manutenção foi solicitado por e-mail o cancelamento do contrato do veículo TCZ6B67 a contar do dia 07/04/26.</t>
      </text>
    </comment>
    <comment ref="F161" authorId="0" shapeId="0" xr:uid="{C95BB88D-A881-44A7-ADF8-D3501F1F7639}">
      <text>
        <r>
          <rPr>
            <b/>
            <sz val="9"/>
            <color indexed="81"/>
            <rFont val="Segoe UI"/>
            <family val="2"/>
          </rPr>
          <t>Troca de Condutor:</t>
        </r>
        <r>
          <rPr>
            <sz val="9"/>
            <color indexed="81"/>
            <rFont val="Segoe UI"/>
            <family val="2"/>
          </rPr>
          <t xml:space="preserve">
</t>
        </r>
        <r>
          <rPr>
            <b/>
            <sz val="9"/>
            <color indexed="81"/>
            <rFont val="Segoe UI"/>
            <family val="2"/>
          </rPr>
          <t xml:space="preserve"> Onix STZ7D92 </t>
        </r>
        <r>
          <rPr>
            <sz val="9"/>
            <color indexed="81"/>
            <rFont val="Segoe UI"/>
            <family val="2"/>
          </rPr>
          <t xml:space="preserve">foi locado em 23/07/2025 por Marcilio e em </t>
        </r>
        <r>
          <rPr>
            <b/>
            <sz val="9"/>
            <color indexed="81"/>
            <rFont val="Segoe UI"/>
            <family val="2"/>
          </rPr>
          <t xml:space="preserve">01/08/2025 </t>
        </r>
        <r>
          <rPr>
            <sz val="9"/>
            <color indexed="81"/>
            <rFont val="Segoe UI"/>
            <family val="2"/>
          </rPr>
          <t xml:space="preserve">foi transferido para Eider Breno.
</t>
        </r>
      </text>
    </comment>
    <comment ref="J161" authorId="0" shapeId="0" xr:uid="{8DDBFD0B-E36A-4BF2-AD11-8D1D77A30AD9}">
      <text>
        <r>
          <rPr>
            <b/>
            <sz val="9"/>
            <color indexed="81"/>
            <rFont val="Segoe UI"/>
            <family val="2"/>
          </rPr>
          <t>SJH8E03 - GPS instalado em 25/07/2025 em NataL</t>
        </r>
        <r>
          <rPr>
            <sz val="9"/>
            <color indexed="81"/>
            <rFont val="Segoe UI"/>
            <family val="2"/>
          </rPr>
          <t xml:space="preserve">
Após concluir a instalação, o técnico Adalberto de Natal foi embora e o Marcilio nos comunicou que o carro não estava ligando, o técnico retornou ao local para verificar o erro na instalação e foi corrigido, o carro voltou a funcionar normalmente.</t>
        </r>
      </text>
    </comment>
    <comment ref="J162" authorId="0" shapeId="0" xr:uid="{1A249F34-2CBA-474C-A5E5-861E497BFD23}">
      <text>
        <r>
          <rPr>
            <b/>
            <sz val="9"/>
            <color indexed="81"/>
            <rFont val="Segoe UI"/>
            <family val="2"/>
          </rPr>
          <t>TDT7A83 - Instalado 14/07/2025</t>
        </r>
        <r>
          <rPr>
            <sz val="9"/>
            <color indexed="81"/>
            <rFont val="Segoe UI"/>
            <family val="2"/>
          </rPr>
          <t xml:space="preserve">
</t>
        </r>
      </text>
    </comment>
    <comment ref="C177" authorId="0" shapeId="0" xr:uid="{22738928-57EE-4290-A320-A4DC83C94279}">
      <text>
        <r>
          <rPr>
            <b/>
            <sz val="9"/>
            <color indexed="81"/>
            <rFont val="Segoe UI"/>
            <family val="2"/>
          </rPr>
          <t>Administrativo2:</t>
        </r>
        <r>
          <rPr>
            <sz val="9"/>
            <color indexed="81"/>
            <rFont val="Segoe UI"/>
            <family val="2"/>
          </rPr>
          <t xml:space="preserve">
Projeto Eng. Do Proprietário Filtro Harmonico - Folha Larga EDF</t>
        </r>
      </text>
    </comment>
    <comment ref="J177" authorId="0" shapeId="0" xr:uid="{AD84FDC9-5C0A-475F-8013-76F997C5D230}">
      <text>
        <r>
          <rPr>
            <b/>
            <sz val="9"/>
            <color indexed="81"/>
            <rFont val="Segoe UI"/>
            <family val="2"/>
          </rPr>
          <t>TJW0B84 - Instalado em 09/06/2025</t>
        </r>
        <r>
          <rPr>
            <sz val="9"/>
            <color indexed="81"/>
            <rFont val="Segoe UI"/>
            <family val="2"/>
          </rPr>
          <t xml:space="preserve">
</t>
        </r>
      </text>
    </comment>
    <comment ref="Q178" authorId="0" shapeId="0" xr:uid="{4B7900D6-3BEF-49AF-9F90-5391354E6A36}">
      <text>
        <r>
          <rPr>
            <b/>
            <sz val="9"/>
            <color indexed="81"/>
            <rFont val="Segoe UI"/>
            <family val="2"/>
          </rPr>
          <t>Laura:</t>
        </r>
        <r>
          <rPr>
            <sz val="9"/>
            <color indexed="81"/>
            <rFont val="Segoe UI"/>
            <family val="2"/>
          </rPr>
          <t xml:space="preserve">
Devido a falha para seguir as orientações passadas (o Eric justificou que estava com muitas demandas) o T-Cross TLP7F80 foi guinchado no dia 30/10/2025 e não foi solicitado o táxi para retirar o novo veículo, reforcei que o precidemento deve ser simultaneo  e o táxi foi agendado no dia 31/10/2025 e teve o apoio do Ronieri para a retirada do veículo TCross STQ7C53 neste dia. 
Motivo da solicitação de guincho - cambio travado, carro não dá partida se não estiver no P, travou no R.</t>
        </r>
      </text>
    </comment>
    <comment ref="F179" authorId="0" shapeId="0" xr:uid="{94B065B0-5F3E-43A6-991E-31D965FEBDCA}">
      <text>
        <r>
          <rPr>
            <b/>
            <sz val="9"/>
            <color indexed="81"/>
            <rFont val="Segoe UI"/>
            <family val="2"/>
          </rPr>
          <t>Alteração de condutor 1:</t>
        </r>
        <r>
          <rPr>
            <sz val="9"/>
            <color indexed="81"/>
            <rFont val="Segoe UI"/>
            <family val="2"/>
          </rPr>
          <t xml:space="preserve">
Ate 09/04/2025 o veículo SIG2E45 era de Joseane, após foi transferido para  Marlucia.
</t>
        </r>
        <r>
          <rPr>
            <b/>
            <sz val="9"/>
            <color indexed="81"/>
            <rFont val="Segoe UI"/>
            <family val="2"/>
          </rPr>
          <t>Alteração de condutor 2:</t>
        </r>
        <r>
          <rPr>
            <sz val="9"/>
            <color indexed="81"/>
            <rFont val="Segoe UI"/>
            <family val="2"/>
          </rPr>
          <t xml:space="preserve">
09/04 a 02/09/2025 veículo ficou sendo utilizado por Marlucia e a partir do dia 02/09/2025 foi transferido para Eucilene.
</t>
        </r>
      </text>
    </comment>
    <comment ref="F180" authorId="3" shapeId="0" xr:uid="{2D406C0E-66C3-4817-8DAF-7C36B0A3E113}">
      <text>
        <r>
          <rPr>
            <b/>
            <sz val="9"/>
            <color indexed="81"/>
            <rFont val="Segoe UI"/>
            <family val="2"/>
          </rPr>
          <t>Recepção: Profissional era da obra MDC e em 22/04/2025 foi mobilizado com o carro EJA1H12 para VSE</t>
        </r>
      </text>
    </comment>
    <comment ref="F182" authorId="3" shapeId="0" xr:uid="{CD6F4514-1B56-47A0-B03A-A4423A972E2E}">
      <text>
        <r>
          <rPr>
            <b/>
            <sz val="9"/>
            <color indexed="81"/>
            <rFont val="Segoe UI"/>
            <family val="2"/>
          </rPr>
          <t>Recepção:</t>
        </r>
        <r>
          <rPr>
            <sz val="9"/>
            <color indexed="81"/>
            <rFont val="Segoe UI"/>
            <family val="2"/>
          </rPr>
          <t xml:space="preserve">
até 31/03/2025 o veículo era utilizado por Acácio, após foi transferido para Junior</t>
        </r>
      </text>
    </comment>
    <comment ref="F184" authorId="0" shapeId="0" xr:uid="{52E5F805-C8B7-4677-B098-B6FF64F6E9E2}">
      <text>
        <r>
          <rPr>
            <b/>
            <sz val="9"/>
            <color indexed="81"/>
            <rFont val="Segoe UI"/>
            <family val="2"/>
          </rPr>
          <t xml:space="preserve">Troca de condutor Tcross SYD7G06 - de Geferson para Antonio Willian
</t>
        </r>
        <r>
          <rPr>
            <sz val="9"/>
            <color indexed="81"/>
            <rFont val="Segoe UI"/>
            <family val="2"/>
          </rPr>
          <t>Geferson foi transferido para outra obra em João Camara da Statkraft em 12/09/2025 e o veículo SYD7G06 foi repassado para o Antonio Willian em 15/09/2025.</t>
        </r>
        <r>
          <rPr>
            <b/>
            <sz val="9"/>
            <color indexed="81"/>
            <rFont val="Segoe UI"/>
            <family val="2"/>
          </rPr>
          <t xml:space="preserve">
</t>
        </r>
        <r>
          <rPr>
            <sz val="9"/>
            <color indexed="81"/>
            <rFont val="Segoe UI"/>
            <family val="2"/>
          </rPr>
          <t xml:space="preserve">
</t>
        </r>
      </text>
    </comment>
    <comment ref="P184" authorId="0" shapeId="0" xr:uid="{1A8709A7-61E8-44C5-85AC-C4C1DFBF03EB}">
      <text>
        <r>
          <rPr>
            <b/>
            <sz val="9"/>
            <color indexed="81"/>
            <rFont val="Segoe UI"/>
            <family val="2"/>
          </rPr>
          <t xml:space="preserve">Troca de condutor Tcross SYD7G06 - de Geferson para Antonio Willian
</t>
        </r>
        <r>
          <rPr>
            <sz val="9"/>
            <color indexed="81"/>
            <rFont val="Segoe UI"/>
            <family val="2"/>
          </rPr>
          <t xml:space="preserve">Geferson foi transferido para outra obra em João Camara da Statkraft em 12/09/2025 e o veículo SYD7G06 foi repassado para o Antonio Willian em 15/09/2025.
</t>
        </r>
      </text>
    </comment>
    <comment ref="J187" authorId="0" shapeId="0" xr:uid="{0F8AB0EB-57F2-47F9-AF06-8460B3D431B6}">
      <text>
        <r>
          <rPr>
            <b/>
            <sz val="9"/>
            <color indexed="81"/>
            <rFont val="Segoe UI"/>
            <family val="2"/>
          </rPr>
          <t>Instalado em 16/07 porque precisou aguardar o rastreador ser enviado para obra.</t>
        </r>
        <r>
          <rPr>
            <sz val="9"/>
            <color indexed="81"/>
            <rFont val="Segoe UI"/>
            <family val="2"/>
          </rPr>
          <t xml:space="preserve">
</t>
        </r>
      </text>
    </comment>
    <comment ref="F191" authorId="0" shapeId="0" xr:uid="{4BB104C7-6E0F-4722-AEDD-C3A23E2CFDC9}">
      <text>
        <r>
          <rPr>
            <b/>
            <sz val="9"/>
            <color indexed="81"/>
            <rFont val="Segoe UI"/>
            <family val="2"/>
          </rPr>
          <t xml:space="preserve">Troca de Condutor:
</t>
        </r>
        <r>
          <rPr>
            <sz val="9"/>
            <color indexed="81"/>
            <rFont val="Segoe UI"/>
            <family val="2"/>
          </rPr>
          <t xml:space="preserve">de 02/06/2025 a 11/06/2025 o Polo STZ7D92 era de Alain e no dia 11/06/2025 às 07:30h foi transferido para Alverson, decisão tomada em conjunto entre Alain, Breno e Alverson.
</t>
        </r>
        <r>
          <rPr>
            <b/>
            <sz val="9"/>
            <color indexed="81"/>
            <rFont val="Segoe UI"/>
            <family val="2"/>
          </rPr>
          <t xml:space="preserve">Troca de Condutor 2:
</t>
        </r>
        <r>
          <rPr>
            <sz val="9"/>
            <color indexed="81"/>
            <rFont val="Segoe UI"/>
            <family val="2"/>
          </rPr>
          <t xml:space="preserve">Polo STZ7D92 que estava sendo utilizado por Alverson desde o dia 11/06/2025 foi transferido Idalecio em 12/08/2025 devido este modelo ser 15cm mais alto que o Onix. E o Onix PVR3B92  que foi locado por Idalecio em 02/07/2025 foi repassado para o Alverson no dia 12/08/2025. 
</t>
        </r>
        <r>
          <rPr>
            <b/>
            <sz val="9"/>
            <color indexed="81"/>
            <rFont val="Segoe UI"/>
            <family val="2"/>
          </rPr>
          <t xml:space="preserve">Troca de Condutor 3:
</t>
        </r>
        <r>
          <rPr>
            <sz val="9"/>
            <color indexed="81"/>
            <rFont val="Segoe UI"/>
            <family val="2"/>
          </rPr>
          <t>Polo STZ7D92 que estava com Idalecio ficou temporariamente com Yanca a partir de 05/12/2025 e foi seguindo com ela, até que em 10/02/2026 Alverson site manager confirmou que está definitivamente com Yanca.</t>
        </r>
      </text>
    </comment>
    <comment ref="P191" authorId="0" shapeId="0" xr:uid="{C7AE5F95-7C35-4D2E-9949-38A2D7E80580}">
      <text>
        <r>
          <rPr>
            <sz val="9"/>
            <color indexed="81"/>
            <rFont val="Segoe UI"/>
            <family val="2"/>
          </rPr>
          <t xml:space="preserve">Troca de Condutor:
de 02/06/2025 a 11/06/2025 o Polo STZ7D92 era de Alain e no dia 11/06/2025 às 07:30h foi transferido para Alverson, decisão tomada em conjunto entre Alain, Breno e Alverson.
</t>
        </r>
      </text>
    </comment>
    <comment ref="F192" authorId="9" shapeId="0" xr:uid="{D7D8E9E9-53BA-49A1-9AA7-ADE9637DBBCA}">
      <text>
        <t>[Comentário encadeado]
Sua versão do Excel permite que você leia este comentário encadeado, no entanto, as edições serão removidas se o arquivo for aberto em uma versão mais recente do Excel. Saiba mais: https://go.microsoft.com/fwlink/?linkid=870924
Comentário:
    Veículo FZP1E71 locado 18/01/25 por Isaac e em 13/03/26 com 31.871km foi transferido para Ualace.</t>
      </text>
    </comment>
    <comment ref="H192" authorId="10" shapeId="0" xr:uid="{79E80C58-570B-4F18-BA27-99825DE5B8B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*Motivo Substituição FZP1E71*: 
Ualace identificou um barulho no veículo, levou o carro 2x na oficina e na segunda identificou que o barulho seria na pinça de freio traseiro, o carro ficou na oficina de sexta 20/03 até a segunda 24/03 aguardando aprovação e, como ainda não constava a autorização, o veículo foi retirado da oficina porque a ausência iria impactar nas atividades, mesmo quando houvesse aprovação, a oficina só teria a peça com mais alguns dias para frente.
</t>
      </text>
    </comment>
    <comment ref="H198" authorId="0" shapeId="0" xr:uid="{B42859CF-4EAF-426A-96B1-AB1D7E006D69}">
      <text>
        <r>
          <rPr>
            <sz val="9"/>
            <color indexed="81"/>
            <rFont val="Segoe UI"/>
            <family val="2"/>
          </rPr>
          <t xml:space="preserve">o veículo SUI0E07 antes era medido na obra 23.026 CGN Lagoa e a partir de novembro 2025 passou a ser medido por 24.011 BackOffice de projetos CGN
</t>
        </r>
      </text>
    </comment>
    <comment ref="J199" authorId="0" shapeId="0" xr:uid="{0F4BA3F9-2597-45BF-85B3-6D13E743433F}">
      <text>
        <r>
          <rPr>
            <b/>
            <sz val="9"/>
            <color indexed="81"/>
            <rFont val="Segoe UI"/>
            <family val="2"/>
          </rPr>
          <t>Tracker TEL5D86 - Instalado em 11/09/2025</t>
        </r>
        <r>
          <rPr>
            <sz val="9"/>
            <color indexed="81"/>
            <rFont val="Segoe UI"/>
            <family val="2"/>
          </rPr>
          <t xml:space="preserve">
</t>
        </r>
      </text>
    </comment>
    <comment ref="P200" authorId="0" shapeId="0" xr:uid="{538A1CE1-3327-4B69-93FB-46F0D4A4D3E9}">
      <text>
        <r>
          <rPr>
            <b/>
            <sz val="9"/>
            <color indexed="81"/>
            <rFont val="Segoe UI"/>
            <family val="2"/>
          </rPr>
          <t>Laura:</t>
        </r>
        <r>
          <rPr>
            <sz val="9"/>
            <color indexed="81"/>
            <rFont val="Segoe UI"/>
            <family val="2"/>
          </rPr>
          <t xml:space="preserve">
Argo TCU0B00 retirado em 21/06/2025 mediante substituição devido ter perdido a chave do veículo Onix TDA9G92, por conta própria e sem comunicação prévia do problema Kekerosberg realizou o procedimento de solicitação do guincho no sábado 21/06 por não ter encontrado mais a chave do Onix que havia perdido desde a sexta-feira 20/06, conforme relato via e-mail.</t>
        </r>
      </text>
    </comment>
    <comment ref="P201" authorId="0" shapeId="0" xr:uid="{6EFEFEAC-90B6-4127-8F61-98302514E616}">
      <text>
        <r>
          <rPr>
            <b/>
            <sz val="9"/>
            <color indexed="81"/>
            <rFont val="Segoe UI"/>
            <family val="2"/>
          </rPr>
          <t xml:space="preserve">Laura:
T-Cross FFW5H24 devolvido em 26/07/2025: </t>
        </r>
        <r>
          <rPr>
            <sz val="9"/>
            <color indexed="81"/>
            <rFont val="Segoe UI"/>
            <family val="2"/>
          </rPr>
          <t xml:space="preserve">na sexta-feira 25/07 às 16:38h recebido a confirmação para devolver o carro no sábado 26/07 e neste dia a loja Unidas no Shopping Jua Garden em Juazeiro BA funciona de 08:00 às 12:00h, o carro foi entregue sujo pois estava sendo utilizado na obra, quem fez a devolução foi o Jhonny. </t>
        </r>
        <r>
          <rPr>
            <b/>
            <sz val="9"/>
            <color indexed="81"/>
            <rFont val="Segoe UI"/>
            <family val="2"/>
          </rPr>
          <t xml:space="preserve">
Avaria: </t>
        </r>
        <r>
          <rPr>
            <sz val="9"/>
            <color indexed="81"/>
            <rFont val="Segoe UI"/>
            <family val="2"/>
          </rPr>
          <t xml:space="preserve">durante a viagem para entregar o carro, Jhonny sinalizou a Jaqueline que a moldura que  contornava a roda dianteira lado do motorista  (peça nova) soltou a metade e quebrou com a pressão do vento em viagem. 
Sendo que essa peça já tinha sido avariada antes,  tinha perdido durante o uso do veículo por Iranildo na obra no período de folga de Washington, ocasião em que eles compraram a peça e recebi através do Washington a notificação desta ocorrencia só no dia 14/07/2025 e a peça chegou em 21/07/2025. 
Devido a divergência na tonalidade da peça com o restante da moldura do carro, reforcei para Washington e Iranildo que mesmo sendo uma peça nova poderia ocorrer cobrança por parte da locadora  pois eles poderiam identificar a divergencia de cor e saber que não era a peça original do carro (conforme conversei com Aylla e também informado a Jaqueline), nesse caso o Iranildo informou que mesmo que comprou por proatividade e que se houvesse a cobrança pela locadora não concordava em pagar por algo que ocorreu com durante atividade na obra (não sabemos o dia e horário porque só recebemos a informoção no dia 14/07), neste momento da conversa com Iranildo e o Jhonny também estava em ligação, eles já estavam indo fazer a desinstalação do rastredor em Irecê e já eram 17:27h da sexta-feira 25/07. Em suma, a foto da peça quebrada na viagem para devolução do carro não tem a mesma tonalidade da peça que tinha sido comprada pelos meninos, parecedendo se a peça antiga que tinha sido avariada antes. 
</t>
        </r>
      </text>
    </comment>
    <comment ref="F204" authorId="0" shapeId="0" xr:uid="{F5ACB46A-8449-4228-A6CC-BB26C9BB2739}">
      <text>
        <r>
          <rPr>
            <sz val="9"/>
            <color indexed="81"/>
            <rFont val="Segoe UI"/>
            <family val="2"/>
          </rPr>
          <t xml:space="preserve">Jurandir e o veículo EVW1E22 eram do projeto 24.019 Morro do Cruzeiro e em 01/04/2025 ambos foram transferidos para 24.019 VSE.
</t>
        </r>
        <r>
          <rPr>
            <b/>
            <sz val="9"/>
            <color indexed="81"/>
            <rFont val="Segoe UI"/>
            <family val="2"/>
          </rPr>
          <t>Troca de Condutor</t>
        </r>
        <r>
          <rPr>
            <sz val="9"/>
            <color indexed="81"/>
            <rFont val="Segoe UI"/>
            <family val="2"/>
          </rPr>
          <t xml:space="preserve"> - Em 18/12/2025 o veículo TXL2A44 foi trasferido de Jurandir para Eric.</t>
        </r>
      </text>
    </comment>
    <comment ref="F205" authorId="11" shapeId="0" xr:uid="{8C382A98-4691-4CDB-BF21-855C15FBB8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Lazaro saiu do projeto e repassou o veículo TXD7J30 para Ualace no dia 06/03/26, com 19.951km
</t>
      </text>
    </comment>
    <comment ref="P205" authorId="12" shapeId="0" xr:uid="{7A3F3671-2132-44FC-89D9-E62A113FBFDB}">
      <text>
        <t>[Comentário encadeado]
Sua versão do Excel permite que você leia este comentário encadeado, no entanto, as edições serão removidas se o arquivo for aberto em uma versão mais recente do Excel. Saiba mais: https://go.microsoft.com/fwlink/?linkid=870924
Comentário:
    Devolução_Substituição motivo - Solicitação da locadora</t>
      </text>
    </comment>
    <comment ref="R205" authorId="13" shapeId="0" xr:uid="{8ACFE0BF-AE70-4120-B4D7-70FF38F1191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Lazaro saiu do projeto e repassou o veículo TXD7J30 para Ualace no dia 06/03/26, com 19.951km
</t>
      </text>
    </comment>
    <comment ref="J207" authorId="0" shapeId="0" xr:uid="{FAC143A5-9FD8-47A9-B1FC-108386436750}">
      <text>
        <r>
          <rPr>
            <b/>
            <sz val="9"/>
            <color indexed="81"/>
            <rFont val="Segoe UI"/>
            <family val="2"/>
          </rPr>
          <t>Administrativo2:</t>
        </r>
        <r>
          <rPr>
            <sz val="9"/>
            <color indexed="81"/>
            <rFont val="Segoe UI"/>
            <family val="2"/>
          </rPr>
          <t xml:space="preserve">
Não foi instalado porque o carro foi locado para passar apenas 30 dias e para instalar o GPS precisava ainda enviá-lo levaria alguns dias para chegar então não compensaria ter o custo do envio, aguardar o prazo para chegar, custo da instalação, mensalidade e desinstalação.</t>
        </r>
      </text>
    </comment>
    <comment ref="F208" authorId="0" shapeId="0" xr:uid="{86ACB6F1-A086-48CE-989D-3757611E5741}">
      <text>
        <r>
          <rPr>
            <b/>
            <sz val="9"/>
            <color indexed="81"/>
            <rFont val="Segoe UI"/>
            <family val="2"/>
          </rPr>
          <t xml:space="preserve">Troca de Condutor:
</t>
        </r>
        <r>
          <rPr>
            <sz val="9"/>
            <color indexed="81"/>
            <rFont val="Segoe UI"/>
            <family val="2"/>
          </rPr>
          <t xml:space="preserve">De 24/03/2025 a 11/06/2025 a Duster TDJ7G97 era utilizada por Alverson e a partir do dia </t>
        </r>
        <r>
          <rPr>
            <b/>
            <sz val="9"/>
            <color indexed="81"/>
            <rFont val="Segoe UI"/>
            <family val="2"/>
          </rPr>
          <t xml:space="preserve">11/06/2025 </t>
        </r>
        <r>
          <rPr>
            <sz val="9"/>
            <color indexed="81"/>
            <rFont val="Segoe UI"/>
            <family val="2"/>
          </rPr>
          <t xml:space="preserve">foi transferida para Eider Breno que compartilha o uso com Yanca.
</t>
        </r>
        <r>
          <rPr>
            <b/>
            <sz val="9"/>
            <color indexed="81"/>
            <rFont val="Segoe UI"/>
            <family val="2"/>
          </rPr>
          <t xml:space="preserve">
Troca de Condutor 2:</t>
        </r>
        <r>
          <rPr>
            <sz val="9"/>
            <color indexed="81"/>
            <rFont val="Segoe UI"/>
            <family val="2"/>
          </rPr>
          <t xml:space="preserve">
01/08/2025 a Duster TDJ7G97 foi transferida de Breno para Marcilio.</t>
        </r>
      </text>
    </comment>
    <comment ref="F209" authorId="0" shapeId="0" xr:uid="{EB7213B4-EC89-4A20-AA5B-FB74A29912B7}">
      <text>
        <r>
          <rPr>
            <b/>
            <sz val="9"/>
            <color indexed="81"/>
            <rFont val="Segoe UI"/>
            <family val="2"/>
          </rPr>
          <t>Administrativo2:</t>
        </r>
        <r>
          <rPr>
            <sz val="9"/>
            <color indexed="81"/>
            <rFont val="Segoe UI"/>
            <family val="2"/>
          </rPr>
          <t xml:space="preserve">
Até o dia 29/04/2025 o veículo EKB5J96 ficava com a Rute, após foi transferido para Nilberto</t>
        </r>
      </text>
    </comment>
    <comment ref="J209" authorId="0" shapeId="0" xr:uid="{E16CD6DA-C383-4DBB-B90D-9491301E8448}">
      <text>
        <r>
          <rPr>
            <sz val="9"/>
            <color indexed="81"/>
            <rFont val="Segoe UI"/>
            <family val="2"/>
          </rPr>
          <t xml:space="preserve">EKB5J96 - Instalado 17/03/2025
EKB5J96 - Desinstalado em 06/08/2025
Rastreador Instalado no veículo TKX8G73 em 12/08/2025.
</t>
        </r>
      </text>
    </comment>
    <comment ref="O209" authorId="0" shapeId="0" xr:uid="{54988D02-FC3D-4433-B847-C61B193308FD}">
      <text>
        <r>
          <rPr>
            <sz val="9"/>
            <color indexed="81"/>
            <rFont val="Segoe UI"/>
            <family val="2"/>
          </rPr>
          <t xml:space="preserve">Veículo EKB5J96 foi guinchado na quinta-feira 07/07/2025 pela manhã e o táxi só chegou a tarde, o novo carro TKX8G73 só retirado na locadora às 00:30h, na virada do dia 07/08 para o dia 08/08/2025.
</t>
        </r>
      </text>
    </comment>
    <comment ref="P210" authorId="0" shapeId="0" xr:uid="{00000000-0006-0000-0100-000002000000}">
      <text>
        <r>
          <rPr>
            <b/>
            <sz val="9"/>
            <color indexed="81"/>
            <rFont val="Segoe UI"/>
            <family val="2"/>
          </rPr>
          <t>Administrativo2:</t>
        </r>
        <r>
          <rPr>
            <sz val="9"/>
            <color indexed="81"/>
            <rFont val="Segoe UI"/>
            <family val="2"/>
          </rPr>
          <t xml:space="preserve">
Pedro repassou o carro para Rainor dia 16/08.
</t>
        </r>
      </text>
    </comment>
    <comment ref="M211" authorId="0" shapeId="0" xr:uid="{D574ED58-2F69-43F7-B6E6-57013337E188}">
      <text>
        <r>
          <rPr>
            <b/>
            <sz val="9"/>
            <color indexed="81"/>
            <rFont val="Segoe UI"/>
            <family val="2"/>
          </rPr>
          <t>S10 TEI1I92</t>
        </r>
        <r>
          <rPr>
            <sz val="9"/>
            <color indexed="81"/>
            <rFont val="Segoe UI"/>
            <family val="2"/>
          </rPr>
          <t xml:space="preserve">
</t>
        </r>
      </text>
    </comment>
    <comment ref="J212" authorId="0" shapeId="0" xr:uid="{37CC0997-049E-4B4F-8A3A-6CDB6DDEEE95}">
      <text>
        <r>
          <rPr>
            <b/>
            <sz val="9"/>
            <color indexed="81"/>
            <rFont val="Segoe UI"/>
            <family val="2"/>
          </rPr>
          <t>Instalado em 15/07/2025</t>
        </r>
        <r>
          <rPr>
            <sz val="9"/>
            <color indexed="81"/>
            <rFont val="Segoe UI"/>
            <family val="2"/>
          </rPr>
          <t xml:space="preserve">
</t>
        </r>
      </text>
    </comment>
    <comment ref="F213" authorId="3" shapeId="0" xr:uid="{9DCC2A52-14DD-4469-ADC0-3E5AAB327067}">
      <text>
        <r>
          <rPr>
            <b/>
            <sz val="9"/>
            <color indexed="81"/>
            <rFont val="Segoe UI"/>
            <family val="2"/>
          </rPr>
          <t>Recepção:</t>
        </r>
        <r>
          <rPr>
            <sz val="9"/>
            <color indexed="81"/>
            <rFont val="Segoe UI"/>
            <family val="2"/>
          </rPr>
          <t xml:space="preserve">
Em 12/03/25 veículo retirado por Bruno Laboratorio, retornou dia 18/03 e em 21/03/25 Roberto seguiu para obra Auren
</t>
        </r>
      </text>
    </comment>
    <comment ref="M213" authorId="0" shapeId="0" xr:uid="{964EE3A3-88C8-4112-8BAF-581E760DF899}">
      <text>
        <r>
          <rPr>
            <b/>
            <sz val="9"/>
            <color indexed="81"/>
            <rFont val="Segoe UI"/>
            <family val="2"/>
          </rPr>
          <t>Administrativo2:</t>
        </r>
        <r>
          <rPr>
            <sz val="9"/>
            <color indexed="81"/>
            <rFont val="Segoe UI"/>
            <family val="2"/>
          </rPr>
          <t xml:space="preserve">
em 12/03/2025 foi realizado o teste de fumaça da S10 QMZ5D58 - Em 28/05/2025 foi realizado o teste de fumaça da S10 UAI4B92</t>
        </r>
      </text>
    </comment>
    <comment ref="AA213" authorId="0" shapeId="0" xr:uid="{625604F8-220D-490E-917D-570AA3C27A94}">
      <text>
        <r>
          <rPr>
            <sz val="9"/>
            <color indexed="81"/>
            <rFont val="Segoe UI"/>
            <family val="2"/>
          </rPr>
          <t xml:space="preserve">Devolução UAI4B92 07/11/2025 - Motivo: troca da quilometragem estava em 4500km e fizemos uma nova reserva para o veículo de 3000km, conforme procedimento da locadora
</t>
        </r>
      </text>
    </comment>
    <comment ref="AD213" authorId="0" shapeId="0" xr:uid="{33C762E2-DFFF-4524-A9C5-0FAA51D618F0}">
      <text>
        <r>
          <rPr>
            <b/>
            <sz val="9"/>
            <color indexed="81"/>
            <rFont val="Segoe UI"/>
            <family val="2"/>
          </rPr>
          <t>Administrativo2:</t>
        </r>
        <r>
          <rPr>
            <sz val="9"/>
            <color indexed="81"/>
            <rFont val="Segoe UI"/>
            <family val="2"/>
          </rPr>
          <t xml:space="preserve">
Uso particular QMZ5D58 Roberto - 17 a 21/04/2025
</t>
        </r>
      </text>
    </comment>
    <comment ref="F214" authorId="14" shapeId="0" xr:uid="{A7BEFBDD-15CD-464C-8A72-510B3FE5D11C}">
      <text>
        <t>[Comentário encadeado]
Sua versão do Excel permite que você leia este comentário encadeado, no entanto, as edições serão removidas se o arquivo for aberto em uma versão mais recente do Excel. Saiba mais: https://go.microsoft.com/fwlink/?linkid=870924
Comentário:
    TCU0B50 era do Robson Costa, mas ao sair do projeto em 10/04/2026 foi repassado para o Leandro, em 18/04/26 o veículo foi guinchado e o táxi para retirada do novo carro ficou agendado para o domingo 19/04/26 e a locação ocorreu por Wendel</t>
      </text>
    </comment>
    <comment ref="H214" authorId="15" shapeId="0" xr:uid="{0A3E6725-CA66-4D77-A50C-C2B9C3E8A85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Motivo da solicitação de guincho Argo TCU0B50: 
no final da tarde da segunda 14/04/26 o veículo apresentou barulho estranho oriundo do motor, foi realizada a lavagem do carro e na terça o carro passou o dia na oficina Lider Pneus (credenciada à Unidas) aguardando diagnostico e no dia seguinte o mecânico informou que o barulho é no motor e que precisaria abrir para entender se o problema é na corrente, mas lá eles não fazem o serviço e devido a suspeita, foi indicado a solicitação de guincho porque a locadora não tem outra oficina cadastrada na cidade. 
</t>
      </text>
    </comment>
    <comment ref="J214" authorId="0" shapeId="0" xr:uid="{E40A0C04-4024-4FC8-A1CC-1EE1262838E7}">
      <text>
        <r>
          <rPr>
            <b/>
            <sz val="9"/>
            <color indexed="81"/>
            <rFont val="Segoe UI"/>
            <family val="2"/>
          </rPr>
          <t>Instalado em 23/07/2025 na retirada do carro TCU0B50</t>
        </r>
        <r>
          <rPr>
            <sz val="9"/>
            <color indexed="81"/>
            <rFont val="Segoe UI"/>
            <family val="2"/>
          </rPr>
          <t xml:space="preserve">
TJA7B20 - telemetria Unidas 3s</t>
        </r>
      </text>
    </comment>
    <comment ref="O214" authorId="16" shapeId="0" xr:uid="{9150E1A0-87FD-43A6-B756-6B2E9588182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Guinchado 18/04/26 e taxi para retirada de novo veículo agendado para 19/04/2026.
Motivo da solicitação de guincho Argo TCU0B50: 
no final da tarde da segunda 14/04/26 o veículo apresentou barulho estranho oriundo do motor, foi realizada a lavagem do carro e na terça o carro passou o dia na oficina Lider Pneus (credenciada à Unidas) aguardando diagnostico e no dia seguinte o mecânico informou que o barulho é no motor e que precisaria abrir para entender se o problema é na corrente, mas lá eles não fazem o serviço e devido a suspeita, foi indicado a solicitação de guincho porque a locadora não tem outra oficina cadastrada na cidade. 
</t>
      </text>
    </comment>
    <comment ref="C215" authorId="0" shapeId="0" xr:uid="{93478219-A8FE-4C62-983B-5BFCDEA76425}">
      <text>
        <r>
          <rPr>
            <b/>
            <sz val="9"/>
            <color indexed="81"/>
            <rFont val="Segoe UI"/>
            <family val="2"/>
          </rPr>
          <t>Administrativo2:</t>
        </r>
        <r>
          <rPr>
            <sz val="9"/>
            <color indexed="81"/>
            <rFont val="Segoe UI"/>
            <family val="2"/>
          </rPr>
          <t xml:space="preserve">
O T-Cross SVW2F07 era da obra 24.008 CGN Russas do dia 14/10/2024 a 30/06/2025, a partir de 01/07/2025 o veículo e o profissional Felipe Silva iniciou na medição da obra 25.011  Eng. Do Proprietário Lapa CGN.
Obs: apesar do veículo e do Felipe Silva só iniciar na medição na obra CGN Lapa em 01/07/2025, o Felipe mobilizou para a cidade de Bom Jesus da Lapa BA desde 28/02/2025.</t>
        </r>
      </text>
    </comment>
    <comment ref="F215" authorId="0" shapeId="0" xr:uid="{FDFF4538-DE66-4605-B7D9-E17381C18A5F}">
      <text>
        <r>
          <rPr>
            <b/>
            <sz val="9"/>
            <color indexed="81"/>
            <rFont val="Segoe UI"/>
            <family val="2"/>
          </rPr>
          <t>Troca de Condutor:
de 14/10/2024 a 20/08/2025 o T-Cross SVW2F07 pertencia a Felipe Silva  e em 21/08/2025 o veículo foi transferido para Rogerio</t>
        </r>
        <r>
          <rPr>
            <sz val="9"/>
            <color indexed="81"/>
            <rFont val="Segoe UI"/>
            <family val="2"/>
          </rPr>
          <t xml:space="preserve">
</t>
        </r>
      </text>
    </comment>
    <comment ref="H215" authorId="0" shapeId="0" xr:uid="{9F548971-F051-4FF3-9B35-30BFFF32C710}">
      <text>
        <r>
          <rPr>
            <b/>
            <sz val="9"/>
            <color indexed="81"/>
            <rFont val="Segoe UI"/>
            <family val="2"/>
          </rPr>
          <t>Administrativo2:</t>
        </r>
        <r>
          <rPr>
            <sz val="9"/>
            <color indexed="81"/>
            <rFont val="Segoe UI"/>
            <family val="2"/>
          </rPr>
          <t xml:space="preserve">
O T-Cross SVW2F07 era da obra </t>
        </r>
        <r>
          <rPr>
            <b/>
            <sz val="9"/>
            <color indexed="81"/>
            <rFont val="Segoe UI"/>
            <family val="2"/>
          </rPr>
          <t xml:space="preserve">24.008 CGN Russas </t>
        </r>
        <r>
          <rPr>
            <sz val="9"/>
            <color indexed="81"/>
            <rFont val="Segoe UI"/>
            <family val="2"/>
          </rPr>
          <t xml:space="preserve">do dia 14/10/2024 a 30/06/2025, a partir de 01/07/2025 o veículo e o profissional Felipe Silva iniciou na medição da obra </t>
        </r>
        <r>
          <rPr>
            <b/>
            <sz val="9"/>
            <color indexed="81"/>
            <rFont val="Segoe UI"/>
            <family val="2"/>
          </rPr>
          <t xml:space="preserve">25.011  Eng. Do Proprietário Lapa CGN.
</t>
        </r>
        <r>
          <rPr>
            <sz val="9"/>
            <color indexed="81"/>
            <rFont val="Segoe UI"/>
            <family val="2"/>
          </rPr>
          <t xml:space="preserve">
Obs: apesar do veículo e do Felipe Silva só iniciar na medição na obra CGN Lapa em 01/07/2025, o Felipe mobilizou para a cidade de Bom Jesus da Lapa BA desde 28/02/2025.
A partir de 21/08/2025 entrou em medição na obra </t>
        </r>
        <r>
          <rPr>
            <b/>
            <sz val="9"/>
            <color indexed="81"/>
            <rFont val="Segoe UI"/>
            <family val="2"/>
          </rPr>
          <t>24.011 BackOffice de projetos CGN</t>
        </r>
        <r>
          <rPr>
            <sz val="9"/>
            <color indexed="81"/>
            <rFont val="Segoe UI"/>
            <family val="2"/>
          </rPr>
          <t xml:space="preserve">
</t>
        </r>
        <r>
          <rPr>
            <b/>
            <sz val="9"/>
            <color indexed="81"/>
            <rFont val="Segoe UI"/>
            <family val="2"/>
          </rPr>
          <t xml:space="preserve">SVW2F07 </t>
        </r>
        <r>
          <rPr>
            <sz val="9"/>
            <color indexed="81"/>
            <rFont val="Segoe UI"/>
            <family val="2"/>
          </rPr>
          <t>-</t>
        </r>
        <r>
          <rPr>
            <b/>
            <sz val="9"/>
            <color indexed="81"/>
            <rFont val="Segoe UI"/>
            <family val="2"/>
          </rPr>
          <t xml:space="preserve"> Devolvido em 14/11/2025</t>
        </r>
        <r>
          <rPr>
            <sz val="9"/>
            <color indexed="81"/>
            <rFont val="Segoe UI"/>
            <family val="2"/>
          </rPr>
          <t xml:space="preserve"> devido a necessidade de troca da quilometragem de 3000 para 4500km.</t>
        </r>
      </text>
    </comment>
    <comment ref="J215" authorId="0" shapeId="0" xr:uid="{74BB2E6B-5FC3-4463-9829-2301A3DB33EB}">
      <text>
        <r>
          <rPr>
            <b/>
            <sz val="9"/>
            <color indexed="81"/>
            <rFont val="Segoe UI"/>
            <family val="2"/>
          </rPr>
          <t>O rastreador do veículo SVW2F07 em 13/11/25 foi desinstalado e o mesmo equipamento foi instalado em 14/11/25 no veículo TEU0E62.</t>
        </r>
      </text>
    </comment>
    <comment ref="AD216" authorId="0" shapeId="0" xr:uid="{7EBCBD7C-45CF-4E4A-B69B-C7CD232AD727}">
      <text>
        <r>
          <rPr>
            <b/>
            <sz val="9"/>
            <color indexed="81"/>
            <rFont val="Segoe UI"/>
            <family val="2"/>
          </rPr>
          <t>Administrativo2:</t>
        </r>
        <r>
          <rPr>
            <sz val="9"/>
            <color indexed="81"/>
            <rFont val="Segoe UI"/>
            <family val="2"/>
          </rPr>
          <t xml:space="preserve">
Uso Particular TJR5F89 Ronieri 01 a 02/03/2025
</t>
        </r>
      </text>
    </comment>
    <comment ref="J217" authorId="0" shapeId="0" xr:uid="{A44AF755-A6DD-40E5-B513-C135D9CBE857}">
      <text>
        <r>
          <rPr>
            <b/>
            <sz val="9"/>
            <color indexed="81"/>
            <rFont val="Segoe UI"/>
            <family val="2"/>
          </rPr>
          <t>Instalado em 02/08/2025</t>
        </r>
        <r>
          <rPr>
            <sz val="9"/>
            <color indexed="81"/>
            <rFont val="Segoe UI"/>
            <family val="2"/>
          </rPr>
          <t xml:space="preserve">
</t>
        </r>
      </text>
    </comment>
    <comment ref="AA217" authorId="17" shapeId="0" xr:uid="{93B6D9CF-B20D-4F1B-A981-1FB152394636}">
      <text>
        <t>[Comentário encadeado]
Sua versão do Excel permite que você leia este comentário encadeado, no entanto, as edições serão removidas se o arquivo for aberto em uma versão mais recente do Excel. Saiba mais: https://go.microsoft.com/fwlink/?linkid=870924
Comentário:
    Devolvido devido a problema na caixa de machas - Oficina checkup de Irecê BA (agendado através do atendimento da locadora) informou que estava ainda na garantia e que não foi identificado através deles de que o problema foi decorrente a mau uso</t>
      </text>
    </comment>
    <comment ref="J218" authorId="0" shapeId="0" xr:uid="{CB8D1DBE-06B6-4C5F-B249-0B139DE0E271}">
      <text>
        <r>
          <rPr>
            <sz val="9"/>
            <color indexed="81"/>
            <rFont val="Segoe UI"/>
            <family val="2"/>
          </rPr>
          <t xml:space="preserve">
</t>
        </r>
        <r>
          <rPr>
            <b/>
            <sz val="9"/>
            <color indexed="81"/>
            <rFont val="Segoe UI"/>
            <family val="2"/>
          </rPr>
          <t>TEJ8H62</t>
        </r>
        <r>
          <rPr>
            <sz val="9"/>
            <color indexed="81"/>
            <rFont val="Segoe UI"/>
            <family val="2"/>
          </rPr>
          <t xml:space="preserve"> - Rastreador instalado 12/06/2025 (precisou aguardar ser enviado)
</t>
        </r>
        <r>
          <rPr>
            <b/>
            <sz val="9"/>
            <color indexed="81"/>
            <rFont val="Segoe UI"/>
            <family val="2"/>
          </rPr>
          <t>TEJ8H62 -</t>
        </r>
        <r>
          <rPr>
            <sz val="9"/>
            <color indexed="81"/>
            <rFont val="Segoe UI"/>
            <family val="2"/>
          </rPr>
          <t xml:space="preserve"> Ficou sem informação desde o inicio de julho/2025 e foi necessário enviar outro equipamento com chip “algar” que contempla as 3 operadoras tim, vivo e claro e reduz o risco de ocorrer falha de área.
</t>
        </r>
        <r>
          <rPr>
            <b/>
            <sz val="9"/>
            <color indexed="81"/>
            <rFont val="Segoe UI"/>
            <family val="2"/>
          </rPr>
          <t xml:space="preserve">TEJ8H62 - </t>
        </r>
        <r>
          <rPr>
            <sz val="9"/>
            <color indexed="81"/>
            <rFont val="Segoe UI"/>
            <family val="2"/>
          </rPr>
          <t>Novo equipamento chegou e foi instalado em 18/08/2025</t>
        </r>
      </text>
    </comment>
    <comment ref="J219" authorId="0" shapeId="0" xr:uid="{F8A7EC74-DFC5-4767-A0EC-257B145805EC}">
      <text>
        <r>
          <rPr>
            <b/>
            <sz val="9"/>
            <color indexed="81"/>
            <rFont val="Segoe UI"/>
            <family val="2"/>
          </rPr>
          <t>Rastreador instalado em 26/09/2025</t>
        </r>
        <r>
          <rPr>
            <sz val="9"/>
            <color indexed="81"/>
            <rFont val="Segoe UI"/>
            <family val="2"/>
          </rPr>
          <t xml:space="preserve">
</t>
        </r>
      </text>
    </comment>
    <comment ref="M219" authorId="0" shapeId="0" xr:uid="{7CFA8294-0711-40ED-8873-886FA01F27CB}">
      <text>
        <r>
          <rPr>
            <sz val="9"/>
            <color indexed="81"/>
            <rFont val="Segoe UI"/>
            <family val="2"/>
          </rPr>
          <t xml:space="preserve">S10 PVR4B99 - Teste de fumaça preta realizado em 15/09/2025.
S10 TEZ5D42 - Teste de fumaça preta realizado em 22/09/2025.
</t>
        </r>
      </text>
    </comment>
    <comment ref="F220" authorId="0" shapeId="0" xr:uid="{2E2CFD8E-E36A-41FF-9AE3-88F461904EB8}">
      <text>
        <r>
          <rPr>
            <sz val="9"/>
            <color indexed="81"/>
            <rFont val="Segoe UI"/>
            <family val="2"/>
          </rPr>
          <t xml:space="preserve">Creta SJE5D96 era utilizado por 25/07/2025, após este dia foi transferido para Washington.
</t>
        </r>
      </text>
    </comment>
    <comment ref="P220" authorId="0" shapeId="0" xr:uid="{999054FC-FB16-4D39-8A91-285FA4F9B68D}">
      <text>
        <r>
          <rPr>
            <b/>
            <sz val="9"/>
            <color indexed="81"/>
            <rFont val="Segoe UI"/>
            <family val="2"/>
          </rPr>
          <t xml:space="preserve">Laura:
</t>
        </r>
        <r>
          <rPr>
            <sz val="9"/>
            <color indexed="81"/>
            <rFont val="Segoe UI"/>
            <family val="2"/>
          </rPr>
          <t xml:space="preserve">Veículo SJE5D96 - no final da tarde da sexta-feira 25/07/2025 recebemos a informação da saída da Ana Caroline e ao invés de ser devolvido o carro dela foi  solicitado pela equipe HSS da obra para ser devolvido o de Washington e este Creta SJE5D96  foi transferido para Washington, o qual só o recebeu na segunda 28/07 porque na sexta a tarde Washington viajou para a sua residencia em Juazeiro BA e retornou as atividades na segunda.
</t>
        </r>
      </text>
    </comment>
    <comment ref="H221" authorId="18" shapeId="0" xr:uid="{8FFC8AFF-0C8F-42A0-92C7-55F489C97383}">
      <text>
        <t>[Comentário encadeado]
Sua versão do Excel permite que você leia este comentário encadeado, no entanto, as edições serão removidas se o arquivo for aberto em uma versão mais recente do Excel. Saiba mais: https://go.microsoft.com/fwlink/?linkid=870924
Comentário:
    DKU8J41 Devolução_Substituição 28/02/2026 - Veículo parou de funcionar, ascendia as luzes do painel mas não dava partida, a unidas enviou mecânico para dar recarga na bateria e não funcionou, precisou ser guinchado.</t>
      </text>
    </comment>
    <comment ref="F222" authorId="19" shapeId="0" xr:uid="{B2613222-3371-4F76-8C4F-DF455A3E5A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Locado por Wildson e transferido para Ubiratan
Responder:
    Troca de titularidade de Ubiratan para Ilo Hilton 08/05/2026 - Na desmobilização de Ubiratan em 08/05/26 o carro dele TJF8C34 ficou com Ilo Hilton por estar com km mais baixa e o de Ilo DHQ9H62 é que foi devolvido por estar acima de 60.000km.
</t>
      </text>
    </comment>
    <comment ref="J222" authorId="0" shapeId="0" xr:uid="{86FD8F96-36D0-410F-B284-4A8075D6E656}">
      <text>
        <r>
          <rPr>
            <b/>
            <sz val="9"/>
            <color indexed="81"/>
            <rFont val="Segoe UI"/>
            <family val="2"/>
          </rPr>
          <t>Polo TJF8C34 - rastreador instalado em 11/09/2025 com o técnico Adalberto em Natal.</t>
        </r>
        <r>
          <rPr>
            <sz val="9"/>
            <color indexed="81"/>
            <rFont val="Segoe UI"/>
            <family val="2"/>
          </rPr>
          <t xml:space="preserve">
</t>
        </r>
      </text>
    </comment>
    <comment ref="J223" authorId="0" shapeId="0" xr:uid="{61277251-479D-40DB-8708-77811D14A3B1}">
      <text>
        <r>
          <rPr>
            <sz val="9"/>
            <color indexed="81"/>
            <rFont val="Segoe UI"/>
            <family val="2"/>
          </rPr>
          <t xml:space="preserve">Rastreador instalado em 25/09/2025
</t>
        </r>
      </text>
    </comment>
    <comment ref="J225" authorId="0" shapeId="0" xr:uid="{A4B9ACE1-E365-447B-8A85-A6BDB2592D71}">
      <text>
        <r>
          <rPr>
            <sz val="9"/>
            <color indexed="81"/>
            <rFont val="Segoe UI"/>
            <family val="2"/>
          </rPr>
          <t xml:space="preserve">Rastreador instalado no mesmo dia da locação do veículo 22/09/2025
</t>
        </r>
      </text>
    </comment>
    <comment ref="J226" authorId="0" shapeId="0" xr:uid="{DDBCFD5D-F316-4A39-B0F9-D7E6D27ACCEC}">
      <text>
        <r>
          <rPr>
            <b/>
            <sz val="9"/>
            <color indexed="81"/>
            <rFont val="Segoe UI"/>
            <family val="2"/>
          </rPr>
          <t>S10 TDP1D97 - rastreador instalado 22/09/2025</t>
        </r>
        <r>
          <rPr>
            <sz val="9"/>
            <color indexed="81"/>
            <rFont val="Segoe UI"/>
            <family val="2"/>
          </rPr>
          <t xml:space="preserve">
</t>
        </r>
      </text>
    </comment>
    <comment ref="J227" authorId="0" shapeId="0" xr:uid="{AC81B824-58AD-44E1-890B-598F90140461}">
      <text>
        <r>
          <rPr>
            <sz val="9"/>
            <color indexed="81"/>
            <rFont val="Segoe UI"/>
            <family val="2"/>
          </rPr>
          <t xml:space="preserve">Instalado em 20/09/2025
</t>
        </r>
      </text>
    </comment>
    <comment ref="F228" authorId="20" shapeId="0" xr:uid="{8DEBE6C9-F9FE-4189-9826-3CDEF63F299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T-Cross SWH5H35 - Troca de condutor de Francisco Iranildo para Diego Parisio em 13/03/26 com 55.705km
</t>
      </text>
    </comment>
    <comment ref="J228" authorId="0" shapeId="0" xr:uid="{9B78F431-E231-4084-8F76-CBECE08229FC}">
      <text>
        <r>
          <rPr>
            <sz val="9"/>
            <color indexed="81"/>
            <rFont val="Segoe UI"/>
            <family val="2"/>
          </rPr>
          <t xml:space="preserve">Instalado em 22/09/2025
</t>
        </r>
      </text>
    </comment>
    <comment ref="AA228" authorId="21" shapeId="0" xr:uid="{96F750E3-D7CA-42B2-814B-D8F6DDCDEC5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Diego Parisio foi desmobilizado do projeto em 26/03/26 e o veículo permaneceu lá até a chegada do novo profissional.
Como não chegou o novo profissional o cliente informou que não estaria em medição e precisou devolver de imediato - Devolvido em 10/04/26 por Iranildo.
</t>
      </text>
    </comment>
    <comment ref="J229" authorId="0" shapeId="0" xr:uid="{74A92472-52C3-4292-8356-87081D2F73AC}">
      <text>
        <r>
          <rPr>
            <b/>
            <sz val="9"/>
            <color indexed="81"/>
            <rFont val="Segoe UI"/>
            <family val="2"/>
          </rPr>
          <t xml:space="preserve">TEL5C48 - </t>
        </r>
        <r>
          <rPr>
            <sz val="9"/>
            <color indexed="81"/>
            <rFont val="Segoe UI"/>
            <family val="2"/>
          </rPr>
          <t xml:space="preserve">rastreador instalado na locação do veículo 01/10/2025
</t>
        </r>
      </text>
    </comment>
    <comment ref="AB229" authorId="22" shapeId="0" xr:uid="{675A42A8-3B9A-4413-8768-DCEF48D582A7}">
      <text>
        <t>[Comentário encadeado]
Sua versão do Excel permite que você leia este comentário encadeado, no entanto, as edições serão removidas se o arquivo for aberto em uma versão mais recente do Excel. Saiba mais: https://go.microsoft.com/fwlink/?linkid=870924
Comentário:
    Alterado em março 2026, antes era 3000km</t>
      </text>
    </comment>
    <comment ref="F230" authorId="0" shapeId="0" xr:uid="{CFA123D9-B575-416C-8E8A-6028CC1273E0}">
      <text>
        <r>
          <rPr>
            <b/>
            <sz val="9"/>
            <color indexed="81"/>
            <rFont val="Segoe UI"/>
            <family val="2"/>
          </rPr>
          <t>Veículo Locado por Marcilio no sábado 11/10/2025 para ser repassado ao Ilo Hilton, que recebeu o carro DHQ9H62 na segunda-feira 13/10/2025.</t>
        </r>
      </text>
    </comment>
    <comment ref="J230" authorId="0" shapeId="0" xr:uid="{0976EAE4-141E-4F00-A70E-DDE31C9C5B65}">
      <text>
        <r>
          <rPr>
            <b/>
            <sz val="9"/>
            <color indexed="81"/>
            <rFont val="Segoe UI"/>
            <family val="2"/>
          </rPr>
          <t>Instalado em 11/10/2025 na retirada do veículo</t>
        </r>
        <r>
          <rPr>
            <sz val="9"/>
            <color indexed="81"/>
            <rFont val="Segoe UI"/>
            <family val="2"/>
          </rPr>
          <t xml:space="preserve">
</t>
        </r>
      </text>
    </comment>
    <comment ref="AA230" authorId="23" shapeId="0" xr:uid="{9CE3CAC4-58A0-4D5C-BB56-3A331E35B080}">
      <text>
        <t>[Comentário encadeado]
Sua versão do Excel permite que você leia este comentário encadeado, no entanto, as edições serão removidas se o arquivo for aberto em uma versão mais recente do Excel. Saiba mais: https://go.microsoft.com/fwlink/?linkid=870924
Comentário:
    Na desmobilização de Ubiratan em 08/05/26 o carro dele TJF8C34 ficou com Ilo Hilton por estar com km mais baixa e o de Ilo DHQ9H62 é que foi devolvido por estar acima de 60.000km.</t>
      </text>
    </comment>
    <comment ref="J231" authorId="0" shapeId="0" xr:uid="{28130FEC-46F0-4851-8F7A-C8FC527BA192}">
      <text>
        <r>
          <rPr>
            <b/>
            <sz val="9"/>
            <color indexed="81"/>
            <rFont val="Segoe UI"/>
            <family val="2"/>
          </rPr>
          <t>Instalado em 14/10/2025 na retirada do veículo TES3J51</t>
        </r>
        <r>
          <rPr>
            <sz val="9"/>
            <color indexed="81"/>
            <rFont val="Segoe UI"/>
            <family val="2"/>
          </rPr>
          <t xml:space="preserve">
</t>
        </r>
      </text>
    </comment>
    <comment ref="J232" authorId="0" shapeId="0" xr:uid="{2D824F0E-7239-4207-8D3C-F646ABDA43E8}">
      <text>
        <r>
          <rPr>
            <b/>
            <sz val="9"/>
            <color indexed="81"/>
            <rFont val="Segoe UI"/>
            <family val="2"/>
          </rPr>
          <t>TEU0F35 - Rastreador instalado em 13/10/2025</t>
        </r>
        <r>
          <rPr>
            <sz val="9"/>
            <color indexed="81"/>
            <rFont val="Segoe UI"/>
            <family val="2"/>
          </rPr>
          <t xml:space="preserve">
</t>
        </r>
      </text>
    </comment>
    <comment ref="AB232" authorId="24" shapeId="0" xr:uid="{55BC2B51-0447-448E-A714-7AC27498D969}">
      <text>
        <t>[Comentário encadeado]
Sua versão do Excel permite que você leia este comentário encadeado, no entanto, as edições serão removidas se o arquivo for aberto em uma versão mais recente do Excel. Saiba mais: https://go.microsoft.com/fwlink/?linkid=870924
Comentário:
    Alterado em março 2026, antes era 3000km</t>
      </text>
    </comment>
    <comment ref="J233" authorId="0" shapeId="0" xr:uid="{44C38055-A5C0-48D8-96E5-C16E8A625891}">
      <text>
        <r>
          <rPr>
            <b/>
            <sz val="9"/>
            <color indexed="81"/>
            <rFont val="Segoe UI"/>
            <family val="2"/>
          </rPr>
          <t>FJH3D91 - Rastreador instalado em 14/10/2025.</t>
        </r>
        <r>
          <rPr>
            <sz val="9"/>
            <color indexed="81"/>
            <rFont val="Segoe UI"/>
            <family val="2"/>
          </rPr>
          <t xml:space="preserve">
</t>
        </r>
      </text>
    </comment>
    <comment ref="J234" authorId="0" shapeId="0" xr:uid="{3B8FFF33-B6CA-49F2-A65A-6A26ED94BD5A}">
      <text>
        <r>
          <rPr>
            <b/>
            <sz val="9"/>
            <color indexed="81"/>
            <rFont val="Segoe UI"/>
            <family val="2"/>
          </rPr>
          <t>TEU0E76 - Rastreador instalado em 20/10/2025</t>
        </r>
        <r>
          <rPr>
            <sz val="9"/>
            <color indexed="81"/>
            <rFont val="Segoe UI"/>
            <family val="2"/>
          </rPr>
          <t xml:space="preserve">
</t>
        </r>
      </text>
    </comment>
    <comment ref="J235" authorId="0" shapeId="0" xr:uid="{7A61BC79-F054-4B61-9EAC-795C764B813C}">
      <text>
        <r>
          <rPr>
            <b/>
            <sz val="9"/>
            <color indexed="81"/>
            <rFont val="Segoe UI"/>
            <family val="2"/>
          </rPr>
          <t>Equipamento desinstalado do veículo TDQ6D38 e instalado no atual TDQ6I22 - 25/10/2025</t>
        </r>
        <r>
          <rPr>
            <sz val="9"/>
            <color indexed="81"/>
            <rFont val="Segoe UI"/>
            <family val="2"/>
          </rPr>
          <t xml:space="preserve">
</t>
        </r>
      </text>
    </comment>
    <comment ref="E236" authorId="0" shapeId="0" xr:uid="{2B4A34C4-70AD-4E52-A67A-BF8B87D78241}">
      <text>
        <r>
          <rPr>
            <sz val="9"/>
            <color indexed="81"/>
            <rFont val="Segoe UI"/>
            <family val="2"/>
          </rPr>
          <t xml:space="preserve">a programação correta seria a locação do veículo no dia 03/11, mas João alinhou com o cliente para retirar no domingo 02/11, a reserva do veículo foi agendada para 02/11 às 05:00h porque o João Carlos iria chegar de madrugada e não é autorizado dirigir após às 21h. Mas, por conta própria o João Carlos antecipou a retirada do veículo TDJ9D17 para o sábado 01/11/2025 às 23:00h.
</t>
        </r>
      </text>
    </comment>
    <comment ref="J236" authorId="0" shapeId="0" xr:uid="{5862BF7B-88DA-47BE-BF24-692514386304}">
      <text>
        <r>
          <rPr>
            <sz val="9"/>
            <color indexed="81"/>
            <rFont val="Segoe UI"/>
            <family val="2"/>
          </rPr>
          <t>GPS Instalado em 05/11/2025 - pois foi necessário enviar equipamento novo, o Antonio Willian ficou responsável por pegar o rastreador na segunda 03/11 mas houve imprevisto na passagem dele e só retirou o veículo no dia 04/11 a tarde, assim o João só recebeu o rastreador novo no dia 05/11.</t>
        </r>
      </text>
    </comment>
    <comment ref="J237" authorId="0" shapeId="0" xr:uid="{062704B1-9780-4E1B-83AC-14139016BDA3}">
      <text>
        <r>
          <rPr>
            <b/>
            <sz val="9"/>
            <color indexed="81"/>
            <rFont val="Segoe UI"/>
            <family val="2"/>
          </rPr>
          <t xml:space="preserve">GPS Instalado na retirada do veículo - técnico Alberto 04/11/2025
</t>
        </r>
        <r>
          <rPr>
            <sz val="9"/>
            <color indexed="81"/>
            <rFont val="Segoe UI"/>
            <family val="2"/>
          </rPr>
          <t xml:space="preserve">
</t>
        </r>
      </text>
    </comment>
    <comment ref="J238" authorId="0" shapeId="0" xr:uid="{0CFF4D8D-D3CB-460C-9C30-FFB59B8AAA41}">
      <text>
        <r>
          <rPr>
            <b/>
            <sz val="9"/>
            <color indexed="81"/>
            <rFont val="Segoe UI"/>
            <family val="2"/>
          </rPr>
          <t>GPS Instalado na retirada do veículo - técnico Alberto 06/11/2025</t>
        </r>
        <r>
          <rPr>
            <sz val="9"/>
            <color indexed="81"/>
            <rFont val="Segoe UI"/>
            <family val="2"/>
          </rPr>
          <t xml:space="preserve">
</t>
        </r>
      </text>
    </comment>
    <comment ref="J239" authorId="0" shapeId="0" xr:uid="{D0D77286-371F-4A5F-BFB2-09BC1BB174F4}">
      <text>
        <r>
          <rPr>
            <b/>
            <sz val="9"/>
            <color indexed="81"/>
            <rFont val="Segoe UI"/>
            <family val="2"/>
          </rPr>
          <t>GPS desinstalado da S10 UAI4B92 e instalado na Ranger TEU5B03 simultaneamento no dia 07/11/2025.</t>
        </r>
        <r>
          <rPr>
            <sz val="9"/>
            <color indexed="81"/>
            <rFont val="Segoe UI"/>
            <family val="2"/>
          </rPr>
          <t xml:space="preserve">
</t>
        </r>
      </text>
    </comment>
    <comment ref="J240" authorId="0" shapeId="0" xr:uid="{E9586E38-B3E2-470F-8143-8B79B47DA03B}">
      <text>
        <r>
          <rPr>
            <sz val="9"/>
            <color indexed="81"/>
            <rFont val="Segoe UI"/>
            <family val="2"/>
          </rPr>
          <t xml:space="preserve">GPS Instalado em 10/11/2025 na retirada do veículo
</t>
        </r>
      </text>
    </comment>
    <comment ref="AB240" authorId="25" shapeId="0" xr:uid="{574F4D13-5342-4D85-BBFF-2CE9CB084029}">
      <text>
        <t>[Comentário encadeado]
Sua versão do Excel permite que você leia este comentário encadeado, no entanto, as edições serão removidas se o arquivo for aberto em uma versão mais recente do Excel. Saiba mais: https://go.microsoft.com/fwlink/?linkid=870924
Comentário:
    Contratado 3000km e em 23/02/26 conferindo a planilha de medição identifiquei que está sendo associada mensalidade de 4500km, devido as necessidades do projeto RSH de alguns carros ultrapassarem 3000km iremos manter os 4500km.</t>
      </text>
    </comment>
    <comment ref="J241" authorId="0" shapeId="0" xr:uid="{867E1647-E723-4A4F-9615-6EBFB30FCA26}">
      <text>
        <r>
          <rPr>
            <sz val="9"/>
            <color indexed="81"/>
            <rFont val="Segoe UI"/>
            <family val="2"/>
          </rPr>
          <t xml:space="preserve">Equipamento de GPS desinstalado do veículo SVW2F07 em 13/11/25 e instalado no veículo TEU0E62 em 14/11/25
</t>
        </r>
      </text>
    </comment>
    <comment ref="J242" authorId="26" shapeId="0" xr:uid="{56D413C7-7AFC-4564-93E2-759BF5AF3B1E}">
      <text>
        <t>[Comentário encadeado]
Sua versão do Excel permite que você leia este comentário encadeado, no entanto, as edições serão removidas se o arquivo for aberto em uma versão mais recente do Excel. Saiba mais: https://go.microsoft.com/fwlink/?linkid=870924
Comentário:
    Instalado em 24/11/25</t>
      </text>
    </comment>
    <comment ref="J243" authorId="0" shapeId="0" xr:uid="{F5CA789D-47D1-43F1-AEC2-F26D825E2A7E}">
      <text>
        <r>
          <rPr>
            <b/>
            <sz val="9"/>
            <color indexed="81"/>
            <rFont val="Segoe UI"/>
            <family val="2"/>
          </rPr>
          <t xml:space="preserve">Instalado em 11/11/2025
</t>
        </r>
        <r>
          <rPr>
            <sz val="9"/>
            <color indexed="81"/>
            <rFont val="Segoe UI"/>
            <family val="2"/>
          </rPr>
          <t xml:space="preserve">
</t>
        </r>
      </text>
    </comment>
    <comment ref="H244" authorId="27" shapeId="0" xr:uid="{FEDC5CC1-2ED7-4F1C-AB70-98F0B5DD2145}">
      <text>
        <t>[Comentário encadeado]
Sua versão do Excel permite que você leia este comentário encadeado, no entanto, as edições serão removidas se o arquivo for aberto em uma versão mais recente do Excel. Saiba mais: https://go.microsoft.com/fwlink/?linkid=870924
Comentário:
    De 20 a 26/01/26 foi disponibilizado o veículo TR4 QFA7C17, enquanto a ASX GGM4J35 estava em manutenção de avarias.</t>
      </text>
    </comment>
    <comment ref="L244" authorId="0" shapeId="0" xr:uid="{A1A4E1EE-F31D-467D-98FC-8998A6946FDB}">
      <text>
        <r>
          <rPr>
            <sz val="9"/>
            <color indexed="81"/>
            <rFont val="Segoe UI"/>
            <family val="2"/>
          </rPr>
          <t xml:space="preserve">
Mitsubishi ASX Flex não utiliza diesel, apenas gasolina ou alcool</t>
        </r>
      </text>
    </comment>
    <comment ref="C245" authorId="28" shapeId="0" xr:uid="{B958D95B-C6B8-4B3C-B07F-40F36D96836F}">
      <text>
        <t>[Comentário encadeado]
Sua versão do Excel permite que você leia este comentário encadeado, no entanto, as edições serão removidas se o arquivo for aberto em uma versão mais recente do Excel. Saiba mais: https://go.microsoft.com/fwlink/?linkid=870924
Comentário:
    Até 15/06/26 veículo S10 TDA9S62 - Rogerio sendo medido pelo projeto 25.018 RSH Rio Solar Hybrid</t>
      </text>
    </comment>
    <comment ref="F245" authorId="29" shapeId="0" xr:uid="{B3B3946A-A3B3-4B2D-A18A-40170BC0356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S10 TDA9D62 41.584km - Rogerio Salustiano (25.018 RSH) devolveu o veículo na sede da Proyfe em 15/06/26 por orientação nossa, pois o veículo será utilizado por Tony Laboratorista para viagem programada 16 a 23/06/26 projeto 25016_Cisalhamento Direto – Cajazeiras-PB - Alya, como na locadora não tinha disponibilidade de veículo 4x4 para o período supracitado aproveitamos o veículo que o Rogerio já iria devolver neste dia 15/06/26.
</t>
      </text>
    </comment>
    <comment ref="J245" authorId="0" shapeId="0" xr:uid="{0E2FD7D9-3CE8-4DE5-A20C-7E31F64717E4}">
      <text>
        <r>
          <rPr>
            <sz val="9"/>
            <color indexed="81"/>
            <rFont val="Segoe UI"/>
            <family val="2"/>
          </rPr>
          <t xml:space="preserve">TDA9D62 - Instalado com Hugo da Recife GPS na locadora 04/12/2025
</t>
        </r>
      </text>
    </comment>
    <comment ref="J246" authorId="0" shapeId="0" xr:uid="{15460A3D-DBF5-4086-82D2-4D8DC8FCDD57}">
      <text>
        <r>
          <rPr>
            <b/>
            <sz val="9"/>
            <color indexed="81"/>
            <rFont val="Segoe UI"/>
            <family val="2"/>
          </rPr>
          <t>GPS Instalado no mesmo dia 09/12/25 com o técnico Joseildo de Lajes</t>
        </r>
        <r>
          <rPr>
            <sz val="9"/>
            <color indexed="81"/>
            <rFont val="Segoe UI"/>
            <family val="2"/>
          </rPr>
          <t xml:space="preserve">
</t>
        </r>
      </text>
    </comment>
    <comment ref="J247" authorId="0" shapeId="0" xr:uid="{B48B3295-A449-42F7-87A6-B9B14D8B56E7}">
      <text>
        <r>
          <rPr>
            <sz val="9"/>
            <color indexed="81"/>
            <rFont val="Segoe UI"/>
            <family val="2"/>
          </rPr>
          <t xml:space="preserve">Rastreador desinstalado do veículo Ranger e instalado no Creta em 05/01/2026
</t>
        </r>
      </text>
    </comment>
    <comment ref="J248" authorId="30" shapeId="0" xr:uid="{55092A39-01BE-4FE7-AC09-FA83D5B5BA05}">
      <text>
        <t>[Comentário encadeado]
Sua versão do Excel permite que você leia este comentário encadeado, no entanto, as edições serão removidas se o arquivo for aberto em uma versão mais recente do Excel. Saiba mais: https://go.microsoft.com/fwlink/?linkid=870924
Comentário:
    Instalado 20/01/26</t>
      </text>
    </comment>
    <comment ref="J249" authorId="31" shapeId="0" xr:uid="{81B0571D-3572-47E9-999B-9A066E80A351}">
      <text>
        <t>[Comentário encadeado]
Sua versão do Excel permite que você leia este comentário encadeado, no entanto, as edições serão removidas se o arquivo for aberto em uma versão mais recente do Excel. Saiba mais: https://go.microsoft.com/fwlink/?linkid=870924
Comentário:
    16/01/2026 - Rastreador dela estava com Eric que teve folga prolongada e por isso foi instalado depois.</t>
      </text>
    </comment>
    <comment ref="F250" authorId="32" shapeId="0" xr:uid="{E5FDD8C5-7AA3-4714-8F00-8B78D19AB857}">
      <text>
        <t>[Comentário encadeado]
Sua versão do Excel permite que você leia este comentário encadeado, no entanto, as edições serão removidas se o arquivo for aberto em uma versão mais recente do Excel. Saiba mais: https://go.microsoft.com/fwlink/?linkid=870924
Comentário:
    Locado por Tiago Gonçalves em 09/01/2026 e transferido para Wildson em 22/01/2026 com 19.700km</t>
      </text>
    </comment>
    <comment ref="F251" authorId="33" shapeId="0" xr:uid="{89C56715-3BDD-422C-8C24-7F5BA3D8BBF9}">
      <text>
        <t>[Comentário encadeado]
Sua versão do Excel permite que você leia este comentário encadeado, no entanto, as edições serão removidas se o arquivo for aberto em uma versão mais recente do Excel. Saiba mais: https://go.microsoft.com/fwlink/?linkid=870924
Comentário:
    Locado por Marcilio 10/01/26 e transferido para Rigoberto em 12/01/2026</t>
      </text>
    </comment>
    <comment ref="J253" authorId="34" shapeId="0" xr:uid="{076770A8-344D-490A-BDB3-F7CAA6BF950C}">
      <text>
        <t>[Comentário encadeado]
Sua versão do Excel permite que você leia este comentário encadeado, no entanto, as edições serão removidas se o arquivo for aberto em uma versão mais recente do Excel. Saiba mais: https://go.microsoft.com/fwlink/?linkid=870924
Comentário:
    19/01/2026</t>
      </text>
    </comment>
    <comment ref="F254" authorId="35" shapeId="0" xr:uid="{98E6EDE6-D437-452F-A40D-8274FAFD3980}">
      <text>
        <t>[Comentário encadeado]
Sua versão do Excel permite que você leia este comentário encadeado, no entanto, as edições serão removidas se o arquivo for aberto em uma versão mais recente do Excel. Saiba mais: https://go.microsoft.com/fwlink/?linkid=870924
Comentário:
    Veículo era de Eider Breno e foi devolvido em 31/01/2026 por Marcilio - seria retirado um novo veículo porém foi locado novamente o mesmo carro na mesma data, devido a indisponibilidade de outros veículos com km baixa, os demais estavam acima de 50.000km.
 - Marcilio transferiu para Mizael em 08/02/2026</t>
      </text>
    </comment>
    <comment ref="J254" authorId="36" shapeId="0" xr:uid="{7C36F89E-568D-48D2-8525-964B015E63F1}">
      <text>
        <t>[Comentário encadeado]
Sua versão do Excel permite que você leia este comentário encadeado, no entanto, as edições serão removidas se o arquivo for aberto em uma versão mais recente do Excel. Saiba mais: https://go.microsoft.com/fwlink/?linkid=870924
Comentário:
    Instalado 31/01/2026</t>
      </text>
    </comment>
    <comment ref="J255" authorId="37" shapeId="0" xr:uid="{7FF6A931-4F24-44A7-A4E3-D97C44A35A9B}">
      <text>
        <t>[Comentário encadeado]
Sua versão do Excel permite que você leia este comentário encadeado, no entanto, as edições serão removidas se o arquivo for aberto em uma versão mais recente do Excel. Saiba mais: https://go.microsoft.com/fwlink/?linkid=870924
Comentário:
    Instalação realizada em 03/02/26 - técnico Rene Juazeiro BA</t>
      </text>
    </comment>
    <comment ref="AB255" authorId="38" shapeId="0" xr:uid="{46193DD8-50D2-4640-AF15-1854AAD7FB5E}">
      <text>
        <t>[Comentário encadeado]
Sua versão do Excel permite que você leia este comentário encadeado, no entanto, as edições serão removidas se o arquivo for aberto em uma versão mais recente do Excel. Saiba mais: https://go.microsoft.com/fwlink/?linkid=870924
Comentário:
    Jaqueline solicitou esta quilometragem devido a previsão do Cleberson precisar rodar muito em campo e se deslocar a outros locais</t>
      </text>
    </comment>
    <comment ref="J256" authorId="39" shapeId="0" xr:uid="{C8765792-8908-4AA0-A5EE-1649D061CDB2}">
      <text>
        <t>[Comentário encadeado]
Sua versão do Excel permite que você leia este comentário encadeado, no entanto, as edições serão removidas se o arquivo for aberto em uma versão mais recente do Excel. Saiba mais: https://go.microsoft.com/fwlink/?linkid=870924
Comentário:
    Testando telemetria Unidas</t>
      </text>
    </comment>
    <comment ref="N257" authorId="40" shapeId="0" xr:uid="{50C1FEAB-AF53-4168-ACA0-BCF27F98AC33}">
      <text>
        <t>[Comentário encadeado]
Sua versão do Excel permite que você leia este comentário encadeado, no entanto, as edições serão removidas se o arquivo for aberto em uma versão mais recente do Excel. Saiba mais: https://go.microsoft.com/fwlink/?linkid=870924
Comentário:
    Carro locado da proprietária, não é locadora.</t>
      </text>
    </comment>
    <comment ref="J258" authorId="41" shapeId="0" xr:uid="{124C10E6-B8DB-42EA-93E7-4C115D5EB713}">
      <text>
        <t>[Comentário encadeado]
Sua versão do Excel permite que você leia este comentário encadeado, no entanto, as edições serão removidas se o arquivo for aberto em uma versão mais recente do Excel. Saiba mais: https://go.microsoft.com/fwlink/?linkid=870924
Comentário:
    Telemetria Recife GPS</t>
      </text>
    </comment>
    <comment ref="J259" authorId="42" shapeId="0" xr:uid="{7A104DF7-195A-426A-91F9-6D4214CAF8C9}">
      <text>
        <t>[Comentário encadeado]
Sua versão do Excel permite que você leia este comentário encadeado, no entanto, as edições serão removidas se o arquivo for aberto em uma versão mais recente do Excel. Saiba mais: https://go.microsoft.com/fwlink/?linkid=870924
Comentário:
    Telemetria Localiza</t>
      </text>
    </comment>
    <comment ref="J260" authorId="43" shapeId="0" xr:uid="{590FB05C-9EB5-41C2-8076-F35C6B701004}">
      <text>
        <t>[Comentário encadeado]
Sua versão do Excel permite que você leia este comentário encadeado, no entanto, as edições serão removidas se o arquivo for aberto em uma versão mais recente do Excel. Saiba mais: https://go.microsoft.com/fwlink/?linkid=870924
Comentário:
    Telemetria Unidas</t>
      </text>
    </comment>
    <comment ref="J261" authorId="44" shapeId="0" xr:uid="{DD7EE425-2CE8-427D-A125-560EC5F9BE48}">
      <text>
        <t>[Comentário encadeado]
Sua versão do Excel permite que você leia este comentário encadeado, no entanto, as edições serão removidas se o arquivo for aberto em uma versão mais recente do Excel. Saiba mais: https://go.microsoft.com/fwlink/?linkid=870924
Comentário:
    Telemetria Unidas</t>
      </text>
    </comment>
    <comment ref="N262" authorId="45" shapeId="0" xr:uid="{F79B387B-A36C-493A-BC1F-4FBD4B533F1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Carro locado do proprietário, não é locadora.
</t>
      </text>
    </comment>
    <comment ref="F263" authorId="46" shapeId="0" xr:uid="{4CA3B387-5040-4260-BB50-2ECA44FF4207}">
      <text>
        <t>[Comentário encadeado]
Sua versão do Excel permite que você leia este comentário encadeado, no entanto, as edições serão removidas se o arquivo for aberto em uma versão mais recente do Excel. Saiba mais: https://go.microsoft.com/fwlink/?linkid=870924
Comentário:
    Veículo Polo EWF6F13 locado por Bruno, porque o Eduardo possui impedimento na Unidas (ao Bruno foi justificado como uma questão de logística) - Eduardo recebeu o carro em 01/04/26</t>
      </text>
    </comment>
    <comment ref="J263" authorId="47" shapeId="0" xr:uid="{5F53D230-E5C7-43C2-B987-4A185A8C4FB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Telemetria Unidas
</t>
      </text>
    </comment>
    <comment ref="H264" authorId="48" shapeId="0" xr:uid="{F54D3303-B396-46A4-B47F-DF70980DBF28}">
      <text>
        <t>[Comentário encadeado]
Sua versão do Excel permite que você leia este comentário encadeado, no entanto, as edições serão removidas se o arquivo for aberto em uma versão mais recente do Excel. Saiba mais: https://go.microsoft.com/fwlink/?linkid=870924
Comentário:
    Reservado o Grupo J - 3000km R$7.553,00 e ao chegar lá o carro estava precisando de revisão, troca de pneu e foi disponibilizado Toro TEBIJ42 que está no grupo TT com mensalidade R$6.049,13. A substituição para a caminhonete S10 PVR4B99 só foi realizada em 11/04/26 - 7 diárias, solicitar desconto R$1.762,40</t>
      </text>
    </comment>
    <comment ref="J264" authorId="49" shapeId="0" xr:uid="{8EE7DE61-BE71-4FD1-99D6-9C4F08FF31D6}">
      <text>
        <t>[Comentário encadeado]
Sua versão do Excel permite que você leia este comentário encadeado, no entanto, as edições serão removidas se o arquivo for aberto em uma versão mais recente do Excel. Saiba mais: https://go.microsoft.com/fwlink/?linkid=870924
Comentário:
    Toro TEB1J42 - Telemetria Unidas
Responder:
    S10 PVR4B92 - Telemetria Unidas</t>
      </text>
    </comment>
    <comment ref="M264" authorId="50" shapeId="0" xr:uid="{39EEF479-6431-4880-AE87-3610A54B9AE8}">
      <text>
        <t>[Comentário encadeado]
Sua versão do Excel permite que você leia este comentário encadeado, no entanto, as edições serão removidas se o arquivo for aberto em uma versão mais recente do Excel. Saiba mais: https://go.microsoft.com/fwlink/?linkid=870924
Comentário:
    S10 PVR4B99 - 11/04/2026</t>
      </text>
    </comment>
    <comment ref="J265" authorId="51" shapeId="0" xr:uid="{0ED78D23-07A5-4090-BF41-A1CFA883730E}">
      <text>
        <t>[Comentário encadeado]
Sua versão do Excel permite que você leia este comentário encadeado, no entanto, as edições serão removidas se o arquivo for aberto em uma versão mais recente do Excel. Saiba mais: https://go.microsoft.com/fwlink/?linkid=870924
Comentário:
    Telemetria Unidas - 3S</t>
      </text>
    </comment>
    <comment ref="J266" authorId="52" shapeId="0" xr:uid="{D3BA6C45-E1F8-4F48-A76F-38F17A41B378}">
      <text>
        <t>[Comentário encadeado]
Sua versão do Excel permite que você leia este comentário encadeado, no entanto, as edições serão removidas se o arquivo for aberto em uma versão mais recente do Excel. Saiba mais: https://go.microsoft.com/fwlink/?linkid=870924
Comentário:
    Telemetria Unidas - 3S</t>
      </text>
    </comment>
    <comment ref="J267" authorId="53" shapeId="0" xr:uid="{85C329A4-DDB1-4318-9C9F-F6B25A832AE3}">
      <text>
        <t>[Comentário encadeado]
Sua versão do Excel permite que você leia este comentário encadeado, no entanto, as edições serão removidas se o arquivo for aberto em uma versão mais recente do Excel. Saiba mais: https://go.microsoft.com/fwlink/?linkid=870924
Comentário:
    Telemetria Unidas - 3S</t>
      </text>
    </comment>
    <comment ref="J268" authorId="54" shapeId="0" xr:uid="{265E30D1-FA64-40D6-A2FE-36EC8E2B4F1C}">
      <text>
        <t>[Comentário encadeado]
Sua versão do Excel permite que você leia este comentário encadeado, no entanto, as edições serão removidas se o arquivo for aberto em uma versão mais recente do Excel. Saiba mais: https://go.microsoft.com/fwlink/?linkid=870924
Comentário:
    Telemetria Unidas - 3S</t>
      </text>
    </comment>
    <comment ref="H269" authorId="55" shapeId="0" xr:uid="{51911419-1D48-4357-B095-46200205BA1B}">
      <text>
        <t>[Comentário encadeado]
Sua versão do Excel permite que você leia este comentário encadeado, no entanto, as edições serão removidas se o arquivo for aberto em uma versão mais recente do Excel. Saiba mais: https://go.microsoft.com/fwlink/?linkid=870924
Comentário:
    Realizada a reserva do grupo B e ao chegar na loja não tinha o carro, então foi disponibilizado provisoriamente o Polo UEK4H95 do grupo EA.</t>
      </text>
    </comment>
    <comment ref="J270" authorId="56" shapeId="0" xr:uid="{896C2B40-530A-468F-B09A-925326A4F2F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Telemetria Unidas
</t>
      </text>
    </comment>
    <comment ref="D271" authorId="57" shapeId="0" xr:uid="{99816EBE-7492-4D50-A1CB-A37A84217B48}">
      <text>
        <t>[Comentário encadeado]
Sua versão do Excel permite que você leia este comentário encadeado, no entanto, as edições serão removidas se o arquivo for aberto em uma versão mais recente do Excel. Saiba mais: https://go.microsoft.com/fwlink/?linkid=870924
Comentário:
    24.024 UFV RIACHO - ATÉ 04/05/26 O VEÍCULO ARGO TCY1C84 - UALACE ERA DO PROJETO RIACHO
Responder:
    A partir de 04/05/26 o veículo TCY1C84 está sendo medido no projeto 25.031 - Filtro Harmõnico</t>
      </text>
    </comment>
    <comment ref="H271" authorId="58" shapeId="0" xr:uid="{CE312DA4-17EB-430D-A9D3-FD5FD77EDE7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24.024 UFV RIACHO - ATÉ 04/05/26 O VEÍCULO ARGO TCY1C84 - UALACE ERA DO PROJETO RIACHO
Responder:
    A partir de 04/05/26 o veículo TCY1C84 está sendo medido no projeto 25.031 - Filtro Harmõnico
</t>
      </text>
    </comment>
    <comment ref="J271" authorId="59" shapeId="0" xr:uid="{28C0BAC5-3A0B-4876-9A6F-5F4E9119E46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Telemetria Unidas
</t>
      </text>
    </comment>
    <comment ref="F272" authorId="60" shapeId="0" xr:uid="{68645099-3E6D-41BC-AA80-9DC95C316F77}">
      <text>
        <t>[Comentário encadeado]
Sua versão do Excel permite que você leia este comentário encadeado, no entanto, as edições serão removidas se o arquivo for aberto em uma versão mais recente do Excel. Saiba mais: https://go.microsoft.com/fwlink/?linkid=870924
Comentário:
    Condutor anterior era o Wendel, mas na desmobilização dele em 22/05/26 o veículo foi repassado para o Leandro Mattos - comunicado a equipe de Frotas na segunda 25/05/26</t>
      </text>
    </comment>
    <comment ref="J272" authorId="61" shapeId="0" xr:uid="{097A9749-D442-46B3-8CA8-400A580978B4}">
      <text>
        <t>[Comentário encadeado]
Sua versão do Excel permite que você leia este comentário encadeado, no entanto, as edições serão removidas se o arquivo for aberto em uma versão mais recente do Excel. Saiba mais: https://go.microsoft.com/fwlink/?linkid=870924
Comentário:
    Unidas 3s</t>
      </text>
    </comment>
    <comment ref="J273" authorId="62" shapeId="0" xr:uid="{1F23B199-0BCB-46C3-837E-CE76AF258278}">
      <text>
        <t>[Comentário encadeado]
Sua versão do Excel permite que você leia este comentário encadeado, no entanto, as edições serão removidas se o arquivo for aberto em uma versão mais recente do Excel. Saiba mais: https://go.microsoft.com/fwlink/?linkid=870924
Comentário:
    Unidas - 3s</t>
      </text>
    </comment>
    <comment ref="H274" authorId="63" shapeId="0" xr:uid="{25E46B60-C967-4B17-BA15-83A304DFD68F}">
      <text>
        <t>[Comentário encadeado]
Sua versão do Excel permite que você leia este comentário encadeado, no entanto, as edições serão removidas se o arquivo for aberto em uma versão mais recente do Excel. Saiba mais: https://go.microsoft.com/fwlink/?linkid=870924
Comentário:
    Após locação no caminho para o projeto, Gideoni identificou que o ar-condicionado não estava funcionando e no final da tarde ele retornou na loja para fazer a substituição.</t>
      </text>
    </comment>
    <comment ref="J274" authorId="64" shapeId="0" xr:uid="{4DBAFC71-2EAE-4E7E-96CD-BF1B831DCE95}">
      <text>
        <t>[Comentário encadeado]
Sua versão do Excel permite que você leia este comentário encadeado, no entanto, as edições serão removidas se o arquivo for aberto em uma versão mais recente do Excel. Saiba mais: https://go.microsoft.com/fwlink/?linkid=870924
Comentário:
    Unidas - 3s TJU3G71</t>
      </text>
    </comment>
    <comment ref="J275" authorId="65" shapeId="0" xr:uid="{CBA38FD3-AB19-49A0-8FA5-68F6002B8F1B}">
      <text>
        <t>[Comentário encadeado]
Sua versão do Excel permite que você leia este comentário encadeado, no entanto, as edições serão removidas se o arquivo for aberto em uma versão mais recente do Excel. Saiba mais: https://go.microsoft.com/fwlink/?linkid=870924
Comentário:
    Recife GPS 24/05/26 - SOLICITAR UNIDAS</t>
      </text>
    </comment>
    <comment ref="J276" authorId="66" shapeId="0" xr:uid="{38D8914D-D0CB-4120-85FA-3C235A515D17}">
      <text>
        <t>[Comentário encadeado]
Sua versão do Excel permite que você leia este comentário encadeado, no entanto, as edições serão removidas se o arquivo for aberto em uma versão mais recente do Excel. Saiba mais: https://go.microsoft.com/fwlink/?linkid=870924
Comentário:
    Recife GPS 25/05/26 - SOLICITAR UNIDAS</t>
      </text>
    </comment>
    <comment ref="I277" authorId="67" shapeId="0" xr:uid="{F35CCE4A-8BC5-4194-8E82-4EFA2C3A6786}">
      <text>
        <t>[Comentário encadeado]
Sua versão do Excel permite que você leia este comentário encadeado, no entanto, as edições serão removidas se o arquivo for aberto em uma versão mais recente do Excel. Saiba mais: https://go.microsoft.com/fwlink/?linkid=870924
Comentário:
    O Carro é SUV mas na medição do cliente será considerado o valor de veículo passeio, que foi o que eles solicitaram locar para ela. Mas, devido a algumas exigência de veículo que a Marcia precisava foi visto que o ideal seria locar o veículo particular dela que já seria o mais apropriado, sendo que o carro é T-Cross mas negociamos para pagar o valor mensal R$2.600,00 - na Unidas o veículo passeio de 3000km custa R$2.606,00</t>
      </text>
    </comment>
    <comment ref="AA277" authorId="68" shapeId="0" xr:uid="{7926DE9F-7571-44F2-96D2-E66026FF687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Ultimo dia de Marcia no projeto foi 05/06/2026 e na segunda 08/06 ela comunicou a saída dela. </t>
      </text>
    </comment>
    <comment ref="H281" authorId="69" shapeId="0" xr:uid="{4A88859E-90E2-42E9-A2E3-7392F0324C4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 04 a 05/06/26  foi disponibilizado o veículo TR4 QFA7C17, enquanto a ASX GGM4J35 estava em manutenção.
Responder:
Gostaria de registrar algumas observações identificadas durante a utilização do veículo:
O veículo encontra-se sem o documento referente ao exercício de 2026, no ato da retirada fui informado que tinha, mas no modelo pdf. 
A solicitação do pdf já foi realizada ao proprietário da locadora, porém, até o momento deste e-mail, não obtive retorno.
Foram identificados alguns pontos de ferrugem na lataria, ficando registrado apenas para acompanhamento.
Foi identificado problema no sistema de som do veículo, apresentando áudio excessivamente agudo, mesmo após tentativas de equalização.
A entrada USB/pendrive não está funcionando, impossibilitando a utilização de mídia externa. 
Em alguns momentos também não é possível conectar via Bluetooth.
Foi identificado problema no sistema de ar-condicionado. 
O equipamento demora para atingir uma temperatura adequada e não alcança o nível de refrigeração indicado no painel de controle. 
Considerando as altas temperaturas da região, que podem ultrapassar os 40°C, essa situação impacta diretamente no conforto e na utilização do veículo.
Durante a condução, observei demora na resposta da aceleração. 
Em alguns momentos, ao pressionar o acelerador, o veículo responde de forma tardia e com arrancada brusca, situação que pode gerar risco à segurança e ocasionar acidentes.
Ao esterçar o volante, é possível ouvir um estalo na parte mecânica, havendo a possibilidade de estar relacionado ao sistema da homocinética ou outro componente da suspensão/direção.
Diante das situações apresentadas, irei verificar junto à locadora a possibilidade de substituição do veículo. Solicito, por gentileza, o apoio de vocês na avaliação e tratativa dessa solicitação, pois alguns pontos identificados estão fora das condições adequadas de utilização e segurança.
</t>
      </text>
    </comment>
    <comment ref="L281" authorId="0" shapeId="0" xr:uid="{F9F1696E-B561-420D-920A-DADE58960E26}">
      <text>
        <r>
          <rPr>
            <sz val="9"/>
            <color indexed="81"/>
            <rFont val="Segoe UI"/>
            <family val="2"/>
          </rPr>
          <t xml:space="preserve">
Mitsubishi ASX Flex não utiliza diesel, apenas gasolina ou alcool</t>
        </r>
      </text>
    </comment>
    <comment ref="J282" authorId="0" shapeId="0" xr:uid="{54E7EA4E-B31A-41DE-B7E8-A84271A706C7}">
      <text>
        <r>
          <rPr>
            <sz val="9"/>
            <color indexed="81"/>
            <rFont val="Segoe UI"/>
            <family val="2"/>
          </rPr>
          <t xml:space="preserve">este veículo anteriormente era utilizado por Marcelo, na devolução o Rhuan locou o mesmo por estar em boas condições e km baixa.
08/06/26 Foi desinstalado o ratsreador Recife GPS e manteve apenas a telemetria da Unidas - 3S
</t>
        </r>
      </text>
    </comment>
    <comment ref="J283" authorId="70" shapeId="0" xr:uid="{D3120A53-6EC8-4C30-8E27-15FCB6E92935}">
      <text>
        <t>[Comentário encadeado]
Sua versão do Excel permite que você leia este comentário encadeado, no entanto, as edições serão removidas se o arquivo for aberto em uma versão mais recente do Excel. Saiba mais: https://go.microsoft.com/fwlink/?linkid=870924
Comentário:
    Recife GPS - INSTALADO 09/06/26</t>
      </text>
    </comment>
    <comment ref="F285" authorId="71" shapeId="0" xr:uid="{66122591-41EE-476B-91D5-09766553E026}">
      <text>
        <t>[Comentário encadeado]
Sua versão do Excel permite que você leia este comentário encadeado, no entanto, as edições serão removidas se o arquivo for aberto em uma versão mais recente do Excel. Saiba mais: https://go.microsoft.com/fwlink/?linkid=870924
Comentário:
    Veículo locado por Alain em 06/06/26 e ao chegar no projeto o Leandro solicitou que seja repassado para a Helen 09/06/2026</t>
      </text>
    </comment>
    <comment ref="J285" authorId="72" shapeId="0" xr:uid="{2FF5AC1A-EC47-4E68-8D47-3A0DCCC3D6B5}">
      <text>
        <t>[Comentário encadeado]
Sua versão do Excel permite que você leia este comentário encadeado, no entanto, as edições serão removidas se o arquivo for aberto em uma versão mais recente do Excel. Saiba mais: https://go.microsoft.com/fwlink/?linkid=870924
Comentário:
    Unidas - 3s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Administrativo2</author>
    <author>tc={DE551511-8A8F-4F18-B991-5B447D2E6EDD}</author>
    <author>tc={43197F48-A546-4D23-A919-6C2297B7256F}</author>
    <author>tc={FD004A71-F3C2-4AB7-A46D-BBEFF694886B}</author>
    <author>tc={81800A2C-46EA-47A5-A401-B663D0003018}</author>
    <author>tc={6B137B78-BC46-415D-AC56-BEFF05D7F611}</author>
    <author>tc={2D8C1B3E-BEBD-4512-BF3E-C88A1C66E82A}</author>
    <author>tc={042CCDC4-AE2E-44C9-8A4F-3D2C04D3F93C}</author>
    <author>tc={E9F7D332-67EF-462C-9160-9BB560AB4E49}</author>
    <author>tc={346055E8-A3CF-4840-9C28-9D6C4D7F6EB0}</author>
    <author>tc={5E068A19-FEE2-4A9B-8E31-8B3C2D0978E6}</author>
    <author>tc={01446C18-C6A4-448C-AA5E-92FCEA2803A5}</author>
    <author>tc={E2189709-6293-4AA7-A543-FE0637BE9032}</author>
    <author>tc={703E6F1A-4BBF-4574-B6C1-B7AB97A4A255}</author>
    <author>tc={A3755630-5D65-422B-80F5-8F631209F98E}</author>
    <author>tc={84E4DF98-D0DB-43F0-AE75-170268F03200}</author>
    <author>tc={C4352BD9-6877-42D2-85FE-A9AC803A8BB6}</author>
    <author>tc={2D3ABF99-E499-45A6-9F5E-4A57FE9E1052}</author>
    <author>tc={2314F3E0-A6D8-4F0A-B890-AD42F1AB5AEE}</author>
    <author>tc={09613E59-25D7-47F4-92FB-BE7A4A42E167}</author>
    <author>tc={2C68119B-E300-41B3-918A-FA1A500C8F81}</author>
    <author>tc={6321B9D3-2C14-4FCA-B57D-7133D6EE13D0}</author>
    <author>tc={F942DF2A-EED7-4C03-93C1-F4BA9131CA36}</author>
    <author>tc={95A54046-5353-4BB9-AD51-186A41A331CB}</author>
    <author>tc={16EDB0B5-3370-4039-A887-2475E1AD3799}</author>
    <author>tc={25E5C359-DF83-4183-A121-2EABC16483AD}</author>
    <author>tc={3627B0E1-13BD-49B4-85D7-595CBCBC8B58}</author>
    <author>tc={3D220C26-FE94-4DEA-AFDD-8A7215C2AE13}</author>
    <author>tc={156476EA-ADC0-4330-9AA4-5B97837FB5B9}</author>
  </authors>
  <commentList>
    <comment ref="F5" authorId="0" shapeId="0" xr:uid="{BD4375E4-2918-4B61-BFBD-9E46CD6C9714}">
      <text>
        <r>
          <rPr>
            <sz val="9"/>
            <color indexed="81"/>
            <rFont val="Segoe UI"/>
            <family val="2"/>
          </rPr>
          <t xml:space="preserve">
</t>
        </r>
        <r>
          <rPr>
            <b/>
            <sz val="9"/>
            <color indexed="81"/>
            <rFont val="Segoe UI"/>
            <family val="2"/>
          </rPr>
          <t>Tcross FZP1E71:</t>
        </r>
        <r>
          <rPr>
            <sz val="9"/>
            <color indexed="81"/>
            <rFont val="Segoe UI"/>
            <family val="2"/>
          </rPr>
          <t xml:space="preserve"> 08/02 - 9334KM a 09/02/25 - 9676km - </t>
        </r>
        <r>
          <rPr>
            <b/>
            <sz val="9"/>
            <color indexed="81"/>
            <rFont val="Segoe UI"/>
            <family val="2"/>
          </rPr>
          <t>Utilizado 342km</t>
        </r>
        <r>
          <rPr>
            <sz val="9"/>
            <color indexed="81"/>
            <rFont val="Segoe UI"/>
            <family val="2"/>
          </rPr>
          <t xml:space="preserve">
</t>
        </r>
        <r>
          <rPr>
            <b/>
            <sz val="9"/>
            <color indexed="81"/>
            <rFont val="Segoe UI"/>
            <family val="2"/>
          </rPr>
          <t>Isaac:</t>
        </r>
        <r>
          <rPr>
            <sz val="9"/>
            <color indexed="81"/>
            <rFont val="Segoe UI"/>
            <family val="2"/>
          </rPr>
          <t xml:space="preserve"> 23/06/25 15.993km - 26/06/2025 17.064km - </t>
        </r>
        <r>
          <rPr>
            <b/>
            <sz val="9"/>
            <color indexed="81"/>
            <rFont val="Segoe UI"/>
            <family val="2"/>
          </rPr>
          <t>Utilizado 1071km</t>
        </r>
        <r>
          <rPr>
            <sz val="9"/>
            <color indexed="81"/>
            <rFont val="Segoe UI"/>
            <family val="2"/>
          </rPr>
          <t xml:space="preserve">
</t>
        </r>
        <r>
          <rPr>
            <b/>
            <sz val="9"/>
            <color indexed="81"/>
            <rFont val="Segoe UI"/>
            <family val="2"/>
          </rPr>
          <t>Isaac:</t>
        </r>
        <r>
          <rPr>
            <sz val="9"/>
            <color indexed="81"/>
            <rFont val="Segoe UI"/>
            <family val="2"/>
          </rPr>
          <t xml:space="preserve"> 31/10 24.436km - 02/11/25 25.151km - </t>
        </r>
        <r>
          <rPr>
            <b/>
            <sz val="9"/>
            <color indexed="81"/>
            <rFont val="Segoe UI"/>
            <family val="2"/>
          </rPr>
          <t xml:space="preserve">Utilizado 715km </t>
        </r>
        <r>
          <rPr>
            <sz val="9"/>
            <color indexed="81"/>
            <rFont val="Segoe UI"/>
            <family val="2"/>
          </rPr>
          <t xml:space="preserve">Belo Horizonte MG X Pirapora MG
Isaac: 16/01 27.776km a 19/01/26 (pendente envio de retorno - férias Laura)
</t>
        </r>
        <r>
          <rPr>
            <b/>
            <sz val="9"/>
            <color indexed="81"/>
            <rFont val="Segoe UI"/>
            <family val="2"/>
          </rPr>
          <t xml:space="preserve">Isaac: </t>
        </r>
        <r>
          <rPr>
            <sz val="9"/>
            <color indexed="81"/>
            <rFont val="Segoe UI"/>
            <family val="2"/>
          </rPr>
          <t xml:space="preserve">06/03 30.840km - 07/03/26 31.566km - </t>
        </r>
        <r>
          <rPr>
            <b/>
            <sz val="9"/>
            <color indexed="81"/>
            <rFont val="Segoe UI"/>
            <family val="2"/>
          </rPr>
          <t>Utilizado 726km</t>
        </r>
        <r>
          <rPr>
            <sz val="9"/>
            <color indexed="81"/>
            <rFont val="Segoe UI"/>
            <family val="2"/>
          </rPr>
          <t xml:space="preserve"> (ida a Belo Horizonte para dar carona ao cliente Jose Marcelo);</t>
        </r>
      </text>
    </comment>
    <comment ref="F7" authorId="1" shapeId="0" xr:uid="{DE551511-8A8F-4F18-B991-5B447D2E6EDD}">
      <text>
        <t>[Comentário encadeado]
Sua versão do Excel permite que você leia este comentário encadeado, no entanto, as edições serão removidas se o arquivo for aberto em uma versão mais recente do Excel. Saiba mais: https://go.microsoft.com/fwlink/?linkid=870924
Comentário:
    Andre: 08/05 33.374km a 10/05/2026 34.145km - Utilizado 771km (Ida a Belo Horizonte)</t>
      </text>
    </comment>
    <comment ref="F8" authorId="0" shapeId="0" xr:uid="{8F02B0C7-3B62-4834-929B-66352845891C}">
      <text>
        <r>
          <rPr>
            <b/>
            <sz val="9"/>
            <color indexed="81"/>
            <rFont val="Segoe UI"/>
            <family val="2"/>
          </rPr>
          <t xml:space="preserve">
Uso Particular Ednei:</t>
        </r>
        <r>
          <rPr>
            <sz val="9"/>
            <color indexed="81"/>
            <rFont val="Segoe UI"/>
            <family val="2"/>
          </rPr>
          <t xml:space="preserve">19/07/25: 14.456km - 20/07/25: 14.635km - </t>
        </r>
        <r>
          <rPr>
            <b/>
            <sz val="9"/>
            <color indexed="81"/>
            <rFont val="Segoe UI"/>
            <family val="2"/>
          </rPr>
          <t>Utilizado 179km</t>
        </r>
        <r>
          <rPr>
            <sz val="9"/>
            <color indexed="81"/>
            <rFont val="Segoe UI"/>
            <family val="2"/>
          </rPr>
          <t xml:space="preserve">
</t>
        </r>
        <r>
          <rPr>
            <b/>
            <sz val="9"/>
            <color indexed="81"/>
            <rFont val="Segoe UI"/>
            <family val="2"/>
          </rPr>
          <t xml:space="preserve">Ednei - </t>
        </r>
        <r>
          <rPr>
            <sz val="9"/>
            <color indexed="81"/>
            <rFont val="Segoe UI"/>
            <family val="2"/>
          </rPr>
          <t xml:space="preserve">25/10 19.710km - 26/10/25 19.887km - </t>
        </r>
        <r>
          <rPr>
            <b/>
            <sz val="9"/>
            <color indexed="81"/>
            <rFont val="Segoe UI"/>
            <family val="2"/>
          </rPr>
          <t>Utilizado 177km
Ednei -</t>
        </r>
        <r>
          <rPr>
            <sz val="9"/>
            <color indexed="81"/>
            <rFont val="Segoe UI"/>
            <family val="2"/>
          </rPr>
          <t xml:space="preserve"> 31/01 25.464km - 01/02/26 25.592km -</t>
        </r>
        <r>
          <rPr>
            <b/>
            <sz val="9"/>
            <color indexed="81"/>
            <rFont val="Segoe UI"/>
            <family val="2"/>
          </rPr>
          <t xml:space="preserve"> Utilizado 128km</t>
        </r>
      </text>
    </comment>
    <comment ref="F10" authorId="0" shapeId="0" xr:uid="{6A92AF13-B343-4E51-96EB-08036B5C1C55}">
      <text>
        <r>
          <rPr>
            <sz val="9"/>
            <color indexed="81"/>
            <rFont val="Segoe UI"/>
            <family val="2"/>
          </rPr>
          <t>Renegade SIN8J85: 28/02 - 27231km a 03/03/25 - 28233km - utilizado 1002km
Tcross SVW5E64 17/10 - 28.119km a 22/10/25 - 29.929km - utilizado 1810km</t>
        </r>
      </text>
    </comment>
    <comment ref="F12" authorId="2" shapeId="0" xr:uid="{43197F48-A546-4D23-A919-6C2297B7256F}">
      <text>
        <t>[Comentário encadeado]
Sua versão do Excel permite que você leia este comentário encadeado, no entanto, as edições serão removidas se o arquivo for aberto em uma versão mais recente do Excel. Saiba mais: https://go.microsoft.com/fwlink/?linkid=870924
Comentário:
    uso particular não solicitado 15 a 26.04 Queimada nova PI x Petrolina PE - 366km</t>
      </text>
    </comment>
    <comment ref="F13" authorId="3" shapeId="0" xr:uid="{FD004A71-F3C2-4AB7-A46D-BBEFF694886B}">
      <text>
        <t>[Comentário encadeado]
Sua versão do Excel permite que você leia este comentário encadeado, no entanto, as edições serão removidas se o arquivo for aberto em uma versão mais recente do Excel. Saiba mais: https://go.microsoft.com/fwlink/?linkid=870924
Comentário:
    Fez uso Particular de 20/12 a 05/01/26 para caetite BA que fica a 918km de distancia de queimada nova PI (projeto) e não enviou os registros do uso</t>
      </text>
    </comment>
    <comment ref="F14" authorId="4" shapeId="0" xr:uid="{81800A2C-46EA-47A5-A401-B663D000301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22 a 26/04 Queimada Nova PI x Salgueiro PE x Limoeiro do Norte CE utilizado 1.569km - autorizado por Jaqueline sem formalização;
</t>
      </text>
    </comment>
    <comment ref="F18" authorId="5" shapeId="0" xr:uid="{6B137B78-BC46-415D-AC56-BEFF05D7F611}">
      <text>
        <t>[Comentário encadeado]
Sua versão do Excel permite que você leia este comentário encadeado, no entanto, as edições serão removidas se o arquivo for aberto em uma versão mais recente do Excel. Saiba mais: https://go.microsoft.com/fwlink/?linkid=870924
Comentário:
    Alire: 13/02 14.956km a 22/02/26 17.288km - Utilizado 2.332km (local da obra Umburanas BA, foi para Natal RN 13/02 a 21/02 - uso particular_folga e em 22/02 chegou em Queimada Nova PI para atender a solicitação da cliente previsão de ficar 22 a 27/02/26)</t>
      </text>
    </comment>
    <comment ref="F19" authorId="0" shapeId="0" xr:uid="{124EF183-B5F7-4FF5-A332-5AD9C387609F}">
      <text>
        <r>
          <rPr>
            <sz val="9"/>
            <color indexed="81"/>
            <rFont val="Segoe UI"/>
            <family val="2"/>
          </rPr>
          <t xml:space="preserve">Joseane: 20/12 48287km a 06/01/25 49108km - Utilizado 821km
Marlucia: 03/05 56868km a 11/05/25 58035km - Utilizado 1167km
Marlucia: 18.07 60260km a 03.08.2025 61809km - Utilizado 1.549km
Marlucia: 24.08 62815km a 25.08.2025 63244km - Utilizado 429km (aproveitando a viagem particular para Petrolina PE, agendamos a troca do para-brisas, serviço realizado em 25/08/2025, se não fosse por este motivo a Marlucia iria viajar e voltar no mesmo dia. 
Eucilene: 05/09 63.771km a 07/09/25 64.171km - Utilizado 400km
viagem a Petrolina para resolver avarias do automóvel, mas antes já tinha sido autorizado em conversa (ligação) entre Jaquele e Eucilene a autorização para ela fazer uso pessoal do veículo para buscar coisas que faltaram na mudança de Petrolina para Queimada Nova, utilizado 400km. </t>
        </r>
      </text>
    </comment>
    <comment ref="F20" authorId="0" shapeId="0" xr:uid="{5294FF6A-B66E-4140-8138-CF799B2BE364}">
      <text>
        <r>
          <rPr>
            <sz val="9"/>
            <color indexed="81"/>
            <rFont val="Segoe UI"/>
            <family val="2"/>
          </rPr>
          <t xml:space="preserve">Eucilene - 03/10 29.637km - 13/10/25 30.079km (utilizado 442km) 
Eucilene - 19/12/25 a 05/01/26 - Queimada Nova PI  a Petrolina PE
Eucilene - 13/02 33.205km a 23/02/26 (falta informação de retorno)
</t>
        </r>
      </text>
    </comment>
    <comment ref="G20" authorId="0" shapeId="0" xr:uid="{528C3228-033F-44CF-ADE9-3AE63FA6F507}">
      <text>
        <r>
          <rPr>
            <b/>
            <sz val="9"/>
            <color indexed="81"/>
            <rFont val="Segoe UI"/>
            <family val="2"/>
          </rPr>
          <t xml:space="preserve">Ocorrencia de avaria (Eucilene 03/10 a 13/10/25)
</t>
        </r>
        <r>
          <rPr>
            <sz val="9"/>
            <color indexed="81"/>
            <rFont val="Segoe UI"/>
            <family val="2"/>
          </rPr>
          <t xml:space="preserve">Em 13/10/2025, Eucilene informou que no deslocamento de Petrolina PE para Queimada Nova PI -  um motoqueiro atravessou na sua frente e bateu no carro, danificou o para-choque dianteiro. 
</t>
        </r>
      </text>
    </comment>
    <comment ref="F24" authorId="6" shapeId="0" xr:uid="{2D8C1B3E-BEBD-4512-BF3E-C88A1C66E82A}">
      <text>
        <t>[Comentário encadeado]
Sua versão do Excel permite que você leia este comentário encadeado, no entanto, as edições serão removidas se o arquivo for aberto em uma versão mais recente do Excel. Saiba mais: https://go.microsoft.com/fwlink/?linkid=870924
Comentário:
    22 A 24/12/25 fez uso particular de irece para Ibitira BA (469km - ida e volta 938km) sem envio de informação</t>
      </text>
    </comment>
    <comment ref="F25" authorId="7" shapeId="0" xr:uid="{042CCDC4-AE2E-44C9-8A4F-3D2C04D3F93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Augusto: Uso particular não solicitado_01 a 05/04/26 - Irecê x Ibitiara BA -Utilizado 530km (telemetria)
Responder:
    Uso particular não solicitado 30/04 a 03/05/26 - irece x Ibitiara BA (após seabra) - estimativa 466km telemetria - houve uso noturno
</t>
      </text>
    </comment>
    <comment ref="F28" authorId="8" shapeId="0" xr:uid="{E9F7D332-67EF-462C-9160-9BB560AB4E49}">
      <text>
        <t>[Comentário encadeado]
Sua versão do Excel permite que você leia este comentário encadeado, no entanto, as edições serão removidas se o arquivo for aberto em uma versão mais recente do Excel. Saiba mais: https://go.microsoft.com/fwlink/?linkid=870924
Comentário:
    Nilberto: 14 a 16/03/26 - Bonito BA estimativa de uso 390km (uso não solicitado)
Nilberto: 27 a 29/03/26 - Bonito BA estimativa de uso 390km (uso não solicitado)
Responder:
    Telemetria: 20 a 21/04/26 Irecê x Bonito BA_Estimado 284km - Uso particular não solicitado</t>
      </text>
    </comment>
    <comment ref="F30" authorId="9" shapeId="0" xr:uid="{346055E8-A3CF-4840-9C28-9D6C4D7F6EB0}">
      <text>
        <t>[Comentário encadeado]
Sua versão do Excel permite que você leia este comentário encadeado, no entanto, as edições serão removidas se o arquivo for aberto em uma versão mais recente do Excel. Saiba mais: https://go.microsoft.com/fwlink/?linkid=870924
Comentário:
    Ana Caroline: 13/02 42.102km a 23/02/26 42.995km - Utilizado 893km
Responder:
    Ana Caroline: Solicitou autorização para 18 a 26/04/26, porém a viagem ocorreu em 16/04 46.796km a 27/04/26 47.696km (identificado na telemetria) - Utilizado 900km</t>
      </text>
    </comment>
    <comment ref="F31" authorId="10" shapeId="0" xr:uid="{5E068A19-FEE2-4A9B-8E31-8B3C2D0978E6}">
      <text>
        <t>[Comentário encadeado]
Sua versão do Excel permite que você leia este comentário encadeado, no entanto, as edições serão removidas se o arquivo for aberto em uma versão mais recente do Excel. Saiba mais: https://go.microsoft.com/fwlink/?linkid=870924
Comentário:
    01 a 02/03/2025 - Utilizado
19/12 50.581km a faltou de retorno</t>
      </text>
    </comment>
    <comment ref="F32" authorId="0" shapeId="0" xr:uid="{6A2FDC36-A250-42B3-A55A-D2D934F34587}">
      <text>
        <r>
          <rPr>
            <sz val="9"/>
            <color indexed="81"/>
            <rFont val="Segoe UI"/>
            <family val="2"/>
          </rPr>
          <t xml:space="preserve">23/05 52590km a 25/05/25 53535km - Utilizado 945km
</t>
        </r>
      </text>
    </comment>
    <comment ref="F33" authorId="11" shapeId="0" xr:uid="{01446C18-C6A4-448C-AA5E-92FCEA2803A5}">
      <text>
        <t>[Comentário encadeado]
Sua versão do Excel permite que você leia este comentário encadeado, no entanto, as edições serão removidas se o arquivo for aberto em uma versão mais recente do Excel. Saiba mais: https://go.microsoft.com/fwlink/?linkid=870924
Comentário:
    Francisco de Morais e Ana Luiza - 18/12 41.449km a 05/01/26 43.893km (Utilizado 2.444km)</t>
      </text>
    </comment>
    <comment ref="F34" authorId="12" shapeId="0" xr:uid="{E2189709-6293-4AA7-A543-FE0637BE9032}">
      <text>
        <t>[Comentário encadeado]
Sua versão do Excel permite que você leia este comentário encadeado, no entanto, as edições serão removidas se o arquivo for aberto em uma versão mais recente do Excel. Saiba mais: https://go.microsoft.com/fwlink/?linkid=870924
Comentário:
    Telemetria: 10/05/26 foi para Itaguaçu da Bahia BA que fica há 700m (3min) próximo de Uibaí e à noite foi para João Dourado BA (ida e volta estimado 116km) - retornou 11/05/26 de madrugada - uso não autorizado.</t>
      </text>
    </comment>
    <comment ref="F36" authorId="13" shapeId="0" xr:uid="{703E6F1A-4BBF-4574-B6C1-B7AB97A4A255}">
      <text>
        <t>[Comentário encadeado]
Sua versão do Excel permite que você leia este comentário encadeado, no entanto, as edições serão removidas se o arquivo for aberto em uma versão mais recente do Excel. Saiba mais: https://go.microsoft.com/fwlink/?linkid=870924
Comentário:
    Inicio de recesso (emendou com folgas) 12/12 22.926km a 06/01/26 25.621km - Utilizado 2.695km</t>
      </text>
    </comment>
    <comment ref="F37" authorId="0" shapeId="0" xr:uid="{794654A3-579F-47A0-9886-7A833B00F68A}">
      <text>
        <r>
          <rPr>
            <sz val="9"/>
            <color indexed="81"/>
            <rFont val="Segoe UI"/>
            <family val="2"/>
          </rPr>
          <t xml:space="preserve">Iranildo 03/10/25 39.553km - 06/10/25 40.442km - Utilizado 889km
</t>
        </r>
      </text>
    </comment>
    <comment ref="F38" authorId="14" shapeId="0" xr:uid="{A3755630-5D65-422B-80F5-8F631209F98E}">
      <text>
        <t>[Comentário encadeado]
Sua versão do Excel permite que você leia este comentário encadeado, no entanto, as edições serão removidas se o arquivo for aberto em uma versão mais recente do Excel. Saiba mais: https://go.microsoft.com/fwlink/?linkid=870924
Comentário:
    Renegade TXL2A88 - Luis Daladiuer - uso particular 26.05.26 20.032km a  29/05/26 20.932km uibai x petrolina PE - utilizado 900km (NO E-MAIL INFORMOU QUE VOLTARIA DIA 27, enviou o registro completo só em 02/06 junto ao checklist de fechamento)</t>
      </text>
    </comment>
    <comment ref="F39" authorId="15" shapeId="0" xr:uid="{84E4DF98-D0DB-43F0-AE75-170268F03200}">
      <text>
        <t>[Comentário encadeado]
Sua versão do Excel permite que você leia este comentário encadeado, no entanto, as edições serão removidas se o arquivo for aberto em uma versão mais recente do Excel. Saiba mais: https://go.microsoft.com/fwlink/?linkid=870924
Comentário:
    Izadora: 30/12 7.473km a 01/01/26 falta informação de retorno
Responder:
    Izadora: 04/04 16.610km a 05/04/26 16.772km ida para Galinhos-RN - Utilizado 162km
Responder:
    Izadora: 17/04 17.610km a 18/04/26 17.774km - Utilizado 164km (Rio do Fogo RN)</t>
      </text>
    </comment>
    <comment ref="F40" authorId="16" shapeId="0" xr:uid="{C4352BD9-6877-42D2-85FE-A9AC803A8BB6}">
      <text>
        <t>[Comentário encadeado]
Sua versão do Excel permite que você leia este comentário encadeado, no entanto, as edições serão removidas se o arquivo for aberto em uma versão mais recente do Excel. Saiba mais: https://go.microsoft.com/fwlink/?linkid=870924
Comentário:
    26 a 28/12/25 - durante o recesso consta na telemetria que Geferson fez uso particular para Lagoa Seca e Ponta Negra RN de  26 a 28/12 - Lajes x ponta Negra 130km - no mínimo 260km de uso ida e volta
Responder:
    Telemetria: 28 a 29/03/26 sitio novo RN 101km de lajes _ em média 202km - uso particular não solicitado 
Responder:
    Telemetria:18 a 19/04/26 Sitio Novo RN 109km de Lajes RN_ em média 218km (veículo ficou parado) - uso particular não solicitado 
Responder:
    Telemetria: 23 a 27/04/26 Sitio Novo RN 109km de Lajes RN_ em média 218km (veículo ficou parado) - uso particular não solicitado 
Responder:
    Telemetria: 02 a 03/05/2026 - Sitio Novo RN utilizado 218km
Responder:
    Uso particular autorizado: 23/05 24.247km a 24/05/26 24.431km - utilizado 184km
Responder:
    Uso autorizado Lajes x Sitio Novo RN: 12/06 26.512km a 15/06/26  26.693km - Utilizado 181km</t>
      </text>
    </comment>
    <comment ref="F41" authorId="17" shapeId="0" xr:uid="{2D3ABF99-E499-45A6-9F5E-4A57FE9E1052}">
      <text>
        <t>[Comentário encadeado]
Sua versão do Excel permite que você leia este comentário encadeado, no entanto, as edições serão removidas se o arquivo for aberto em uma versão mais recente do Excel. Saiba mais: https://go.microsoft.com/fwlink/?linkid=870924
Comentário:
    Geraldo: 23/12 42.138km a 26/12/25 42.395km - Utilizado 257km
Responder:
    Uso particular não autorizado: 22/05 a 25/05/26 - Lajes x Açu RN 82KM - Estimativa 164km ida e volta</t>
      </text>
    </comment>
    <comment ref="F42" authorId="18" shapeId="0" xr:uid="{2314F3E0-A6D8-4F0A-B890-AD42F1AB5AEE}">
      <text>
        <t>[Comentário encadeado]
Sua versão do Excel permite que você leia este comentário encadeado, no entanto, as edições serão removidas se o arquivo for aberto em uma versão mais recente do Excel. Saiba mais: https://go.microsoft.com/fwlink/?linkid=870924
Comentário:
    João - Uso não autorizado: 07/02 46.374km a 08/02/26 46.611km - Utilizado 237km.
- Enviou o e-mail de solicitação na sexta 06/02 às 17:43h e a viagem seria para o sábado, devido ao horário fora de expediente da sede não foi possível dar e retorno e mesmo assim João seguiu viagem.
Responder:
    Telemetria: 19/04/26 ida e volta João Camara x Natal RN - utilizado 197km</t>
      </text>
    </comment>
    <comment ref="F43" authorId="0" shapeId="0" xr:uid="{E17AC114-C913-4761-B996-5D4FE61B3DB4}">
      <text>
        <r>
          <rPr>
            <sz val="9"/>
            <color indexed="81"/>
            <rFont val="Segoe UI"/>
            <family val="2"/>
          </rPr>
          <t>Claudio Uliana: 29/11 53.025km a 30/11/25 53.241km - Utilizado 216km;
Claudio Uliana: 20/12 56.153km a 04/01/26 56.380km - Utilizado 227km Recesso 2025
Claudio Uliana: 20/02 61.257km a 22/02/26 61.751km - utilizado 494km (Viagem a Natal solicitação cliente)</t>
        </r>
      </text>
    </comment>
    <comment ref="F44" authorId="0" shapeId="0" xr:uid="{5C5F4E4C-60DE-49E7-A132-074BDB5D3F13}">
      <text>
        <r>
          <rPr>
            <b/>
            <sz val="8"/>
            <color indexed="81"/>
            <rFont val="Segoe UI"/>
            <family val="2"/>
          </rPr>
          <t>Airismila:</t>
        </r>
        <r>
          <rPr>
            <sz val="8"/>
            <color indexed="81"/>
            <rFont val="Segoe UI"/>
            <family val="2"/>
          </rPr>
          <t xml:space="preserve"> saída 12/12 6.823km - retorno 14/12/25 7.107km </t>
        </r>
        <r>
          <rPr>
            <b/>
            <sz val="8"/>
            <color indexed="81"/>
            <rFont val="Segoe UI"/>
            <family val="2"/>
          </rPr>
          <t>Utilizado 284km</t>
        </r>
        <r>
          <rPr>
            <sz val="8"/>
            <color indexed="81"/>
            <rFont val="Segoe UI"/>
            <family val="2"/>
          </rPr>
          <t xml:space="preserve">
</t>
        </r>
        <r>
          <rPr>
            <b/>
            <sz val="8"/>
            <color indexed="81"/>
            <rFont val="Segoe UI"/>
            <family val="2"/>
          </rPr>
          <t>Airismila:</t>
        </r>
        <r>
          <rPr>
            <sz val="8"/>
            <color indexed="81"/>
            <rFont val="Segoe UI"/>
            <family val="2"/>
          </rPr>
          <t xml:space="preserve"> Saída 19/12 7.368km (enviou só no dia 22/12) - retorno 04/01 7.654km </t>
        </r>
        <r>
          <rPr>
            <b/>
            <sz val="8"/>
            <color indexed="81"/>
            <rFont val="Segoe UI"/>
            <family val="2"/>
          </rPr>
          <t xml:space="preserve">Utilizado 286km
Airismila: </t>
        </r>
        <r>
          <rPr>
            <sz val="8"/>
            <color indexed="81"/>
            <rFont val="Segoe UI"/>
            <family val="2"/>
          </rPr>
          <t xml:space="preserve">Saída 26/02 9.222km - retorno 08/03/26 9.365km (veículo estava para no estacionamento do aeroporto de natal até airismila retornar de viagem e recebemos a solicitação do cliente para devolver o carro, ao chegar no aeroporto a Airismila realizou a devolução no dia 08/03/26 9.365km) - </t>
        </r>
        <r>
          <rPr>
            <b/>
            <sz val="8"/>
            <color indexed="81"/>
            <rFont val="Segoe UI"/>
            <family val="2"/>
          </rPr>
          <t>utilizado 143km</t>
        </r>
      </text>
    </comment>
    <comment ref="F46" authorId="19" shapeId="0" xr:uid="{09613E59-25D7-47F4-92FB-BE7A4A42E16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Telemetria: 24 a 27/04/26 Lajes x Açu RN _ estimado 181km - Uso particular não solicitado
Responder:
    02 a 04/05/26 Lajes x Açu RN - uso particular não solicitado estimado 181km - em 04/05/26 Laura e Jaqueline conversou com Railson e ficou esclarecido para ele de que não pode haver uso particular sem autorização
</t>
      </text>
    </comment>
    <comment ref="F47" authorId="20" shapeId="0" xr:uid="{2C68119B-E300-41B3-918A-FA1A500C8F81}">
      <text>
        <t>[Comentário encadeado]
Sua versão do Excel permite que você leia este comentário encadeado, no entanto, as edições serão removidas se o arquivo for aberto em uma versão mais recente do Excel. Saiba mais: https://go.microsoft.com/fwlink/?linkid=870924
Comentário:
    Uliana: 28 a 29/03/26: ida para Natal 79km de distancia de João Camara - Utilizado 234km (não houve solicitação prévia, comunicou depois - emergência com o pai)
Responder:
    Paulo e Claudio: 10/04/26 bate e volta para Natal - Ida 15.468km e Retorno 15.676km - Utilizado 208km (Foi solicitado o uso para Paulo ir com veículo à Natal porque estava saindo de folga e Claudio que estava em Natal retornaria com o veículo no mesmo dia 10/04/26) - as fotos não foram enviadas no exato dia de uso.</t>
      </text>
    </comment>
    <comment ref="F48" authorId="21" shapeId="0" xr:uid="{6321B9D3-2C14-4FCA-B57D-7133D6EE13D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Marcelo: 23/12 662km a 23/12/25 956km - Utilizado 294km
Responder:
    Uso particular 15 anos Proyfe - Gideoni, Caio, Luana e Airismilla - 29/05 7.722km a 31/05/26 8.584km - utilizado 862km (liberado o carro de Marcelo por ter o consumo menor da quilometragem)
</t>
      </text>
    </comment>
    <comment ref="F49" authorId="22" shapeId="0" xr:uid="{F942DF2A-EED7-4C03-93C1-F4BA9131CA3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Esdras: 22/12/25 12.950km a 04/01/26 - falta informação de retorno 
Responder:
    Uso particular 15 anos Proyfe - Paulo, Claudio e a esposa - 30/05 20.096 a 31/05/26 20.672km (estipulado – faltou enviar a foto de retorno) - utilizado 576km (liberado o carro de Esdras por ter o consumo menor da quilometragem)
</t>
      </text>
    </comment>
    <comment ref="F50" authorId="23" shapeId="0" xr:uid="{95A54046-5353-4BB9-AD51-186A41A331CB}">
      <text>
        <t>[Comentário encadeado]
Sua versão do Excel permite que você leia este comentário encadeado, no entanto, as edições serão removidas se o arquivo for aberto em uma versão mais recente do Excel. Saiba mais: https://go.microsoft.com/fwlink/?linkid=870924
Comentário:
    Weiller: 14/02 8.972km a 16/02/2026 9.167km - Utilizado 195km
Responder:
    Uso particular autorizado  João camara x Touros RN - 23/05 22.029 a 25.05.26 - 22.249km - utilizado 220km
Responder:
    Luis Franco: uso particular não autorizado de João camara para São Bento do Norte e Pureza RN - 30/05 23.205km a 31/05/26 23.367km - utilizado 162km 
Responder:
    Weiller: uso particular não autorizado de João camara para Natal RN - 06/06 24.388KM a 07/06/26 24.625km - utilizado 237km</t>
      </text>
    </comment>
    <comment ref="F51" authorId="24" shapeId="0" xr:uid="{16EDB0B5-3370-4039-A887-2475E1AD3799}">
      <text>
        <t>[Comentário encadeado]
Sua versão do Excel permite que você leia este comentário encadeado, no entanto, as edições serão removidas se o arquivo for aberto em uma versão mais recente do Excel. Saiba mais: https://go.microsoft.com/fwlink/?linkid=870924
Comentário:
    uso particular não solicitado ida 13:30H e volta 14:39H Touros RN 13.05.26 - estimado 118km</t>
      </text>
    </comment>
    <comment ref="F52" authorId="0" shapeId="0" xr:uid="{F31FBA3B-108B-4BE1-B53A-9138B7DF5007}">
      <text>
        <r>
          <rPr>
            <sz val="9"/>
            <color indexed="81"/>
            <rFont val="Segoe UI"/>
            <family val="2"/>
          </rPr>
          <t>Uso particular por Yanca: 14/06 12110km a 16/06/25 12550km - utilizado 440km
Eider Breno: 28/06/25 13.449km - 29/06/25 13.811km - Utilizado 362km
Uso particular Breno:
19/07/2025: 15.453km - 20/07/2025: 15.759km - Utilizado 306km
Marcilio: 25/12 27.721km a 05/01/26 28.071km - utilizado 350km</t>
        </r>
      </text>
    </comment>
    <comment ref="F54" authorId="0" shapeId="0" xr:uid="{7C5F7EA9-D029-422A-9ADE-D29F4006DA0B}">
      <text>
        <r>
          <rPr>
            <b/>
            <sz val="9"/>
            <color indexed="81"/>
            <rFont val="Segoe UI"/>
            <family val="2"/>
          </rPr>
          <t>Uso particular por Chris :
19/06/25 8744km - 23/06/25 9108km - Utilizado 364km</t>
        </r>
        <r>
          <rPr>
            <sz val="9"/>
            <color indexed="81"/>
            <rFont val="Segoe UI"/>
            <family val="2"/>
          </rPr>
          <t xml:space="preserve">
27/06/25 9.450km - 29/06/2025 9.769km - Utilizado 319km
13/09 16.315km - 15/09/25 16.613km - Utilizado 298km 
02/10/25 17.785km - Retorno 05/10/25 18.126km Utilizado 341km
22/12 22.597km a 29/12/25 22.876km - utilizado 279km recesso
31/12 23.061km a 04/01/26 23.346km - utilizado 285km recesso</t>
        </r>
      </text>
    </comment>
    <comment ref="F55" authorId="25" shapeId="0" xr:uid="{25E5C359-DF83-4183-A121-2EABC16483AD}">
      <text>
        <t>[Comentário encadeado]
Sua versão do Excel permite que você leia este comentário encadeado, no entanto, as edições serão removidas se o arquivo for aberto em uma versão mais recente do Excel. Saiba mais: https://go.microsoft.com/fwlink/?linkid=870924
Comentário:
    Yanca: 07 a 09/03/26 esteve em João Camara 75km de Lajes - uso estimado 150km (não houve solicitação)</t>
      </text>
    </comment>
    <comment ref="F56" authorId="0" shapeId="0" xr:uid="{A75DCF61-5936-4B08-A0A4-FFAD1FF4B723}">
      <text>
        <r>
          <rPr>
            <sz val="9"/>
            <color indexed="81"/>
            <rFont val="Segoe UI"/>
            <family val="2"/>
          </rPr>
          <t>Breno: 28/02 405km a 05/03/25 817km - Utilizado 412km
Breno: 17/04 5553km a 20/04/25 6020km - Utilizado 467km
Breno: 26/04 6690km a 27/04/25 6921km - Utilizado 231km
Breno: 03/05 7515km a 04/05/25 7820km - Utilizado 305km
Breno: 10/05 8456km a 12/05/25 8819km - Utilizado 363km
Breno: 17/05 9389km a 18/05/25 9774km - Utilizado 385km
Alain: 26/06 13970km a 01/07/25 15504km - Utilizado 1.534km
Alain: 03/10 25.816km a 06/10/2025 - Utilizado 1.534km (considerado o km da viagem anterior)
Alain: 23/12 a 11/01/26 - pendente envio das informações</t>
        </r>
      </text>
    </comment>
    <comment ref="F57" authorId="0" shapeId="0" xr:uid="{8ACC748E-31E2-423F-B42A-76548CBC6815}">
      <text>
        <r>
          <rPr>
            <sz val="9"/>
            <color indexed="81"/>
            <rFont val="Segoe UI"/>
            <family val="2"/>
          </rPr>
          <t>Breno: 09/08/2025 22.679km a 10/08/2025 23.021km - Utilizado 342km
Breno: 30/08/2025 24.626km a 01/09/2025 24.972km - Utilizado 346km</t>
        </r>
      </text>
    </comment>
    <comment ref="G57" authorId="0" shapeId="0" xr:uid="{69CBCC80-08D3-4DA8-86B8-75A619DF8874}">
      <text>
        <r>
          <rPr>
            <sz val="9"/>
            <color indexed="81"/>
            <rFont val="Segoe UI"/>
            <family val="2"/>
          </rPr>
          <t xml:space="preserve"> Uso Particular Onix SJH8E03 - Eider Breno: 30/08/2025 24.626km a 01/09/2025 24.972km - Utilizado 346km
Eider Breno sinalizou a Alverson  que ao retirar o veículo da garagem de sua residencia bateu o retrovisor (aparentemento lado do carona) na parede, Breno não relatou a avaria para equipe de Frotas ou a Jaqueline, informou apenas a Alverson. Breno não retornou para obra na segunda-feira 01/09/25 porque ficou resolvendo a avaria por conta propria.
</t>
        </r>
      </text>
    </comment>
    <comment ref="F58" authorId="0" shapeId="0" xr:uid="{AAA31AC7-8A3A-4CEB-AC2F-06AAD1321B9C}">
      <text>
        <r>
          <rPr>
            <b/>
            <sz val="9"/>
            <color indexed="81"/>
            <rFont val="Segoe UI"/>
            <family val="2"/>
          </rPr>
          <t xml:space="preserve">Breno: </t>
        </r>
        <r>
          <rPr>
            <sz val="9"/>
            <color indexed="81"/>
            <rFont val="Segoe UI"/>
            <family val="2"/>
          </rPr>
          <t xml:space="preserve">16/10 3.492km a 20/10/25 3.860km </t>
        </r>
        <r>
          <rPr>
            <b/>
            <sz val="9"/>
            <color indexed="81"/>
            <rFont val="Segoe UI"/>
            <family val="2"/>
          </rPr>
          <t>(Utilizado 368km)</t>
        </r>
        <r>
          <rPr>
            <sz val="9"/>
            <color indexed="81"/>
            <rFont val="Segoe UI"/>
            <family val="2"/>
          </rPr>
          <t xml:space="preserve">
</t>
        </r>
        <r>
          <rPr>
            <b/>
            <sz val="9"/>
            <color indexed="81"/>
            <rFont val="Segoe UI"/>
            <family val="2"/>
          </rPr>
          <t xml:space="preserve">Breno: </t>
        </r>
        <r>
          <rPr>
            <sz val="9"/>
            <color indexed="81"/>
            <rFont val="Segoe UI"/>
            <family val="2"/>
          </rPr>
          <t xml:space="preserve">14/11 5.911km a 16/11/25 6.254km </t>
        </r>
        <r>
          <rPr>
            <b/>
            <sz val="9"/>
            <color indexed="81"/>
            <rFont val="Segoe UI"/>
            <family val="2"/>
          </rPr>
          <t xml:space="preserve">(Utilizado 343km)
Breno: </t>
        </r>
        <r>
          <rPr>
            <sz val="9"/>
            <color indexed="81"/>
            <rFont val="Segoe UI"/>
            <family val="2"/>
          </rPr>
          <t xml:space="preserve">22/11 às 06:21h 6.288km a 22/11/25 10:30h 6.581km </t>
        </r>
        <r>
          <rPr>
            <b/>
            <sz val="9"/>
            <color indexed="81"/>
            <rFont val="Segoe UI"/>
            <family val="2"/>
          </rPr>
          <t xml:space="preserve">(Utilizado 293km)
Breno: </t>
        </r>
        <r>
          <rPr>
            <sz val="9"/>
            <color indexed="81"/>
            <rFont val="Segoe UI"/>
            <family val="2"/>
          </rPr>
          <t xml:space="preserve">23/12 17.153 a 03/01/26 17.745km - utilizado 592km
</t>
        </r>
      </text>
    </comment>
    <comment ref="F59" authorId="26" shapeId="0" xr:uid="{3627B0E1-13BD-49B4-85D7-595CBCBC8B5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19/12/25 14.948KM A </t>
      </text>
    </comment>
    <comment ref="F60" authorId="27" shapeId="0" xr:uid="{3D220C26-FE94-4DEA-AFDD-8A7215C2AE13}">
      <text>
        <t>[Comentário encadeado]
Sua versão do Excel permite que você leia este comentário encadeado, no entanto, as edições serão removidas se o arquivo for aberto em uma versão mais recente do Excel. Saiba mais: https://go.microsoft.com/fwlink/?linkid=870924
Comentário:
    Uso particular 15 anos Proyfe Brasil - Idalecio e Alverson - 29/05 27.930km a 01/06/26 28.892km Lajes x Jaboatão dos Guararapes - utilizado 962km - entregou o veículo sem abastecer e sem registrar as fotos</t>
      </text>
    </comment>
    <comment ref="F61" authorId="28" shapeId="0" xr:uid="{156476EA-ADC0-4330-9AA4-5B97837FB5B9}">
      <text>
        <t>[Comentário encadeado]
Sua versão do Excel permite que você leia este comentário encadeado, no entanto, as edições serão removidas se o arquivo for aberto em uma versão mais recente do Excel. Saiba mais: https://go.microsoft.com/fwlink/?linkid=870924
Comentário:
    Eduardo - Uso do veículo para treinamento GWO - 11/06 ás 06:53h 51.019km a 11/06/26 19:58h 51.180km - utilizado 161km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Administrativo2</author>
    <author>Recepção</author>
  </authors>
  <commentList>
    <comment ref="F12" authorId="0" shapeId="0" xr:uid="{00000000-0006-0000-0200-000001000000}">
      <text>
        <r>
          <rPr>
            <b/>
            <sz val="9"/>
            <color indexed="81"/>
            <rFont val="Segoe UI"/>
            <family val="2"/>
          </rPr>
          <t>Administrativo2:</t>
        </r>
        <r>
          <rPr>
            <sz val="9"/>
            <color indexed="81"/>
            <rFont val="Segoe UI"/>
            <family val="2"/>
          </rPr>
          <t xml:space="preserve">
Retirada as proteções dia 05/10 mediante abertura de Chamado.</t>
        </r>
      </text>
    </comment>
    <comment ref="F21" authorId="0" shapeId="0" xr:uid="{00000000-0006-0000-0200-000002000000}">
      <text>
        <r>
          <rPr>
            <b/>
            <sz val="9"/>
            <color indexed="81"/>
            <rFont val="Segoe UI"/>
            <family val="2"/>
          </rPr>
          <t>Administrativo2:</t>
        </r>
        <r>
          <rPr>
            <sz val="9"/>
            <color indexed="81"/>
            <rFont val="Segoe UI"/>
            <family val="2"/>
          </rPr>
          <t xml:space="preserve">
Valor atualizado no ultimo acordo com Almir. 
</t>
        </r>
      </text>
    </comment>
    <comment ref="B68" authorId="0" shapeId="0" xr:uid="{5FCD7006-2398-4E9D-AC0A-51260E6F49BE}">
      <text>
        <r>
          <rPr>
            <b/>
            <sz val="9"/>
            <color indexed="81"/>
            <rFont val="Segoe UI"/>
            <family val="2"/>
          </rPr>
          <t>Troca de Condutor - de Antonio Willian para Herik</t>
        </r>
        <r>
          <rPr>
            <sz val="9"/>
            <color indexed="81"/>
            <rFont val="Segoe UI"/>
            <family val="2"/>
          </rPr>
          <t xml:space="preserve">
Em 06/09/2025 Antonio Willian foi mobilizado da Obra VSE para MDC e no período de 06/09 a 13/09/25 o veículo Tracker TEL5D17 ficou sendo utilizado por Jhonny enquanto aguardava a chegada do Herik e a partir do dia 15/09/25 o veículo ficou sob a responsabilidade do Herik
</t>
        </r>
      </text>
    </comment>
    <comment ref="B70" authorId="1" shapeId="0" xr:uid="{D8E706D6-66E9-456E-BCFA-B9BA58205D46}">
      <text>
        <r>
          <rPr>
            <b/>
            <sz val="9"/>
            <color indexed="81"/>
            <rFont val="Segoe UI"/>
            <family val="2"/>
          </rPr>
          <t>Recepção: Profissional era da obra MDC e em 22/04/2025 foi mobilizado com o carro EJA1H12 para VSE</t>
        </r>
      </text>
    </comment>
    <comment ref="B71" authorId="1" shapeId="0" xr:uid="{40411603-891D-44BF-A89C-9CB321FF2BB7}">
      <text>
        <r>
          <rPr>
            <b/>
            <sz val="9"/>
            <color indexed="81"/>
            <rFont val="Segoe UI"/>
            <family val="2"/>
          </rPr>
          <t>Recepção:</t>
        </r>
        <r>
          <rPr>
            <sz val="9"/>
            <color indexed="81"/>
            <rFont val="Segoe UI"/>
            <family val="2"/>
          </rPr>
          <t xml:space="preserve">
até 31/03/2025 o veículo era utilizado por Acácio, após foi transferido para Junior</t>
        </r>
      </text>
    </comment>
    <comment ref="B75" authorId="0" shapeId="0" xr:uid="{7EE6A4DC-20E4-4697-8AAB-1E303B295459}">
      <text>
        <r>
          <rPr>
            <b/>
            <sz val="9"/>
            <color indexed="81"/>
            <rFont val="Segoe UI"/>
            <family val="2"/>
          </rPr>
          <t>Administrativo2:</t>
        </r>
        <r>
          <rPr>
            <sz val="9"/>
            <color indexed="81"/>
            <rFont val="Segoe UI"/>
            <family val="2"/>
          </rPr>
          <t xml:space="preserve">
Até o dia 29/04/2025 o veículo EKB5J96 ficava com a Rute, após foi transferido para Nilberto</t>
        </r>
      </text>
    </comment>
    <comment ref="B78" authorId="0" shapeId="0" xr:uid="{AEA0D63A-5217-4DFA-BEF3-93784AF3BBBE}">
      <text>
        <r>
          <rPr>
            <sz val="9"/>
            <color indexed="81"/>
            <rFont val="Segoe UI"/>
            <family val="2"/>
          </rPr>
          <t xml:space="preserve">Creta SJE5D96 era utilizado por 25/07/2025, após este dia foi transferido para Washington.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A113" authorId="0" shapeId="0" xr:uid="{00000000-0006-0000-0400-000001000000}">
      <text>
        <r>
          <rPr>
            <b/>
            <sz val="9"/>
            <color indexed="81"/>
            <rFont val="Segoe UI"/>
            <family val="2"/>
          </rPr>
          <t>Administrativo2:</t>
        </r>
        <r>
          <rPr>
            <sz val="9"/>
            <color indexed="81"/>
            <rFont val="Segoe UI"/>
            <family val="2"/>
          </rPr>
          <t xml:space="preserve">
Substituição do SHG4A57 
10/08/2023
</t>
        </r>
      </text>
    </comment>
    <comment ref="N127" authorId="0" shapeId="0" xr:uid="{00000000-0006-0000-0400-000002000000}">
      <text>
        <r>
          <rPr>
            <b/>
            <sz val="9"/>
            <color indexed="81"/>
            <rFont val="Segoe UI"/>
            <family val="2"/>
          </rPr>
          <t>Administrativo2:</t>
        </r>
        <r>
          <rPr>
            <sz val="9"/>
            <color indexed="81"/>
            <rFont val="Segoe UI"/>
            <family val="2"/>
          </rPr>
          <t xml:space="preserve">
Caio foi na Unidas e fez a alteração do contrato para mensal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F42" authorId="0" shapeId="0" xr:uid="{D6DA05A9-3FCF-4CCE-9310-56F26B6FA0CB}">
      <text>
        <r>
          <rPr>
            <b/>
            <sz val="9"/>
            <color indexed="81"/>
            <rFont val="Segoe UI"/>
            <family val="2"/>
          </rPr>
          <t>Veículo RUM5I29 Devolvido/Substituido em 04/08/2025</t>
        </r>
        <r>
          <rPr>
            <sz val="9"/>
            <color indexed="81"/>
            <rFont val="Segoe UI"/>
            <family val="2"/>
          </rPr>
          <t xml:space="preserve">
</t>
        </r>
      </text>
    </comment>
    <comment ref="E44" authorId="0" shapeId="0" xr:uid="{A6F4A915-A02F-4A7B-968D-587D0078D93A}">
      <text>
        <r>
          <rPr>
            <b/>
            <sz val="9"/>
            <color indexed="81"/>
            <rFont val="Segoe UI"/>
            <family val="2"/>
          </rPr>
          <t xml:space="preserve">Polo TJZ9J36 - substituição_retirada em 04/08/2025
</t>
        </r>
        <r>
          <rPr>
            <sz val="9"/>
            <color indexed="81"/>
            <rFont val="Segoe UI"/>
            <family val="2"/>
          </rPr>
          <t xml:space="preserve">
</t>
        </r>
      </text>
    </comment>
  </commentList>
</comments>
</file>

<file path=xl/sharedStrings.xml><?xml version="1.0" encoding="utf-8"?>
<sst xmlns="http://schemas.openxmlformats.org/spreadsheetml/2006/main" count="8889" uniqueCount="1971">
  <si>
    <t>PLACA</t>
  </si>
  <si>
    <t>CARRO</t>
  </si>
  <si>
    <t>LOCADORA</t>
  </si>
  <si>
    <t>OBRA</t>
  </si>
  <si>
    <t>OBS</t>
  </si>
  <si>
    <t>S10</t>
  </si>
  <si>
    <t>-</t>
  </si>
  <si>
    <t>ONIX</t>
  </si>
  <si>
    <t>LOCALIZA</t>
  </si>
  <si>
    <t>UNO</t>
  </si>
  <si>
    <t>ANNE</t>
  </si>
  <si>
    <t>AMAROK</t>
  </si>
  <si>
    <t>GOL</t>
  </si>
  <si>
    <t>UNIDAS</t>
  </si>
  <si>
    <t>HILUX</t>
  </si>
  <si>
    <t>TORO</t>
  </si>
  <si>
    <t>RENEGADE</t>
  </si>
  <si>
    <t>RFM6F94</t>
  </si>
  <si>
    <t>Categoria</t>
  </si>
  <si>
    <t>DATA SUBS</t>
  </si>
  <si>
    <t>CARRO SUBS</t>
  </si>
  <si>
    <t>DATA SUBS2</t>
  </si>
  <si>
    <t>CARRO SUBS2</t>
  </si>
  <si>
    <t>DATA       ENCERRAMENTO</t>
  </si>
  <si>
    <t>STATUS</t>
  </si>
  <si>
    <t>USUARIO</t>
  </si>
  <si>
    <t>Obra</t>
  </si>
  <si>
    <t>CODIGO</t>
  </si>
  <si>
    <t>LOCAL DE RETIRADA</t>
  </si>
  <si>
    <t>Passeio</t>
  </si>
  <si>
    <t>BRASILIA</t>
  </si>
  <si>
    <t>CUMARU</t>
  </si>
  <si>
    <t>4X4</t>
  </si>
  <si>
    <t>DUSTER</t>
  </si>
  <si>
    <t>ATIVO</t>
  </si>
  <si>
    <t>DESAPROPRIAÇÃO</t>
  </si>
  <si>
    <t>LUCAS RIBEIRO</t>
  </si>
  <si>
    <t>SGG</t>
  </si>
  <si>
    <t>NATAL</t>
  </si>
  <si>
    <t>LOCAÇÃO COLABORADOR</t>
  </si>
  <si>
    <t>VOYAGE</t>
  </si>
  <si>
    <t>RANGER</t>
  </si>
  <si>
    <t>RICARDO TORUNSKY</t>
  </si>
  <si>
    <t>4X2</t>
  </si>
  <si>
    <t>PARANAPANEMA</t>
  </si>
  <si>
    <t>SOROCABA</t>
  </si>
  <si>
    <t>RECIFE</t>
  </si>
  <si>
    <t>RODRIGO MORILHO</t>
  </si>
  <si>
    <t>QXA 8199</t>
  </si>
  <si>
    <t>LONDRINA</t>
  </si>
  <si>
    <t>Foi entregue um veículo 4x2 devido não ter carro passeio no patio</t>
  </si>
  <si>
    <t>ARGO</t>
  </si>
  <si>
    <t>GARULHOS</t>
  </si>
  <si>
    <t>L200</t>
  </si>
  <si>
    <t>JOELSON</t>
  </si>
  <si>
    <t>ROBERTO FERREIRA</t>
  </si>
  <si>
    <t>PARVI</t>
  </si>
  <si>
    <t>MARCO ANTONIO</t>
  </si>
  <si>
    <t>RFH5G63</t>
  </si>
  <si>
    <t>Veículo não estava abastecido</t>
  </si>
  <si>
    <t xml:space="preserve">QYE 6085 </t>
  </si>
  <si>
    <t>TCROSS</t>
  </si>
  <si>
    <t>4x2</t>
  </si>
  <si>
    <t>QYP3A76</t>
  </si>
  <si>
    <t>ALAIN SIQUEIRA</t>
  </si>
  <si>
    <t>TERESINA</t>
  </si>
  <si>
    <t>CONTROLE UTILIZAÇÃO CARRO CORPORATIVO LOCAÇÕES MENSAIS - ATIVOS</t>
  </si>
  <si>
    <t>CONDUTOR</t>
  </si>
  <si>
    <t>VEICULO</t>
  </si>
  <si>
    <t>KM INICIAL</t>
  </si>
  <si>
    <t>KM FINAL</t>
  </si>
  <si>
    <t>KM PERCORRIDA</t>
  </si>
  <si>
    <t>MÊS</t>
  </si>
  <si>
    <t>Julho</t>
  </si>
  <si>
    <t>Agosto</t>
  </si>
  <si>
    <t>Setembro</t>
  </si>
  <si>
    <t>Outubro</t>
  </si>
  <si>
    <t>Dezembro</t>
  </si>
  <si>
    <t>CONSUMO</t>
  </si>
  <si>
    <t>Janeiro</t>
  </si>
  <si>
    <t>Fevereiro</t>
  </si>
  <si>
    <t>Março</t>
  </si>
  <si>
    <t>Abril</t>
  </si>
  <si>
    <t>Maio</t>
  </si>
  <si>
    <t>Junho</t>
  </si>
  <si>
    <t>Novembro</t>
  </si>
  <si>
    <t>LOGAN</t>
  </si>
  <si>
    <t>Folga</t>
  </si>
  <si>
    <t>RETIRADA</t>
  </si>
  <si>
    <t>RFY7G67</t>
  </si>
  <si>
    <t>AUGUSTO JAEGER</t>
  </si>
  <si>
    <t>HB20</t>
  </si>
  <si>
    <t>ANDRE PLACIDO</t>
  </si>
  <si>
    <t>DUSTER QXE 7794</t>
  </si>
  <si>
    <t>QYR6C58</t>
  </si>
  <si>
    <t>Quant</t>
  </si>
  <si>
    <t>PIRAJU</t>
  </si>
  <si>
    <t>RFJ5B90</t>
  </si>
  <si>
    <t>CONSUMO DE 01 A 15</t>
  </si>
  <si>
    <t>CONSUMO DE 16 A 31</t>
  </si>
  <si>
    <t>CONSUMO TOTAL</t>
  </si>
  <si>
    <t>ESEQUIAS</t>
  </si>
  <si>
    <t>RENEGADE RFW6A64</t>
  </si>
  <si>
    <t>NATANAEL GRANGEIRO</t>
  </si>
  <si>
    <t>JUAZEIRO</t>
  </si>
  <si>
    <t>RME5J55</t>
  </si>
  <si>
    <t>WESLEY</t>
  </si>
  <si>
    <t>Veículo retirado pelo iram e entregue dia 07/05</t>
  </si>
  <si>
    <t>JAMILLE</t>
  </si>
  <si>
    <t>TRACKER</t>
  </si>
  <si>
    <t>RML8I33</t>
  </si>
  <si>
    <t>RMP4D25</t>
  </si>
  <si>
    <t>QUD 8801</t>
  </si>
  <si>
    <t>TCROSS QYS7I76</t>
  </si>
  <si>
    <t>QYS2C06</t>
  </si>
  <si>
    <t>QYT3B20</t>
  </si>
  <si>
    <t>QYS3A26</t>
  </si>
  <si>
    <t>BARREIRAS</t>
  </si>
  <si>
    <t>QYS7J36</t>
  </si>
  <si>
    <t>QYS7J86</t>
  </si>
  <si>
    <t>Legenda</t>
  </si>
  <si>
    <t>SÃO JOSE DO RIO PRETO</t>
  </si>
  <si>
    <t>DATA SUBS4</t>
  </si>
  <si>
    <t>CARRO SUBS5</t>
  </si>
  <si>
    <t>TCROSS RFM4J87</t>
  </si>
  <si>
    <t>Retirado pelo Iram em 06/11 e entregue ao Joelson em 07/11/2021</t>
  </si>
  <si>
    <t>RNY0D96</t>
  </si>
  <si>
    <t>S10 RNS0F31</t>
  </si>
  <si>
    <t>Veículo foi substituido pelo Marcos, devido a solicitação da Unidas</t>
  </si>
  <si>
    <t>Passou para o Roberto em 28/12/2021</t>
  </si>
  <si>
    <t>DUSTER RND2C46</t>
  </si>
  <si>
    <t>TORO RNX0C53</t>
  </si>
  <si>
    <t>RFL8J66</t>
  </si>
  <si>
    <t>AEROPORTO GOIANIA</t>
  </si>
  <si>
    <t>RFV6A52</t>
  </si>
  <si>
    <t>GOIANIA</t>
  </si>
  <si>
    <t>RFL8500</t>
  </si>
  <si>
    <t>WARLEY</t>
  </si>
  <si>
    <t>PEDRO</t>
  </si>
  <si>
    <t>GLEISON</t>
  </si>
  <si>
    <t>ONIX RFZ7I71</t>
  </si>
  <si>
    <t>ARGO RFH6B50</t>
  </si>
  <si>
    <t>Veículo chegou na cidade no final de semana e entrou no parque dia 07/12/ Carro passou para Ricardo em 17/01/2022</t>
  </si>
  <si>
    <t>Veículo retirado pelo Iram e entregue no dia 08/04/ Carro passou para Joao em 17/01/2022</t>
  </si>
  <si>
    <t>RFG4F42</t>
  </si>
  <si>
    <t>RAINOR</t>
  </si>
  <si>
    <t>ARGO RTE1I62</t>
  </si>
  <si>
    <t>FORD KA QXV5E41</t>
  </si>
  <si>
    <t>RFY5F27</t>
  </si>
  <si>
    <t>JANE</t>
  </si>
  <si>
    <t>RNB2F48</t>
  </si>
  <si>
    <t>RFE4D91</t>
  </si>
  <si>
    <t>ADEILSON</t>
  </si>
  <si>
    <t>RTQ1E09</t>
  </si>
  <si>
    <t>JOSE LEONARDO</t>
  </si>
  <si>
    <t>PETROLINA</t>
  </si>
  <si>
    <t>RT03A77</t>
  </si>
  <si>
    <t>C4</t>
  </si>
  <si>
    <t>THAIS MEDEIROS</t>
  </si>
  <si>
    <t>JOSE ERIVAM</t>
  </si>
  <si>
    <t>MOVIDA</t>
  </si>
  <si>
    <t>RNS5H28</t>
  </si>
  <si>
    <t>RAIMUNDO GERSON</t>
  </si>
  <si>
    <t>Carro foi retirado por Gerardo e entregue ao Raimundo em 07/03</t>
  </si>
  <si>
    <t>RFK1H13</t>
  </si>
  <si>
    <t>RODRIGO ROLDAO</t>
  </si>
  <si>
    <t>SALVADOR</t>
  </si>
  <si>
    <t>AEROPORTO SALVADOR</t>
  </si>
  <si>
    <t>RNR1J89</t>
  </si>
  <si>
    <t>DOUGLAS BOSCHETTI</t>
  </si>
  <si>
    <t>NATAL PONTA NEGRA</t>
  </si>
  <si>
    <t>FORTALEZA</t>
  </si>
  <si>
    <t>RTL1H00</t>
  </si>
  <si>
    <t>FRONTIER</t>
  </si>
  <si>
    <t>ERIKA LIMA</t>
  </si>
  <si>
    <t>AROEIRA</t>
  </si>
  <si>
    <t>LAGOA</t>
  </si>
  <si>
    <t>AEROPORTO FORTALEZA</t>
  </si>
  <si>
    <t>RFN5J89</t>
  </si>
  <si>
    <t>ROBERTA MELO</t>
  </si>
  <si>
    <t>Veículo foi retirado por Gerardo</t>
  </si>
  <si>
    <t>RMJ6B95</t>
  </si>
  <si>
    <t>DIOSTENES</t>
  </si>
  <si>
    <t>RNR4A65</t>
  </si>
  <si>
    <t>RNA2B29</t>
  </si>
  <si>
    <t>GEORGE ANUNCIAÇÃO</t>
  </si>
  <si>
    <t>RTR7B21</t>
  </si>
  <si>
    <t>CLAUDIO AMARAL</t>
  </si>
  <si>
    <t>Carro retirado no dia 09/03 pelo Rodrigo e passado para o Diostenes dia 21/03</t>
  </si>
  <si>
    <t>RFT0F81</t>
  </si>
  <si>
    <t>JOSE SANTANA</t>
  </si>
  <si>
    <t>JONATHAN</t>
  </si>
  <si>
    <t>RMY5D97</t>
  </si>
  <si>
    <t>JOAO ADRIANO</t>
  </si>
  <si>
    <t>CRETA</t>
  </si>
  <si>
    <t>RMX8B76</t>
  </si>
  <si>
    <t>ARTHUR</t>
  </si>
  <si>
    <t>RNH5H36</t>
  </si>
  <si>
    <t>GERMANO</t>
  </si>
  <si>
    <t>RNX3G48</t>
  </si>
  <si>
    <t>LOURIVAL</t>
  </si>
  <si>
    <t>RMJ6B94</t>
  </si>
  <si>
    <t>WANDERSON CARVALHO</t>
  </si>
  <si>
    <t>RNN1G70</t>
  </si>
  <si>
    <t>LAUREANE</t>
  </si>
  <si>
    <t>RMX9C96</t>
  </si>
  <si>
    <t>ANDERSON</t>
  </si>
  <si>
    <t>RNI8E63</t>
  </si>
  <si>
    <t>RMY2A10</t>
  </si>
  <si>
    <t>FRANCISMAR</t>
  </si>
  <si>
    <t>RTF8B01</t>
  </si>
  <si>
    <t>ALIRE</t>
  </si>
  <si>
    <t>RNJ1A38</t>
  </si>
  <si>
    <t>ZULMIRA LOPES</t>
  </si>
  <si>
    <t>AVALIAÇÕES</t>
  </si>
  <si>
    <t>INATIVO</t>
  </si>
  <si>
    <t>RTB9A55</t>
  </si>
  <si>
    <t>LAILLA MACEDO</t>
  </si>
  <si>
    <t>QGM7F17</t>
  </si>
  <si>
    <t>TACIO SILVA</t>
  </si>
  <si>
    <t>RTF8B05</t>
  </si>
  <si>
    <t>FRANSLEY</t>
  </si>
  <si>
    <t>ADRIANA</t>
  </si>
  <si>
    <t>RNZ8IEE</t>
  </si>
  <si>
    <t>PKE9B77</t>
  </si>
  <si>
    <t>IAGO ALVES</t>
  </si>
  <si>
    <t>RTF8C37</t>
  </si>
  <si>
    <t>ALEXANDRE MADEIRA</t>
  </si>
  <si>
    <t>NATAL AEROPORTO</t>
  </si>
  <si>
    <t>RTM3E71</t>
  </si>
  <si>
    <t>JOSE MARIA</t>
  </si>
  <si>
    <t>JOAO CARLOS</t>
  </si>
  <si>
    <t>MELANIA</t>
  </si>
  <si>
    <t>Veículo estava com o André e repassado para a Melânia em 15/04</t>
  </si>
  <si>
    <t>Veículo estava com o Jailton e repassado para o João em 27/04</t>
  </si>
  <si>
    <t>RENEGADE RMQ4B22</t>
  </si>
  <si>
    <t>QQN 8382</t>
  </si>
  <si>
    <t>BRUNO SIVOLELLA</t>
  </si>
  <si>
    <t>GUILHERME GODOIS</t>
  </si>
  <si>
    <t>RMW 0J55</t>
  </si>
  <si>
    <t>DUSTER RMQ4C87</t>
  </si>
  <si>
    <t>KM CONTRATADO</t>
  </si>
  <si>
    <t>6000KM</t>
  </si>
  <si>
    <t>3000KM</t>
  </si>
  <si>
    <t xml:space="preserve">3000KM </t>
  </si>
  <si>
    <t>5000KM</t>
  </si>
  <si>
    <t>RMH0B14</t>
  </si>
  <si>
    <t>4x4</t>
  </si>
  <si>
    <t xml:space="preserve">ADENILTON </t>
  </si>
  <si>
    <t>CRETA RMX9C94</t>
  </si>
  <si>
    <t>C4 RNZ8IEE</t>
  </si>
  <si>
    <t>RTZ9A27</t>
  </si>
  <si>
    <t>VALMIR</t>
  </si>
  <si>
    <t>RITA MERCIA</t>
  </si>
  <si>
    <t>Veículo retirado pelo Diogo e repassado para a Rita em 03/05</t>
  </si>
  <si>
    <t>ANDRE AMARAL</t>
  </si>
  <si>
    <t>RND2C28</t>
  </si>
  <si>
    <t>QYX6C91</t>
  </si>
  <si>
    <t>THAIS VANDERLEI</t>
  </si>
  <si>
    <t>DIOGO TANILLE</t>
  </si>
  <si>
    <t>RTL5A64</t>
  </si>
  <si>
    <t>RMJ6B77</t>
  </si>
  <si>
    <t>RENEGADE RNM2B33</t>
  </si>
  <si>
    <t xml:space="preserve">C4 RTU8E36 </t>
  </si>
  <si>
    <t>JUAZEIRO - BA</t>
  </si>
  <si>
    <t>DATA 1ª SUBS</t>
  </si>
  <si>
    <t>MAPEAMENTO</t>
  </si>
  <si>
    <t>ELBER</t>
  </si>
  <si>
    <t>MODELO</t>
  </si>
  <si>
    <t>DATA 2ª SUBS</t>
  </si>
  <si>
    <t>MODELO2</t>
  </si>
  <si>
    <t>DATA 3 SUBS</t>
  </si>
  <si>
    <t>MODELO3</t>
  </si>
  <si>
    <t>RTE1I62</t>
  </si>
  <si>
    <t xml:space="preserve"> GOIANIA</t>
  </si>
  <si>
    <t>NADSON</t>
  </si>
  <si>
    <t>FEIRA DE SANTANA</t>
  </si>
  <si>
    <t>RUL4E12</t>
  </si>
  <si>
    <t>MOBI</t>
  </si>
  <si>
    <t>RNU6J01</t>
  </si>
  <si>
    <t>PICOS</t>
  </si>
  <si>
    <t>RFZ3C18</t>
  </si>
  <si>
    <t>Veículo foi entregue em Petrolina, devido a precisar ter sido entregue o carro em Petrolina, impossibilitando a logistica até Picos</t>
  </si>
  <si>
    <t>PAULO</t>
  </si>
  <si>
    <t>RTA2A27</t>
  </si>
  <si>
    <t>KICKS</t>
  </si>
  <si>
    <t>CONTIGÊNCIA QUALIDADE</t>
  </si>
  <si>
    <t>RFY4F46</t>
  </si>
  <si>
    <t>RGC2G78</t>
  </si>
  <si>
    <t>RGC2G70</t>
  </si>
  <si>
    <t>Veículo retirado pelo Augusto e Gerardo</t>
  </si>
  <si>
    <t>RUH2D55</t>
  </si>
  <si>
    <t>DEVALDO</t>
  </si>
  <si>
    <t>C4 RNZ1C32</t>
  </si>
  <si>
    <t>Devido a indisponibilidade do veículo do grupo foi entregue um superior</t>
  </si>
  <si>
    <t>QWR9447</t>
  </si>
  <si>
    <t>RMQ2C16</t>
  </si>
  <si>
    <t>ALDEMIR</t>
  </si>
  <si>
    <t>Renata</t>
  </si>
  <si>
    <t>RENEGADE RUF4J65</t>
  </si>
  <si>
    <t>EIDER BRENO</t>
  </si>
  <si>
    <t>CATEGORIA</t>
  </si>
  <si>
    <t>DATA ENCERRAMENTO</t>
  </si>
  <si>
    <t>RTN8C48</t>
  </si>
  <si>
    <t>Argo</t>
  </si>
  <si>
    <t>RFQ0178</t>
  </si>
  <si>
    <t>ROGERIO</t>
  </si>
  <si>
    <t>PROJETOS CEARA</t>
  </si>
  <si>
    <t>Veículo migrado para a Localiza</t>
  </si>
  <si>
    <t>ARGO  RUM5I29</t>
  </si>
  <si>
    <t>RUM5I29</t>
  </si>
  <si>
    <t>RUO8I29</t>
  </si>
  <si>
    <t>GIVALDO</t>
  </si>
  <si>
    <t>ALVARO</t>
  </si>
  <si>
    <t>RFZ4B11</t>
  </si>
  <si>
    <t>RTM7E34</t>
  </si>
  <si>
    <t>MICHEL</t>
  </si>
  <si>
    <t>KLEBER</t>
  </si>
  <si>
    <t>RUN6D05</t>
  </si>
  <si>
    <t>PEUGEOT</t>
  </si>
  <si>
    <t>MODELO4</t>
  </si>
  <si>
    <t>DATA 4ª SUBS</t>
  </si>
  <si>
    <t>LAERCIO</t>
  </si>
  <si>
    <t>RUH9C37</t>
  </si>
  <si>
    <t>CRONOS</t>
  </si>
  <si>
    <t>RUZ0D64 L200</t>
  </si>
  <si>
    <t>RUM5D82</t>
  </si>
  <si>
    <t>RENEGADE RNZ5J61</t>
  </si>
  <si>
    <t xml:space="preserve">RTA2B45 </t>
  </si>
  <si>
    <t>FRANCISCO EDILSON</t>
  </si>
  <si>
    <t>FABIN</t>
  </si>
  <si>
    <t>Veículo foi entregue em Petrolina, devido a precisar ter sido entregue o carro em Petrolina, impossibilitando a logistica até Picos. Veículo foi passado para o Fabin, com a saída do Arthur.</t>
  </si>
  <si>
    <t>RTY9H03</t>
  </si>
  <si>
    <t>ADEMIR</t>
  </si>
  <si>
    <t>HORIZONTE</t>
  </si>
  <si>
    <t>TAUAN</t>
  </si>
  <si>
    <t>RUX1I22</t>
  </si>
  <si>
    <t>C4 RFZ1A35</t>
  </si>
  <si>
    <t>S10 RNY7D61</t>
  </si>
  <si>
    <t>RUL2D73</t>
  </si>
  <si>
    <t>RFUD7D97</t>
  </si>
  <si>
    <t>VIRTUS</t>
  </si>
  <si>
    <t>BRAZ</t>
  </si>
  <si>
    <t>RENEGADE RUX0H17</t>
  </si>
  <si>
    <t>RNX9A67</t>
  </si>
  <si>
    <t>RUE9A65</t>
  </si>
  <si>
    <t>Veículo foi entregue em Petrolina, devido a precisar ter sido entregue o carro em Petrolina, impossibilitando a logistica até Picos/ Veículo repasso para o Breno em 14/11/2022</t>
  </si>
  <si>
    <t>C4 RMT8A08</t>
  </si>
  <si>
    <t>ARGO RNF0E22</t>
  </si>
  <si>
    <t>L200 RUK9G41</t>
  </si>
  <si>
    <t>GOL SDX5H38</t>
  </si>
  <si>
    <t>Veículo foi repassado para o Joao Adriano</t>
  </si>
  <si>
    <t>RUY1D37</t>
  </si>
  <si>
    <t>RVL0A39</t>
  </si>
  <si>
    <t>RVD3B25 RENEGADE</t>
  </si>
  <si>
    <t>ENG. AGRONOMO</t>
  </si>
  <si>
    <t>RTN8D64 RENEGADE</t>
  </si>
  <si>
    <t>RNE0B60</t>
  </si>
  <si>
    <t>SAMIRA</t>
  </si>
  <si>
    <t>RVH8G52</t>
  </si>
  <si>
    <t>C3</t>
  </si>
  <si>
    <t>ENI9F24</t>
  </si>
  <si>
    <t>RVR4H76</t>
  </si>
  <si>
    <t>Veículo retirado pelo Antonio</t>
  </si>
  <si>
    <t>SDW7B57</t>
  </si>
  <si>
    <t>PULSE</t>
  </si>
  <si>
    <t>RENEGADE RUX1H96</t>
  </si>
  <si>
    <t>RGD4F42</t>
  </si>
  <si>
    <t>Veículo retirado pelo Augusto</t>
  </si>
  <si>
    <t>RNE3H34</t>
  </si>
  <si>
    <t>RFX4B09</t>
  </si>
  <si>
    <t>Passeio 1.6</t>
  </si>
  <si>
    <t>ANTONIO (CHICÃO)</t>
  </si>
  <si>
    <t>ILIMITADO</t>
  </si>
  <si>
    <t>RP09A13</t>
  </si>
  <si>
    <t>RVY4G31</t>
  </si>
  <si>
    <t xml:space="preserve">RENEGADE RUY6G80 </t>
  </si>
  <si>
    <t>RVV9E35</t>
  </si>
  <si>
    <t>JUAZEIRO DO NORTE</t>
  </si>
  <si>
    <t>RTK8D25</t>
  </si>
  <si>
    <t>SANDERO</t>
  </si>
  <si>
    <t>JOAO PAULO</t>
  </si>
  <si>
    <t>NOVA OLINDA CGN</t>
  </si>
  <si>
    <t>RTF5A73 S10</t>
  </si>
  <si>
    <t>SUIANNE</t>
  </si>
  <si>
    <t>RMJ6B96</t>
  </si>
  <si>
    <t>RILDSON</t>
  </si>
  <si>
    <t>RTF5A73</t>
  </si>
  <si>
    <t>ADRIANO</t>
  </si>
  <si>
    <t>RUK1G33</t>
  </si>
  <si>
    <t>ALAIN</t>
  </si>
  <si>
    <t xml:space="preserve"> RMJ6B86</t>
  </si>
  <si>
    <t>RVI1H11</t>
  </si>
  <si>
    <t>MATHEUS MIRANDA</t>
  </si>
  <si>
    <t>TRACKER RUW4B73</t>
  </si>
  <si>
    <t>SHB9A62</t>
  </si>
  <si>
    <t>UALACE ROLDAO</t>
  </si>
  <si>
    <t>GIG8H82</t>
  </si>
  <si>
    <t>ANA CAROLINE</t>
  </si>
  <si>
    <t>Veículo foi repassado para a obra de Lagoa em 14/02/2023</t>
  </si>
  <si>
    <t>LUCAS</t>
  </si>
  <si>
    <t>RTJ7C86</t>
  </si>
  <si>
    <t>GUARATINGUETA</t>
  </si>
  <si>
    <t>RVS1J80</t>
  </si>
  <si>
    <t>LUIZ FERNANDO</t>
  </si>
  <si>
    <t>FURNAS ANGRA</t>
  </si>
  <si>
    <t>GUARULHOS</t>
  </si>
  <si>
    <t>MARIO RAIMO</t>
  </si>
  <si>
    <t>RTX9C83 S10</t>
  </si>
  <si>
    <t>GJD1B35</t>
  </si>
  <si>
    <t>WELLITON</t>
  </si>
  <si>
    <t>FOLGA</t>
  </si>
  <si>
    <t>RVS1J62</t>
  </si>
  <si>
    <t>Suianne</t>
  </si>
  <si>
    <t>TRACKER RUX6E92</t>
  </si>
  <si>
    <t>Veículo sofreu sinistro no dia 15/02/2023 e foi retirada um em substituição apenas em 08/03/2023</t>
  </si>
  <si>
    <t>RESUMO DO CONTROLE DE COMBUSTÍVEL</t>
  </si>
  <si>
    <t>LOCAL</t>
  </si>
  <si>
    <t>SITUAÇÃO DA OBRA</t>
  </si>
  <si>
    <t>JANEIRO</t>
  </si>
  <si>
    <t>FEVEREIRO</t>
  </si>
  <si>
    <t>MARÇO</t>
  </si>
  <si>
    <t>ABRIL</t>
  </si>
  <si>
    <t>MAIO</t>
  </si>
  <si>
    <t>JUNHO</t>
  </si>
  <si>
    <t>JULHO</t>
  </si>
  <si>
    <t>AGOSTO</t>
  </si>
  <si>
    <t>SETEMBRO</t>
  </si>
  <si>
    <t>OUTUBRO</t>
  </si>
  <si>
    <t>NOVEMBRO</t>
  </si>
  <si>
    <t>DEZEMBRO</t>
  </si>
  <si>
    <t>KM</t>
  </si>
  <si>
    <t>VALOR TOTAL</t>
  </si>
  <si>
    <t>ATIVA</t>
  </si>
  <si>
    <t>LDV-V</t>
  </si>
  <si>
    <t xml:space="preserve">MAPEAMENTO DE IMÓVEIS </t>
  </si>
  <si>
    <t>ENEL GOIANIA</t>
  </si>
  <si>
    <t>TOTAL GERAL</t>
  </si>
  <si>
    <t>ECONOMIA NO MÊS</t>
  </si>
  <si>
    <t>SHG0H04</t>
  </si>
  <si>
    <t>RENATA</t>
  </si>
  <si>
    <t>RUA7I01</t>
  </si>
  <si>
    <t>RVJ5F76</t>
  </si>
  <si>
    <t>RVX0C20</t>
  </si>
  <si>
    <t>RMJ6B86</t>
  </si>
  <si>
    <t>Veículo retirado pelo Joao Paulo</t>
  </si>
  <si>
    <t>S10 RVS1B18</t>
  </si>
  <si>
    <t>Veículo passou para George em 29/03/2023</t>
  </si>
  <si>
    <t>Veículo do George foi entregue no lugar do veículo do Lucas</t>
  </si>
  <si>
    <t>RTA4H88 RENEGADE</t>
  </si>
  <si>
    <t>RUX4D45 HB20</t>
  </si>
  <si>
    <t>SDZ7C36</t>
  </si>
  <si>
    <t>T CROSS</t>
  </si>
  <si>
    <t>SHEILA</t>
  </si>
  <si>
    <t>PEDRA PINTADA</t>
  </si>
  <si>
    <t>Veículo retirado pela Sheila</t>
  </si>
  <si>
    <t>RUV6F79</t>
  </si>
  <si>
    <t>ECU3H93</t>
  </si>
  <si>
    <t>Veículo retirado pelo Antonio (Chicão) / Veículo repassado para Maria Luiza em 31/03/2023</t>
  </si>
  <si>
    <t>Veículo estava com Maria Luiza e foi devolvido no lugar do veículo do Andre</t>
  </si>
  <si>
    <t>RUX4D45</t>
  </si>
  <si>
    <t>VOYAGE GBK0J65</t>
  </si>
  <si>
    <t>208 RT05B73</t>
  </si>
  <si>
    <t>OBRAS ATIVA</t>
  </si>
  <si>
    <t>OBSERVAÇÕES</t>
  </si>
  <si>
    <t>DNIT</t>
  </si>
  <si>
    <t>POSTO</t>
  </si>
  <si>
    <t>UALACE</t>
  </si>
  <si>
    <t>1º DIA
VALOR</t>
  </si>
  <si>
    <t>2º DIA
VALOR</t>
  </si>
  <si>
    <t>3º DIA
VALOR</t>
  </si>
  <si>
    <t>4º DIA
VALOR</t>
  </si>
  <si>
    <t>5º DIA
VALOR</t>
  </si>
  <si>
    <t>6º DIA
VALOR</t>
  </si>
  <si>
    <t>7º DIA
VALOR</t>
  </si>
  <si>
    <t>8º DIA
VALOR</t>
  </si>
  <si>
    <t>9º DIA
VALOR</t>
  </si>
  <si>
    <t>10º DIA
VALOR</t>
  </si>
  <si>
    <t>11º DIA
VALOR</t>
  </si>
  <si>
    <t>12º DIA
VALOR</t>
  </si>
  <si>
    <t>13º DIA
VALOR</t>
  </si>
  <si>
    <t>14º DIA
VALOR</t>
  </si>
  <si>
    <t>15º DIA
VALOR</t>
  </si>
  <si>
    <t>16º DIA
VALOR</t>
  </si>
  <si>
    <t>17º DIA
VALOR</t>
  </si>
  <si>
    <t>18º DIA
VALOR</t>
  </si>
  <si>
    <t>19º DIA
VALOR</t>
  </si>
  <si>
    <t>20º DIA
VALOR</t>
  </si>
  <si>
    <t>21º DIA
VALOR</t>
  </si>
  <si>
    <t>22º DIA
VALOR</t>
  </si>
  <si>
    <t>23º DIA
VALOR</t>
  </si>
  <si>
    <t>24º DIA
VALOR</t>
  </si>
  <si>
    <t>25º DIA
VALOR</t>
  </si>
  <si>
    <t>26º DIA
VALOR</t>
  </si>
  <si>
    <t>27º DIA
VALOR</t>
  </si>
  <si>
    <t>28º DIA
VALOR</t>
  </si>
  <si>
    <t>29º DIA
VALOR</t>
  </si>
  <si>
    <t>30º DIA
VALOR</t>
  </si>
  <si>
    <t>31º DIA
VALOR</t>
  </si>
  <si>
    <t>QTD
LITROS</t>
  </si>
  <si>
    <t>ABASTECIMENTO</t>
  </si>
  <si>
    <t>CLAUDIO</t>
  </si>
  <si>
    <t>RAFAEL</t>
  </si>
  <si>
    <t>DESMOBILIZADO</t>
  </si>
  <si>
    <t>ANDRE</t>
  </si>
  <si>
    <t>QTD DE VEICULOS ATIVO</t>
  </si>
  <si>
    <t>VEÍCULOS ATIVO</t>
  </si>
  <si>
    <t>QUANTIDADE VEÍCULO</t>
  </si>
  <si>
    <t>ABASTECIMENTO MÊS</t>
  </si>
  <si>
    <r>
      <t xml:space="preserve">QTD. </t>
    </r>
    <r>
      <rPr>
        <b/>
        <sz val="10"/>
        <color theme="1"/>
        <rFont val="Calibri"/>
        <family val="2"/>
        <scheme val="minor"/>
      </rPr>
      <t>ABAST.</t>
    </r>
  </si>
  <si>
    <t>ACUMULADO
ABAST.</t>
  </si>
  <si>
    <t>POSTO VIP</t>
  </si>
  <si>
    <t>DATA DE ATUALIZAÇÃO</t>
  </si>
  <si>
    <t>RVA3J73</t>
  </si>
  <si>
    <t>JUAZEIRO - CE</t>
  </si>
  <si>
    <t>PAULO RICARDO</t>
  </si>
  <si>
    <t>RVW8I65</t>
  </si>
  <si>
    <t>POSTO S. RITA</t>
  </si>
  <si>
    <t>CÓDIGO</t>
  </si>
  <si>
    <t>Veículo retirado pelo Antonio, entregue ao Jose Erivan e em novembro repassado para Rita, CARRO PASSADO PARA ALVARO</t>
  </si>
  <si>
    <t>RVA2C75</t>
  </si>
  <si>
    <t>Veículo retirado pelo George, Carro esta sendo utilizado por RITA MERCIA</t>
  </si>
  <si>
    <t>NELLO</t>
  </si>
  <si>
    <t>SHO9G87</t>
  </si>
  <si>
    <t>LIVRE</t>
  </si>
  <si>
    <t>PARACATU - MG</t>
  </si>
  <si>
    <t>RTU6D82</t>
  </si>
  <si>
    <t>GILSON</t>
  </si>
  <si>
    <t>SHQ7D52</t>
  </si>
  <si>
    <t>KWID</t>
  </si>
  <si>
    <t>VILA VELHA -ES</t>
  </si>
  <si>
    <t>PASSEIO 1.6</t>
  </si>
  <si>
    <t>PASSEIO</t>
  </si>
  <si>
    <t>ECU7C233</t>
  </si>
  <si>
    <t>ALAN</t>
  </si>
  <si>
    <t xml:space="preserve">LOCALIZA </t>
  </si>
  <si>
    <t>TCROSS ENI9F24</t>
  </si>
  <si>
    <t>DNIT - VISITA</t>
  </si>
  <si>
    <t xml:space="preserve">Veículo retirado pelo Antonio, Carro devolvido </t>
  </si>
  <si>
    <t xml:space="preserve">JOSE ERIVAN </t>
  </si>
  <si>
    <t>Veículo retirado pelo Antonio, carro do Adenilton repassado para Jose Erivan sem avarias.</t>
  </si>
  <si>
    <t>CARRO COM RASTREADOR</t>
  </si>
  <si>
    <t>SIM</t>
  </si>
  <si>
    <t>CARRO INATIVO</t>
  </si>
  <si>
    <t>NÃO</t>
  </si>
  <si>
    <t xml:space="preserve">ARLEN </t>
  </si>
  <si>
    <t>208 SHS9A71</t>
  </si>
  <si>
    <t>DATA DE USO</t>
  </si>
  <si>
    <t>USUÁRIO</t>
  </si>
  <si>
    <t>DESTINO</t>
  </si>
  <si>
    <t>PDY 6842</t>
  </si>
  <si>
    <t>VICTOR HUGO</t>
  </si>
  <si>
    <t>GUIMARANEA -MG</t>
  </si>
  <si>
    <t>PAULO AFONSO - BA</t>
  </si>
  <si>
    <t>DELMIRO GOUVEIA(AL) E CEILANDIA - DF</t>
  </si>
  <si>
    <t>TORRINHA E EMBUGUAÇU - SP</t>
  </si>
  <si>
    <t>RIO DO PEIXE - PB</t>
  </si>
  <si>
    <t>ARAXA - MG</t>
  </si>
  <si>
    <t>BARREIRAS/BA</t>
  </si>
  <si>
    <t>DIEGO</t>
  </si>
  <si>
    <t>COREMAS/PB</t>
  </si>
  <si>
    <t>UIBAI/BA</t>
  </si>
  <si>
    <t>PIRAPORA/MG</t>
  </si>
  <si>
    <t>ADALBERTO</t>
  </si>
  <si>
    <t>EDILSON</t>
  </si>
  <si>
    <t>LAGOA DO BARRO/PI</t>
  </si>
  <si>
    <t>LAGARTO/SE</t>
  </si>
  <si>
    <t>FLORESTA/PE</t>
  </si>
  <si>
    <t>SÃO JOAO DO PIAUI/PI</t>
  </si>
  <si>
    <t>OUROESTE/SP</t>
  </si>
  <si>
    <t>TONY</t>
  </si>
  <si>
    <t>DATA SUBST. CARRO</t>
  </si>
  <si>
    <t>CARRO SUBSTITUIDO</t>
  </si>
  <si>
    <t>DATA FINALIZAÇÃO USO</t>
  </si>
  <si>
    <t>PGS9869</t>
  </si>
  <si>
    <t>UFV BJ</t>
  </si>
  <si>
    <t>ACCESS</t>
  </si>
  <si>
    <t>PGS 9869</t>
  </si>
  <si>
    <t>Carlos/Luis</t>
  </si>
  <si>
    <t>17.12.2016</t>
  </si>
  <si>
    <t>Carro no galpão em 16.12</t>
  </si>
  <si>
    <t>PFY 4358</t>
  </si>
  <si>
    <t>LUIS</t>
  </si>
  <si>
    <t>PIRAPORA</t>
  </si>
  <si>
    <t>Carro entregue em 25/03-mais uso a ser considerado a partir de 27/03-Entregue Felipe dia 07/04</t>
  </si>
  <si>
    <t xml:space="preserve"> PGS 9869</t>
  </si>
  <si>
    <t>VICTOR</t>
  </si>
  <si>
    <t>Carro entregue em 24/07 - Retirada no galpão dia 07/08/2017</t>
  </si>
  <si>
    <t>S.J.BELMONTE</t>
  </si>
  <si>
    <t>Carro entregue em 13/11/2017 por Romero</t>
  </si>
  <si>
    <t>4 X 4</t>
  </si>
  <si>
    <t>Carro entregue por Edilson em 10/01 com problema freio de mão, retornou a entrega em 11/01</t>
  </si>
  <si>
    <t>PDA 1177</t>
  </si>
  <si>
    <t xml:space="preserve">AMAROK 4X4 </t>
  </si>
  <si>
    <t>Entregue em 23/03/2018</t>
  </si>
  <si>
    <t>PDJ 2372</t>
  </si>
  <si>
    <t>FERNANDA</t>
  </si>
  <si>
    <t>Foi trocado dois óleos (aguardando foto) KM:32.119</t>
  </si>
  <si>
    <t>QNF 9482</t>
  </si>
  <si>
    <t>Carro entregue Victor.28/06/2018</t>
  </si>
  <si>
    <t>GNI 6925</t>
  </si>
  <si>
    <t>PRISMA</t>
  </si>
  <si>
    <t>Carro entregue Victor. 05/07/2018</t>
  </si>
  <si>
    <t xml:space="preserve"> PCT 9415</t>
  </si>
  <si>
    <t>18.016/18.018 e 18.019</t>
  </si>
  <si>
    <t xml:space="preserve"> Acrescer uma diaria  12/07   e troca em 18/08/2018</t>
  </si>
  <si>
    <t xml:space="preserve">PGR 2514 </t>
  </si>
  <si>
    <t>4 x 4</t>
  </si>
  <si>
    <t>Carro saiu em 08/09/2018 e entregue em dia 20/09/2018 e substituido pela S10 de placa PGS 9869 entregue no dia 21/09/2018</t>
  </si>
  <si>
    <t>QOR 2213</t>
  </si>
  <si>
    <t>4 x 2</t>
  </si>
  <si>
    <t>JAMILE</t>
  </si>
  <si>
    <t>QMX 2231</t>
  </si>
  <si>
    <t xml:space="preserve">CARRO ENTREGUE POR VARELA </t>
  </si>
  <si>
    <t>QMX 0135</t>
  </si>
  <si>
    <t>CARRO ENTREGUE POR VICTOR</t>
  </si>
  <si>
    <t>QNE 1560</t>
  </si>
  <si>
    <t>CARRO ENTREGUE POR JAMILE/ANNE</t>
  </si>
  <si>
    <t>PZZ 0552</t>
  </si>
  <si>
    <t>CARRO ENTREGUE POR ANNE</t>
  </si>
  <si>
    <t>PZP 8902</t>
  </si>
  <si>
    <t>ALVES</t>
  </si>
  <si>
    <t>CARRO ENTREGUE POR ALVES</t>
  </si>
  <si>
    <t>PDI 0158</t>
  </si>
  <si>
    <t>SUCESSO</t>
  </si>
  <si>
    <t>**11/11/2018 chegaram de viagem/ Carrro entregue por Fernanda</t>
  </si>
  <si>
    <t>QPJ 4916</t>
  </si>
  <si>
    <t>FKP 7088</t>
  </si>
  <si>
    <t>QQF 5990</t>
  </si>
  <si>
    <t>Obra 19.004</t>
  </si>
  <si>
    <t>chegou sexta dia 17/05 - 17/05 seguiu conserto</t>
  </si>
  <si>
    <t>QPM 4740</t>
  </si>
  <si>
    <t>FERNANDA TOLENTINO</t>
  </si>
  <si>
    <t>Obra 19.006</t>
  </si>
  <si>
    <t>Chegou sexta 10/05 - 13/05 seguiu para conserto</t>
  </si>
  <si>
    <t>RAFAEL GOMES</t>
  </si>
  <si>
    <t>Obra 19.010</t>
  </si>
  <si>
    <t>Carro entregue por Victor - sem avarias</t>
  </si>
  <si>
    <t>MARCOS DA COSTA</t>
  </si>
  <si>
    <t>Obra 19.013</t>
  </si>
  <si>
    <t>Carro chegou no sábado dia 13/07,porém precisava tirar o reboque e lavar, por issoa entrega na segunda 15/07</t>
  </si>
  <si>
    <t>RANGER - QOW 9208</t>
  </si>
  <si>
    <t>Obra 19.015</t>
  </si>
  <si>
    <t>Troca devido a embreagem parar de funcionar</t>
  </si>
  <si>
    <t>QQY 1385</t>
  </si>
  <si>
    <t>SAVEIRO</t>
  </si>
  <si>
    <t>Obra 19.016</t>
  </si>
  <si>
    <t>QUE 8657</t>
  </si>
  <si>
    <t>MARCELO PORTUGAL</t>
  </si>
  <si>
    <t>Consorcio Conen</t>
  </si>
  <si>
    <t>QUJ 5225</t>
  </si>
  <si>
    <t>Carro chegou no dia 15/09 às 17:00</t>
  </si>
  <si>
    <t>PDU 4368</t>
  </si>
  <si>
    <t>S10 - QPI 4065</t>
  </si>
  <si>
    <t>SOLA</t>
  </si>
  <si>
    <t>Obra 18.030</t>
  </si>
  <si>
    <t>Carro com para-brisas trincado , ar não funciona</t>
  </si>
  <si>
    <t>QUT 0500</t>
  </si>
  <si>
    <t>STRADA</t>
  </si>
  <si>
    <t>Obra 19.001</t>
  </si>
  <si>
    <t>PCE 8966</t>
  </si>
  <si>
    <t>FELIPE HIPOLITO</t>
  </si>
  <si>
    <t>Obra 19.011</t>
  </si>
  <si>
    <t>Entregue por Felipe</t>
  </si>
  <si>
    <t>QUJ 2156</t>
  </si>
  <si>
    <t>ECOSPORT</t>
  </si>
  <si>
    <t>NILO CESAR</t>
  </si>
  <si>
    <t>CONSORCIO CONEN</t>
  </si>
  <si>
    <t>QPM 2436</t>
  </si>
  <si>
    <t>Obra 19.009</t>
  </si>
  <si>
    <t>Carro foi entregue a Rafael em 01/02/ Carro com avarias, chegou ao galpão dia 13/03</t>
  </si>
  <si>
    <t>QUK 8329</t>
  </si>
  <si>
    <t>OBRA 20.001</t>
  </si>
  <si>
    <t>Carro chegou no galpão dia 08/03/ Devolvido por Marcos</t>
  </si>
  <si>
    <t>QWR 0464</t>
  </si>
  <si>
    <t>Carro foi entregue a Marcos em 01/02/2020 - Carro chegou no galpão dia 07/03 e foi para revitalização/ Devolvido por Marcos</t>
  </si>
  <si>
    <t>QUT 0507</t>
  </si>
  <si>
    <t>Carro locado para levar o reboque para manutenção</t>
  </si>
  <si>
    <t>QXJ 4082</t>
  </si>
  <si>
    <t>20018/20.019</t>
  </si>
  <si>
    <t>Carro chegou no galpao em 15/07, com problemas na embreagem e parabrisa trincado</t>
  </si>
  <si>
    <t>QXJ8548</t>
  </si>
  <si>
    <t>RFG1D16</t>
  </si>
  <si>
    <t>20018/ 20.019</t>
  </si>
  <si>
    <t>PCF 6905</t>
  </si>
  <si>
    <t>JOSE DIEGO DIAS</t>
  </si>
  <si>
    <t>SOLUÇÕES RENT A CAR</t>
  </si>
  <si>
    <t>Carro chegou ao galpao em 25/09</t>
  </si>
  <si>
    <t>QUC 6650</t>
  </si>
  <si>
    <t>GILSON BUENO</t>
  </si>
  <si>
    <t>RFM6G06</t>
  </si>
  <si>
    <t>RAFAEL GOMES/MARCOS</t>
  </si>
  <si>
    <t>20.024/20.025</t>
  </si>
  <si>
    <t>QXD 0460</t>
  </si>
  <si>
    <t>QUH 6804</t>
  </si>
  <si>
    <t>20.029/20.030/20.031</t>
  </si>
  <si>
    <t>QXI 5442</t>
  </si>
  <si>
    <t>POLO</t>
  </si>
  <si>
    <t>QXA4841</t>
  </si>
  <si>
    <t>ACTIVE</t>
  </si>
  <si>
    <t>QUI3383</t>
  </si>
  <si>
    <t>HB20S</t>
  </si>
  <si>
    <t>RFP9B76</t>
  </si>
  <si>
    <t>RFN1A96 S10</t>
  </si>
  <si>
    <t>ADALBERTO ARAUJO</t>
  </si>
  <si>
    <t>O veículo chegou no galpão, porém só seguiu viagem dia 28/01</t>
  </si>
  <si>
    <t>QUY 9228</t>
  </si>
  <si>
    <t>QWS 6816</t>
  </si>
  <si>
    <t>DIEGO DIAS</t>
  </si>
  <si>
    <t>RFQ1A68</t>
  </si>
  <si>
    <t>THIAGO/DEBORA</t>
  </si>
  <si>
    <t>Of 21039 E OBRA 21015</t>
  </si>
  <si>
    <t>Utilizado dia 11 para proposta e seguiu equipe lab dia 12</t>
  </si>
  <si>
    <t>QYT2J73</t>
  </si>
  <si>
    <t>SOLUÇOES RENT A CAR</t>
  </si>
  <si>
    <t>QWS6816</t>
  </si>
  <si>
    <t xml:space="preserve"> RNC0G24</t>
  </si>
  <si>
    <t>ALEX RAMOS</t>
  </si>
  <si>
    <t xml:space="preserve">QUJ8045 </t>
  </si>
  <si>
    <t xml:space="preserve"> RFT0H82</t>
  </si>
  <si>
    <t>Veículo foi usado por Diego e Débora (a partir de 08/09)</t>
  </si>
  <si>
    <t>RFV8H14</t>
  </si>
  <si>
    <t/>
  </si>
  <si>
    <t>Veículo foi repassado para Tony e Edilson</t>
  </si>
  <si>
    <t>QQD 7740</t>
  </si>
  <si>
    <t>RNS5H18</t>
  </si>
  <si>
    <t>RFJ8C80</t>
  </si>
  <si>
    <t>FIORINO</t>
  </si>
  <si>
    <t xml:space="preserve">RAFAEL </t>
  </si>
  <si>
    <t>RNS3B89</t>
  </si>
  <si>
    <t>RFH1C71</t>
  </si>
  <si>
    <t>RGD7A64</t>
  </si>
  <si>
    <t>RNR0E79</t>
  </si>
  <si>
    <t>RNX7H29</t>
  </si>
  <si>
    <t>FVA6A54</t>
  </si>
  <si>
    <t>RNS3B85</t>
  </si>
  <si>
    <t xml:space="preserve">ALEX </t>
  </si>
  <si>
    <t>Veículo passou para Tony e Edilson em 25/03</t>
  </si>
  <si>
    <t>RTN5B43</t>
  </si>
  <si>
    <t>RLM6H19</t>
  </si>
  <si>
    <t>RNS3B86</t>
  </si>
  <si>
    <t>RFW2C76</t>
  </si>
  <si>
    <t>RNR1J94</t>
  </si>
  <si>
    <t>RTN5G47</t>
  </si>
  <si>
    <t>DEBORA</t>
  </si>
  <si>
    <t>Oferta 22052</t>
  </si>
  <si>
    <t>RNF0D39</t>
  </si>
  <si>
    <t>THIAGO</t>
  </si>
  <si>
    <t xml:space="preserve">RNS3B85 </t>
  </si>
  <si>
    <t>22020 e 22022</t>
  </si>
  <si>
    <t>Veículo entregue em Natal - Utilizado pelo Enio do período de 12 a 16/08</t>
  </si>
  <si>
    <t>RNV8E63</t>
  </si>
  <si>
    <t>22025 e 22026</t>
  </si>
  <si>
    <t>RNC2I08</t>
  </si>
  <si>
    <t>22025 e 22015</t>
  </si>
  <si>
    <t>Veículo retirado por Diego em Joao Pessoa/ Usado na obra 22025 por Rafael, Alex e Débora e 22015 Bruno e Yury</t>
  </si>
  <si>
    <t>RTR1D86</t>
  </si>
  <si>
    <t>passeio</t>
  </si>
  <si>
    <t>Veículo devolvido pela Débora</t>
  </si>
  <si>
    <t>RGB1J33</t>
  </si>
  <si>
    <t>RZJ1E52</t>
  </si>
  <si>
    <t>RUQ4E88</t>
  </si>
  <si>
    <t>L200 - RUS7F37</t>
  </si>
  <si>
    <t>ADALBERTO/ JOSE</t>
  </si>
  <si>
    <t>Veículo retirado por Rafael/ Veículo utilizado por Adalberto a partir de 18/10</t>
  </si>
  <si>
    <t>RNE8D11</t>
  </si>
  <si>
    <t>ADRIELLY</t>
  </si>
  <si>
    <t>RMK9F03</t>
  </si>
  <si>
    <t>RNR6D47</t>
  </si>
  <si>
    <t>HB20X</t>
  </si>
  <si>
    <t>RTO5B28</t>
  </si>
  <si>
    <t>RUS7F47</t>
  </si>
  <si>
    <t>RMO9E65</t>
  </si>
  <si>
    <t>MELK</t>
  </si>
  <si>
    <t>RFZ1H62</t>
  </si>
  <si>
    <t>Veículo guinchado</t>
  </si>
  <si>
    <t>RVH1F34</t>
  </si>
  <si>
    <t>JOSE ALVES</t>
  </si>
  <si>
    <t>RUH2G23</t>
  </si>
  <si>
    <t>RUS7G17</t>
  </si>
  <si>
    <t>L200 RMJ6B94</t>
  </si>
  <si>
    <t>22.029/22.010</t>
  </si>
  <si>
    <t>Veículo utilizado por Diego de 06/11 a 21/11 - Veículo utilizado pelo Jose Alves a partir de 22/11</t>
  </si>
  <si>
    <t>RFP9C09</t>
  </si>
  <si>
    <t>RVD2F82</t>
  </si>
  <si>
    <t>RUH9H42</t>
  </si>
  <si>
    <t>Fiorino</t>
  </si>
  <si>
    <t>RFZ3D13</t>
  </si>
  <si>
    <t>RUW1H85</t>
  </si>
  <si>
    <t>Toro</t>
  </si>
  <si>
    <t>SEC7B73</t>
  </si>
  <si>
    <t>Hilux</t>
  </si>
  <si>
    <t>RUQ4E89</t>
  </si>
  <si>
    <t>S10 SHG4A57</t>
  </si>
  <si>
    <t>VINICIUS</t>
  </si>
  <si>
    <t>SHG4A49</t>
  </si>
  <si>
    <t>SHG4A46</t>
  </si>
  <si>
    <t>Unidas</t>
  </si>
  <si>
    <t>Localiza</t>
  </si>
  <si>
    <t>HB20X RNU4G47</t>
  </si>
  <si>
    <t>MARIA LUIZA / GILVALDO</t>
  </si>
  <si>
    <t xml:space="preserve">RITA MERCIA / MARIA LUIZA </t>
  </si>
  <si>
    <t>SHG4A45</t>
  </si>
  <si>
    <t>RNU4G47</t>
  </si>
  <si>
    <t>SHS9A71</t>
  </si>
  <si>
    <t>CAIO GRACO</t>
  </si>
  <si>
    <t>RVB6E15</t>
  </si>
  <si>
    <t xml:space="preserve">INATIVO </t>
  </si>
  <si>
    <t>FJN2J75</t>
  </si>
  <si>
    <t>T-CROSS</t>
  </si>
  <si>
    <t>SHG3G60</t>
  </si>
  <si>
    <t xml:space="preserve">PASSEIO </t>
  </si>
  <si>
    <t>RVI6G17</t>
  </si>
  <si>
    <t>RVS1B18</t>
  </si>
  <si>
    <t>ARGO RVA0H10</t>
  </si>
  <si>
    <t>GEORGE ANUNCIAÇÃO / JONATHAN</t>
  </si>
  <si>
    <t xml:space="preserve">Veículo retirado pelo Gerardo. Carro utilizado pelo Leonardo e George anunciação. </t>
  </si>
  <si>
    <t>RVA0H10</t>
  </si>
  <si>
    <t>RTC2C91</t>
  </si>
  <si>
    <t>RUK9G23</t>
  </si>
  <si>
    <t>RENEGADE SHY2C77</t>
  </si>
  <si>
    <t>Entre na desmobilização de George Anunciação</t>
  </si>
  <si>
    <t>RVH2E00</t>
  </si>
  <si>
    <t>QTD
ABAST.</t>
  </si>
  <si>
    <t xml:space="preserve">THAIS/ CLAUDIO </t>
  </si>
  <si>
    <t>RVH2E00 TRACKER</t>
  </si>
  <si>
    <t xml:space="preserve">UNIDAS </t>
  </si>
  <si>
    <t>RVG8G08</t>
  </si>
  <si>
    <t>SHG2C72</t>
  </si>
  <si>
    <t xml:space="preserve">ROBERTA MELO </t>
  </si>
  <si>
    <t>RIO DE JANEIRO</t>
  </si>
  <si>
    <t>PARACATU/MG</t>
  </si>
  <si>
    <t>DNIT-VISITA</t>
  </si>
  <si>
    <t>VILA VELHA - ES</t>
  </si>
  <si>
    <t>saida viagem 17/07/2023</t>
  </si>
  <si>
    <t>DOUGLAS</t>
  </si>
  <si>
    <t>SHG4A57</t>
  </si>
  <si>
    <t>saida viagem 18/07/2023</t>
  </si>
  <si>
    <t>DIEGO + ADALBERTO</t>
  </si>
  <si>
    <t>Retirado na unidas 24/07/2023</t>
  </si>
  <si>
    <t>DATA 5ª SUBS2</t>
  </si>
  <si>
    <t>MODELO6</t>
  </si>
  <si>
    <t>RENEGADE RVF2B30</t>
  </si>
  <si>
    <t>??</t>
  </si>
  <si>
    <t xml:space="preserve">MARCONIS
FRANCISCO EDILSON </t>
  </si>
  <si>
    <t>RENEGADE RNZ5J33</t>
  </si>
  <si>
    <t>EDILSON /CLAUDIO AMARAL</t>
  </si>
  <si>
    <t>AROEIRA - VISTITA</t>
  </si>
  <si>
    <t>SHW6C40</t>
  </si>
  <si>
    <t>RVF2B30</t>
  </si>
  <si>
    <t>ADEMIR DOMINGOS</t>
  </si>
  <si>
    <t>TOTAL EREN</t>
  </si>
  <si>
    <t>SEO0D82</t>
  </si>
  <si>
    <t>DATA 6ª SUBS22</t>
  </si>
  <si>
    <t>MODELO7</t>
  </si>
  <si>
    <t>ARGO RGD4F42</t>
  </si>
  <si>
    <t>IBIMIRIM</t>
  </si>
  <si>
    <t>EET8J83</t>
  </si>
  <si>
    <t>SHQ9B43</t>
  </si>
  <si>
    <t>SHB4H30</t>
  </si>
  <si>
    <t>SIG2B87</t>
  </si>
  <si>
    <t>SIH5F91</t>
  </si>
  <si>
    <t>LÁZARO FARIA</t>
  </si>
  <si>
    <t>SIG2C14</t>
  </si>
  <si>
    <t>FIAT TORO</t>
  </si>
  <si>
    <t xml:space="preserve">JEEP RENEGADE </t>
  </si>
  <si>
    <t>POSTO AVULSO</t>
  </si>
  <si>
    <t>ONIX SHQ9B43</t>
  </si>
  <si>
    <t>RECIFE-PE</t>
  </si>
  <si>
    <t>MARIO RAIMO / LUIZ FERNANDO</t>
  </si>
  <si>
    <t xml:space="preserve"> LAZARO </t>
  </si>
  <si>
    <t xml:space="preserve">UALACE </t>
  </si>
  <si>
    <t>EZO9F73</t>
  </si>
  <si>
    <t xml:space="preserve">GUSTAVO </t>
  </si>
  <si>
    <t>SIM2I94</t>
  </si>
  <si>
    <t xml:space="preserve">PLANILHA DE VEÍCULOS ATIVOS </t>
  </si>
  <si>
    <t xml:space="preserve">OBRA </t>
  </si>
  <si>
    <t xml:space="preserve">CONDUTOR </t>
  </si>
  <si>
    <t xml:space="preserve">MODELO </t>
  </si>
  <si>
    <t>FATURA</t>
  </si>
  <si>
    <t>EXTRAS</t>
  </si>
  <si>
    <t xml:space="preserve">nenhuma </t>
  </si>
  <si>
    <t xml:space="preserve">LAGOA </t>
  </si>
  <si>
    <t>CONTINGÊNCIA QUALIDADE</t>
  </si>
  <si>
    <t>nenhuma</t>
  </si>
  <si>
    <t xml:space="preserve">RENEGADE </t>
  </si>
  <si>
    <t xml:space="preserve">MATHEUS MIRANDA </t>
  </si>
  <si>
    <t>SHY2C77</t>
  </si>
  <si>
    <t xml:space="preserve">ARGO </t>
  </si>
  <si>
    <t xml:space="preserve">com proteção de vidros </t>
  </si>
  <si>
    <t xml:space="preserve">IRMA MACEDO </t>
  </si>
  <si>
    <t xml:space="preserve">PULSE </t>
  </si>
  <si>
    <t xml:space="preserve">AROEIRA </t>
  </si>
  <si>
    <t xml:space="preserve">MICHEL </t>
  </si>
  <si>
    <t xml:space="preserve">DEVALDO </t>
  </si>
  <si>
    <t xml:space="preserve">CHRONOS </t>
  </si>
  <si>
    <t xml:space="preserve">MARIA LUIZA </t>
  </si>
  <si>
    <t xml:space="preserve">JONATHAN </t>
  </si>
  <si>
    <t>RT05B73</t>
  </si>
  <si>
    <t>ANTÔNIO (CHICÃO)</t>
  </si>
  <si>
    <t xml:space="preserve">GOIANIA </t>
  </si>
  <si>
    <t xml:space="preserve"> RTE1I62</t>
  </si>
  <si>
    <t xml:space="preserve">RENATA </t>
  </si>
  <si>
    <t xml:space="preserve">SUIANE </t>
  </si>
  <si>
    <t>com proteção de vidros e pneus</t>
  </si>
  <si>
    <t>LABORATORIO</t>
  </si>
  <si>
    <t>com proteção de vidros</t>
  </si>
  <si>
    <t>LAZARO</t>
  </si>
  <si>
    <t xml:space="preserve">TORO </t>
  </si>
  <si>
    <t>NICANOR / UALACE</t>
  </si>
  <si>
    <t>GUSTAVO</t>
  </si>
  <si>
    <t>Folga / Uso Particular</t>
  </si>
  <si>
    <t>FOLGAS</t>
  </si>
  <si>
    <t>Retorno viagem 08/08/2023</t>
  </si>
  <si>
    <t>Retorno viagem 27/07/2023</t>
  </si>
  <si>
    <t>Entregue na Unidas 10/08/2023</t>
  </si>
  <si>
    <t>VINICIUS e MARCILIO</t>
  </si>
  <si>
    <t>Retorno de Viagem 18/08/2023</t>
  </si>
  <si>
    <t>SEO0D96</t>
  </si>
  <si>
    <t>Retirada em Salvador 31/07/2023</t>
  </si>
  <si>
    <t>BRUNO</t>
  </si>
  <si>
    <t>Entregue 05/08/2023</t>
  </si>
  <si>
    <t>saida viagem 14/08/2023</t>
  </si>
  <si>
    <t>TONY + DAVI</t>
  </si>
  <si>
    <t>Retorno de Viagem 19/08/2023</t>
  </si>
  <si>
    <t>BRUNO + RAFAEL</t>
  </si>
  <si>
    <t>23.019 / 23.020</t>
  </si>
  <si>
    <t xml:space="preserve">Retorno de Viagem 11/09/2023 </t>
  </si>
  <si>
    <t>SHC8F96</t>
  </si>
  <si>
    <t>Retirado na unidas 20/08/2023</t>
  </si>
  <si>
    <t>Saida para viagem 22/08/2023</t>
  </si>
  <si>
    <t>Retorno de Viagem 26/08/2023</t>
  </si>
  <si>
    <t>Saida para viagem 04/09/2023</t>
  </si>
  <si>
    <t xml:space="preserve">23.019 / 23.020 / 23.006 /  </t>
  </si>
  <si>
    <t>Saida para viagem 11/09/2023</t>
  </si>
  <si>
    <t>23.021 /  23.019</t>
  </si>
  <si>
    <t>OBRA_LABORATÓRIO</t>
  </si>
  <si>
    <t>ENG.AGRONOMO</t>
  </si>
  <si>
    <t>AUGUSTO</t>
  </si>
  <si>
    <t>Desmobilizado 15/09</t>
  </si>
  <si>
    <t>Desmobilizado 16/09</t>
  </si>
  <si>
    <t xml:space="preserve">MARIO RAIMO / ANDERSON MOREIRA </t>
  </si>
  <si>
    <t>Veiculo repasado para Anderson dia 13/09/2023</t>
  </si>
  <si>
    <t>Saida para viagem 19/09/2023</t>
  </si>
  <si>
    <t>Desmobilizado 19/09</t>
  </si>
  <si>
    <t>Desmobilizado 20/09</t>
  </si>
  <si>
    <t>AGREGADO</t>
  </si>
  <si>
    <t xml:space="preserve">Planilha criada para verificar a utilização do carro na folga ou uso particular e assim verificar possivel avaria no veiculo nesse periodo. </t>
  </si>
  <si>
    <t>Orientação: Verificar rastreador e acompanhamento do check list veicular.</t>
  </si>
  <si>
    <t>LABORATÓRIO</t>
  </si>
  <si>
    <t>REBOQUE/TEREZA</t>
  </si>
  <si>
    <t>PDY6842</t>
  </si>
  <si>
    <t>S.JOAO GURGUEIA(PI)- DRACENA(SP) - CEILANDIA(DF)</t>
  </si>
  <si>
    <t>SÃO JOAO DO PIAUI - PI</t>
  </si>
  <si>
    <t>PEREIRA BARRETO - SP</t>
  </si>
  <si>
    <t>Obra 19.007</t>
  </si>
  <si>
    <t>Obra 19.015/19.017</t>
  </si>
  <si>
    <t>DOM INOCENCIO/PI - SÃO JOSE DO BELMONTE/PE - ITAPORANGA/PB</t>
  </si>
  <si>
    <t>Obra 21.013/ 21.015</t>
  </si>
  <si>
    <t>SERRA DE SÃO BENTO/RN</t>
  </si>
  <si>
    <t>TACAIMBO/PE</t>
  </si>
  <si>
    <t>BARRO ALTO/GO</t>
  </si>
  <si>
    <t>DOM INOCENCIO/PI</t>
  </si>
  <si>
    <t>JAGUARUANA/CE</t>
  </si>
  <si>
    <t>JUAZEIRO /BA</t>
  </si>
  <si>
    <t>ITAPEBI/BA</t>
  </si>
  <si>
    <t>IBIMIRIM-PE</t>
  </si>
  <si>
    <t>RODELAS /BA</t>
  </si>
  <si>
    <t>TACAIMBO/PE - BOM JESUS DA LAPA/BA</t>
  </si>
  <si>
    <t xml:space="preserve"> BOM JESUS DA LAPA/BA</t>
  </si>
  <si>
    <t>TACAIMBO/PE - CAETITE /BA</t>
  </si>
  <si>
    <t>CAETITE/BA - BOM JESUS DA LAPA /BA - BARRO ALTO E GOIANIRA /GO</t>
  </si>
  <si>
    <t>CAIÇARA DO RIO DO VENTO E RIACHUELO / RN - PICUI /PB</t>
  </si>
  <si>
    <t>JACAREI/SP e CAÇAPAVA/SP</t>
  </si>
  <si>
    <t>IPIXUMA DO PARA/PA</t>
  </si>
  <si>
    <t>TABOCAS DO BREJO VELHO/BA</t>
  </si>
  <si>
    <t>APARECIDA DO TABOADO/MS</t>
  </si>
  <si>
    <t>CAIO / ROBERTA MELO / CHICÃO</t>
  </si>
  <si>
    <t>Veículo era do Andre e foi repassado ao Douglas, com saída do Douglas, foi passado ao Caio. DIA 25/09 FOI REPASSADO O CARRO PRA CHICAO</t>
  </si>
  <si>
    <t>Retorno de Viagem 25/09/2023</t>
  </si>
  <si>
    <t>Veiculo utilizado por Anne, repassado para Suianne no dia 23/01/2023</t>
  </si>
  <si>
    <t>Desmobilizado 25/09</t>
  </si>
  <si>
    <t>TONY E DAVI (6000km)</t>
  </si>
  <si>
    <t>Carro repassado para Hermes e Samila dia 15/09/2023. Utilizado também como carro de contingência.</t>
  </si>
  <si>
    <t>ALEX +  FABIANO</t>
  </si>
  <si>
    <t>Entregue 26/09/2023</t>
  </si>
  <si>
    <t>ULTIMA REVISÃO</t>
  </si>
  <si>
    <t>28/08 - Revisão</t>
  </si>
  <si>
    <t>COTAÇÃO VEICULOS</t>
  </si>
  <si>
    <t>PROTEÇÃO</t>
  </si>
  <si>
    <t>CIDADE</t>
  </si>
  <si>
    <t xml:space="preserve">Passeio Basico </t>
  </si>
  <si>
    <t xml:space="preserve">Salvador, Feira de Santa, Recife,Goiania, Ceara  </t>
  </si>
  <si>
    <t xml:space="preserve">SUV 4X2 </t>
  </si>
  <si>
    <t>Picos</t>
  </si>
  <si>
    <t xml:space="preserve">Juazeiro - BA, Petrolina </t>
  </si>
  <si>
    <t>NÃO POSSUI UNIDAS EM PETROLINA E PICOS - COTAÇÃO COM O MESMO VALOR PARA AS DEMAIS CIDADES</t>
  </si>
  <si>
    <t xml:space="preserve">  Os valores podem oscilar de acordo com a data de retirada. No caso da Localiza o local de retirada altera o valor. </t>
  </si>
  <si>
    <t>CONTROLE DE KM - 2023 - Obras Laboratório</t>
  </si>
  <si>
    <t>HERMES XAVIER</t>
  </si>
  <si>
    <t>Folga todo domingo</t>
  </si>
  <si>
    <t xml:space="preserve">Folga final de semana </t>
  </si>
  <si>
    <t>No caminho do aeroporto, condutor informou que uma pedra bateu e fez um pequeno trinco no para-brisa. Consta foto e check list de entrega</t>
  </si>
  <si>
    <t>Retorno de Viagem 22/09/2023</t>
  </si>
  <si>
    <t>FABIANO + MIGUEL</t>
  </si>
  <si>
    <t>Retorno de viagem 27/09/2023</t>
  </si>
  <si>
    <t>Desmobilizado 30/09</t>
  </si>
  <si>
    <t>Desmobilizado 29/09</t>
  </si>
  <si>
    <t>RVL0I63</t>
  </si>
  <si>
    <t xml:space="preserve">TONY </t>
  </si>
  <si>
    <t>ENTREGA LOCADORA 03/10/2023</t>
  </si>
  <si>
    <t>Desmobilizado 03/10</t>
  </si>
  <si>
    <t>EDILSON+RAFAEL</t>
  </si>
  <si>
    <t xml:space="preserve">Laboratorio </t>
  </si>
  <si>
    <t>Entrega na Unidas 03/10/2023</t>
  </si>
  <si>
    <t xml:space="preserve">KM </t>
  </si>
  <si>
    <t>x</t>
  </si>
  <si>
    <t>Retorno de Viagem 10/10/2023</t>
  </si>
  <si>
    <t>Marcilio e Vinicius</t>
  </si>
  <si>
    <t>1252 LITROS</t>
  </si>
  <si>
    <t>Retorno de viagem 11/10/2023</t>
  </si>
  <si>
    <t>Saida para viagem 10/10/2023</t>
  </si>
  <si>
    <t>Entrega na Unidas 17/10/2023</t>
  </si>
  <si>
    <t>Saida para viagem 18/10/2023</t>
  </si>
  <si>
    <t>EDILSON+TONY</t>
  </si>
  <si>
    <t>Bom Jesus da Lapa-BA</t>
  </si>
  <si>
    <t xml:space="preserve">SIM9C98 </t>
  </si>
  <si>
    <t>SIM9C98</t>
  </si>
  <si>
    <t>IRMA MACEDO / HERMES XAVIER</t>
  </si>
  <si>
    <t>DESMOB VEICULO</t>
  </si>
  <si>
    <t>S10 RNY1D98</t>
  </si>
  <si>
    <t>SIM6A02</t>
  </si>
  <si>
    <t>FAUSTO ALENCAR</t>
  </si>
  <si>
    <t>ONIX LT</t>
  </si>
  <si>
    <t>Desmobilizado 17/10</t>
  </si>
  <si>
    <t>RNY1D98</t>
  </si>
  <si>
    <t>Desmobilizado 23/10</t>
  </si>
  <si>
    <t>Gustavo saiu da obra de São Gonçalo para Aroeira dia 24/10/2023.</t>
  </si>
  <si>
    <t>Paulo Ricardo</t>
  </si>
  <si>
    <t>Desmobilizado 30/10</t>
  </si>
  <si>
    <t>PULSE SHB4H30</t>
  </si>
  <si>
    <t>SAMILA</t>
  </si>
  <si>
    <t>HERMES</t>
  </si>
  <si>
    <t>SIT1G63</t>
  </si>
  <si>
    <t>SIU5B06</t>
  </si>
  <si>
    <t>Carro retirado por Raimundo Gerson</t>
  </si>
  <si>
    <t>SAMILA RIBEIRO</t>
  </si>
  <si>
    <t xml:space="preserve">SHEILA </t>
  </si>
  <si>
    <t>SIN6B92</t>
  </si>
  <si>
    <t>Desmobilizado 01/11</t>
  </si>
  <si>
    <t xml:space="preserve">Janeiro </t>
  </si>
  <si>
    <t>FABIO SIQUEIRA</t>
  </si>
  <si>
    <t>RNX9A52</t>
  </si>
  <si>
    <t xml:space="preserve">NATAL -- RN </t>
  </si>
  <si>
    <t>CGN</t>
  </si>
  <si>
    <t>JERFFERSON MOREIRA</t>
  </si>
  <si>
    <t>RETROFIT LAGOA CGN</t>
  </si>
  <si>
    <t>CARLOS EDUARDO</t>
  </si>
  <si>
    <t>ANTONIO VAGNER</t>
  </si>
  <si>
    <t>RVJ0I15</t>
  </si>
  <si>
    <t>Saida para viagem 20/11/2023</t>
  </si>
  <si>
    <t>ALEX</t>
  </si>
  <si>
    <t>SHV3E43</t>
  </si>
  <si>
    <t>93.</t>
  </si>
  <si>
    <t>94.</t>
  </si>
  <si>
    <t>PICOS - PI</t>
  </si>
  <si>
    <t>95.</t>
  </si>
  <si>
    <t>JUAZEIRO DO NORTE - CE</t>
  </si>
  <si>
    <t>RVS1B22</t>
  </si>
  <si>
    <t>Saida para viagem 29/11/2023</t>
  </si>
  <si>
    <t>MARCILIO + VINICIUS</t>
  </si>
  <si>
    <t>S10 SHF5J17</t>
  </si>
  <si>
    <t>96.</t>
  </si>
  <si>
    <t>SJB3G42</t>
  </si>
  <si>
    <t>C3 LIVE</t>
  </si>
  <si>
    <t>RUP2B88</t>
  </si>
  <si>
    <t>23.084 / 23.092 / 23.093</t>
  </si>
  <si>
    <t>Riachinho-MG / Caetité-BA /Serra da Babilônia-BA  e Cidade de Morro do Chapéu- BA</t>
  </si>
  <si>
    <t>CARRO SUBSTITUIDO EM FORTALEZA SEO0D92 (HILUX)</t>
  </si>
  <si>
    <t>Efetuada troca em Fortaleza</t>
  </si>
  <si>
    <t>ALAIN /DEVALDO</t>
  </si>
  <si>
    <t>JOAO PAULO / JOSE CARLOS</t>
  </si>
  <si>
    <t>ANDRE / UALACE</t>
  </si>
  <si>
    <t>Desmobilizado 28/12</t>
  </si>
  <si>
    <t>SEO0D92</t>
  </si>
  <si>
    <t>97.</t>
  </si>
  <si>
    <t>ALAIN/DEVALDO</t>
  </si>
  <si>
    <t>SEA2D46</t>
  </si>
  <si>
    <t>Desmobilizado 02/01/2024</t>
  </si>
  <si>
    <t>SHY3B37</t>
  </si>
  <si>
    <t xml:space="preserve">RETIRADA LOCADORA </t>
  </si>
  <si>
    <t>RNC5H57</t>
  </si>
  <si>
    <t>SUBSTITUIÇÃO DA RNC2I08</t>
  </si>
  <si>
    <t>Saida para viagem 04/01/2024</t>
  </si>
  <si>
    <t>ARARIPINA - PE</t>
  </si>
  <si>
    <t xml:space="preserve">BRUNO </t>
  </si>
  <si>
    <t>Saida para viagem 05/01/2024</t>
  </si>
  <si>
    <t xml:space="preserve">São Zacarias 24001 - Serra da Babilônia 23030 - Caetité  23029 - Urucuia </t>
  </si>
  <si>
    <t>MONTANA</t>
  </si>
  <si>
    <t xml:space="preserve">Riachinho-MG </t>
  </si>
  <si>
    <t>Retirada na UNIDAS de Brasilia</t>
  </si>
  <si>
    <t>SHY6H68</t>
  </si>
  <si>
    <t>09/01/2024 - REVISAO 10000</t>
  </si>
  <si>
    <t>CONTROLE DE KM - 2024 - 22007_LDV-V</t>
  </si>
  <si>
    <t>CONTROLE DE KM - 2023_23026_ENG PROPRIETARIO
RETROFIT LAGOA DO BARRO_CGN</t>
  </si>
  <si>
    <t>CONSUMO
DE 16 A 31</t>
  </si>
  <si>
    <t>CONSUMO
 DE 01 A 15</t>
  </si>
  <si>
    <t>PEDRO / RAINOR</t>
  </si>
  <si>
    <t>SIE1C81</t>
  </si>
  <si>
    <t>Desmobilizado 05/01/2024</t>
  </si>
  <si>
    <t>ENG AGRONOMO</t>
  </si>
  <si>
    <t>Retorno de viagem 13/01/2024</t>
  </si>
  <si>
    <t>ENTREGA LOCADORA 13/01/2024</t>
  </si>
  <si>
    <t>17/01 MUDOU AS DUPLAS DE AUXILIARES: DAVI + EGUIBERTO</t>
  </si>
  <si>
    <t>Jamille</t>
  </si>
  <si>
    <r>
      <rPr>
        <b/>
        <sz val="11"/>
        <color theme="1"/>
        <rFont val="Calibri"/>
        <family val="2"/>
        <scheme val="minor"/>
      </rPr>
      <t>BRUNO</t>
    </r>
    <r>
      <rPr>
        <sz val="11"/>
        <color theme="1"/>
        <rFont val="Calibri"/>
        <family val="2"/>
        <scheme val="minor"/>
      </rPr>
      <t xml:space="preserve"> + EGUIBERTO</t>
    </r>
  </si>
  <si>
    <r>
      <rPr>
        <b/>
        <sz val="11"/>
        <color theme="1"/>
        <rFont val="Calibri"/>
        <family val="2"/>
        <scheme val="minor"/>
      </rPr>
      <t>DAVI</t>
    </r>
    <r>
      <rPr>
        <sz val="11"/>
        <color theme="1"/>
        <rFont val="Calibri"/>
        <family val="2"/>
        <scheme val="minor"/>
      </rPr>
      <t xml:space="preserve"> + MARCILIO</t>
    </r>
  </si>
  <si>
    <r>
      <rPr>
        <b/>
        <sz val="11"/>
        <color theme="1"/>
        <rFont val="Calibri"/>
        <family val="2"/>
        <scheme val="minor"/>
      </rPr>
      <t>DOUGLAS</t>
    </r>
    <r>
      <rPr>
        <sz val="11"/>
        <color theme="1"/>
        <rFont val="Calibri"/>
        <family val="2"/>
        <scheme val="minor"/>
      </rPr>
      <t xml:space="preserve"> + ADALBERTO + BRUNO</t>
    </r>
  </si>
  <si>
    <r>
      <rPr>
        <b/>
        <sz val="11"/>
        <color theme="1"/>
        <rFont val="Calibri"/>
        <family val="2"/>
        <scheme val="minor"/>
      </rPr>
      <t>TONY</t>
    </r>
    <r>
      <rPr>
        <sz val="11"/>
        <color theme="1"/>
        <rFont val="Calibri"/>
        <family val="2"/>
        <scheme val="minor"/>
      </rPr>
      <t>+VINICIUS</t>
    </r>
  </si>
  <si>
    <t>SHF5J17</t>
  </si>
  <si>
    <t>RENEGADE SIG2E24</t>
  </si>
  <si>
    <t>Veículo migrado para a Localiza. Repasse para Renata em 24/03/2023. Condutora antiga Jamille. Dia 19/01/2024 Renata repassou o veiculo para Jamille</t>
  </si>
  <si>
    <t>S10 SHG4A99</t>
  </si>
  <si>
    <t>RUS7F43</t>
  </si>
  <si>
    <t>Retirada na UNIDAS</t>
  </si>
  <si>
    <t>Saida para viagem 23/01/2024</t>
  </si>
  <si>
    <t>ENTREGA LOCADORA 16/01/2024</t>
  </si>
  <si>
    <t>Desmobilizado 19/01</t>
  </si>
  <si>
    <r>
      <t xml:space="preserve">17/01 MUDOU AS DUPLAS DE AUXILIARES: BRUNO + MARCILIO // CARRO SUBSTITUIDO EM UNAI NO DIA 23/01 </t>
    </r>
    <r>
      <rPr>
        <b/>
        <sz val="11"/>
        <color rgb="FF0000CC"/>
        <rFont val="Calibri"/>
        <family val="2"/>
        <scheme val="minor"/>
      </rPr>
      <t>SHW4J18</t>
    </r>
    <r>
      <rPr>
        <b/>
        <sz val="11"/>
        <color theme="1"/>
        <rFont val="Calibri"/>
        <family val="2"/>
        <scheme val="minor"/>
      </rPr>
      <t xml:space="preserve"> (PROTOCOLO LOCALIZA 202417248765)</t>
    </r>
  </si>
  <si>
    <t>SHG9C44</t>
  </si>
  <si>
    <t>VALE DO MOXOTÓ</t>
  </si>
  <si>
    <t>SIG2E24</t>
  </si>
  <si>
    <t xml:space="preserve"> Caetité 23029,  Babilônia 23030, Zacarias  24001 ,  </t>
  </si>
  <si>
    <t xml:space="preserve">29/01/2024 - alinhamento e balanceamento </t>
  </si>
  <si>
    <t xml:space="preserve">RAINOR </t>
  </si>
  <si>
    <t>Carro repassado para Anderson dia 01/02/2024.</t>
  </si>
  <si>
    <t>ONIX SIM5H02</t>
  </si>
  <si>
    <t>SIM5H02</t>
  </si>
  <si>
    <t xml:space="preserve">ESEQUIAS </t>
  </si>
  <si>
    <t>SYD7G06</t>
  </si>
  <si>
    <t>SALVADOR - BA</t>
  </si>
  <si>
    <t>SHG4A99</t>
  </si>
  <si>
    <t>CONTROLE DE KM - 2024 - 22000_ARO</t>
  </si>
  <si>
    <t>ARO</t>
  </si>
  <si>
    <t>TOTAL ACUMULADO DE DESPESAS 2024</t>
  </si>
  <si>
    <t>SHW4J18</t>
  </si>
  <si>
    <t>ENTREGA LOCADORA</t>
  </si>
  <si>
    <t>Entrega efetuada por Marcilio</t>
  </si>
  <si>
    <t>POSTO SANTA RITA</t>
  </si>
  <si>
    <t>POTO VIP</t>
  </si>
  <si>
    <t>Desmobilizado 01/02/2024</t>
  </si>
  <si>
    <t>99.</t>
  </si>
  <si>
    <t>ELERA</t>
  </si>
  <si>
    <t>ROBSON COSTA</t>
  </si>
  <si>
    <t>SIH3A51</t>
  </si>
  <si>
    <t>MONTES CLAROS - MG</t>
  </si>
  <si>
    <t>100.</t>
  </si>
  <si>
    <t>PAULO ABREU</t>
  </si>
  <si>
    <t>SYD0D79</t>
  </si>
  <si>
    <t xml:space="preserve">Passeio </t>
  </si>
  <si>
    <t>101.</t>
  </si>
  <si>
    <t>SJE8C04</t>
  </si>
  <si>
    <t>Retorno viagem 09/02/2024</t>
  </si>
  <si>
    <t>Desmobilizado 09/02/2024</t>
  </si>
  <si>
    <t>Desmobilizado 12/02/2024</t>
  </si>
  <si>
    <t>102.</t>
  </si>
  <si>
    <t>MARCO AURELIO</t>
  </si>
  <si>
    <t>SYD0D94</t>
  </si>
  <si>
    <t>ENTREGA NA LOCADORA 16/02/2024</t>
  </si>
  <si>
    <t>Entrega efetuada por Tony</t>
  </si>
  <si>
    <t>MARCILIO</t>
  </si>
  <si>
    <t>ENTREGA NA LOCADORA 09/02/2024</t>
  </si>
  <si>
    <t>103.</t>
  </si>
  <si>
    <t>SJE5A88</t>
  </si>
  <si>
    <t>TACAIMBO - PE</t>
  </si>
  <si>
    <t xml:space="preserve">Retirada na UNIDAS </t>
  </si>
  <si>
    <t>SYD6I22</t>
  </si>
  <si>
    <t xml:space="preserve">23029 / 23030 / 24001 </t>
  </si>
  <si>
    <t>SEA1I86</t>
  </si>
  <si>
    <t>SUV 4X2</t>
  </si>
  <si>
    <t xml:space="preserve">ANDERSON </t>
  </si>
  <si>
    <t>RVY3C19</t>
  </si>
  <si>
    <t>JOSE LUIS</t>
  </si>
  <si>
    <t>SEDE</t>
  </si>
  <si>
    <t>JEEP COMPASS</t>
  </si>
  <si>
    <t>Retorno de Viagem 01/03/2024</t>
  </si>
  <si>
    <r>
      <t xml:space="preserve">TONY + </t>
    </r>
    <r>
      <rPr>
        <sz val="11"/>
        <color theme="1"/>
        <rFont val="Calibri"/>
        <family val="2"/>
        <scheme val="minor"/>
      </rPr>
      <t>MARCILIO</t>
    </r>
  </si>
  <si>
    <r>
      <t xml:space="preserve">ADALBERTO + </t>
    </r>
    <r>
      <rPr>
        <sz val="11"/>
        <color theme="1"/>
        <rFont val="Calibri"/>
        <family val="2"/>
        <scheme val="minor"/>
      </rPr>
      <t>EGUIBERTO</t>
    </r>
  </si>
  <si>
    <r>
      <t xml:space="preserve">DAVI + </t>
    </r>
    <r>
      <rPr>
        <sz val="11"/>
        <color theme="1"/>
        <rFont val="Calibri"/>
        <family val="2"/>
        <scheme val="minor"/>
      </rPr>
      <t>VINICIUS</t>
    </r>
  </si>
  <si>
    <t>105.</t>
  </si>
  <si>
    <t>106.</t>
  </si>
  <si>
    <t>SHV4I10</t>
  </si>
  <si>
    <t xml:space="preserve">SIM </t>
  </si>
  <si>
    <t>SIE1B97</t>
  </si>
  <si>
    <t xml:space="preserve">POLO TRACK </t>
  </si>
  <si>
    <t>STB1B80</t>
  </si>
  <si>
    <t>BARREIRAS - BA</t>
  </si>
  <si>
    <t>ONIX SIN6B14</t>
  </si>
  <si>
    <t>DEVOLUÇÃO DIA 05/03/2024</t>
  </si>
  <si>
    <t>SIN6B14</t>
  </si>
  <si>
    <t>POSTO CAMACAM</t>
  </si>
  <si>
    <t>DANILO</t>
  </si>
  <si>
    <t>PEUGEOT 208 RTG4C60</t>
  </si>
  <si>
    <t>DANIEL</t>
  </si>
  <si>
    <t>PEUGEOT 208</t>
  </si>
  <si>
    <t>RTG4C60</t>
  </si>
  <si>
    <t>15/03 revisao 10000</t>
  </si>
  <si>
    <t>PULSE RVJ8D67</t>
  </si>
  <si>
    <t>Retorno de Viagem 18/03/2024</t>
  </si>
  <si>
    <t>LAZARO FARIA</t>
  </si>
  <si>
    <t>RVJ8D67</t>
  </si>
  <si>
    <t>FAUSTO ALENCAR / ANDRE E UALACE</t>
  </si>
  <si>
    <t xml:space="preserve">PEUGEOT REPASSADO PARA UALACE E ANDRE </t>
  </si>
  <si>
    <t>Carro retirado por Andre para obra de Ibimirim. Carros compartilhados ONIX REPASSADO PARA DANIEL DIA 12/03/2024</t>
  </si>
  <si>
    <t>107.</t>
  </si>
  <si>
    <t>JACQUES SANTOS</t>
  </si>
  <si>
    <t xml:space="preserve">DANIEL </t>
  </si>
  <si>
    <t>Carro retirado na subsituição da TORO SIG2B87</t>
  </si>
  <si>
    <t>ONIX SHQ6E86</t>
  </si>
  <si>
    <t>ANDRE E UALACE</t>
  </si>
  <si>
    <t>SHQ6E86</t>
  </si>
  <si>
    <t>Desmobilizado 14/02/2024</t>
  </si>
  <si>
    <t>POLO SSV6D80</t>
  </si>
  <si>
    <t>Protocolo de substiuição 202416992252 21/12 (veiculo colocado para manutenção)</t>
  </si>
  <si>
    <t xml:space="preserve"> </t>
  </si>
  <si>
    <t xml:space="preserve">DAVI </t>
  </si>
  <si>
    <t>DEVOLUÇÃO  LOCADORA</t>
  </si>
  <si>
    <t>108.</t>
  </si>
  <si>
    <t xml:space="preserve">ILLICHI </t>
  </si>
  <si>
    <t>SAQ6E86</t>
  </si>
  <si>
    <t>109.</t>
  </si>
  <si>
    <t>110.</t>
  </si>
  <si>
    <t>111.</t>
  </si>
  <si>
    <t>112.</t>
  </si>
  <si>
    <t>113.</t>
  </si>
  <si>
    <t>114.</t>
  </si>
  <si>
    <t>SUSTENTABILIDADE</t>
  </si>
  <si>
    <t>LUCIANE SOARES</t>
  </si>
  <si>
    <t>SYD7E62</t>
  </si>
  <si>
    <t>BRASILIA - DF</t>
  </si>
  <si>
    <t>MONTES CLAROS</t>
  </si>
  <si>
    <t>SIG2E45</t>
  </si>
  <si>
    <t>LUCIANE</t>
  </si>
  <si>
    <t>JOSEANE</t>
  </si>
  <si>
    <t xml:space="preserve">ALIRE CAVALCANTE </t>
  </si>
  <si>
    <t>EGK2E03</t>
  </si>
  <si>
    <t>FORTALEZA - CE</t>
  </si>
  <si>
    <t>CGN RUSSAS</t>
  </si>
  <si>
    <t>SYD6H59</t>
  </si>
  <si>
    <t>ONIX SYM2I07</t>
  </si>
  <si>
    <r>
      <t xml:space="preserve">VINICIUS + </t>
    </r>
    <r>
      <rPr>
        <sz val="11"/>
        <color theme="1"/>
        <rFont val="Calibri"/>
        <family val="2"/>
        <scheme val="minor"/>
      </rPr>
      <t>DAVI</t>
    </r>
  </si>
  <si>
    <t>UFV FLOR DO SERTÃO - CAETITE -BA</t>
  </si>
  <si>
    <t xml:space="preserve">CAIO </t>
  </si>
  <si>
    <t xml:space="preserve">ERIKA </t>
  </si>
  <si>
    <t>SHX8B47</t>
  </si>
  <si>
    <t>RETIRADA DO VEICULO 08/04/2024</t>
  </si>
  <si>
    <t>AGIL</t>
  </si>
  <si>
    <t>SHY3B06</t>
  </si>
  <si>
    <t>115.</t>
  </si>
  <si>
    <t>ELIOMAR</t>
  </si>
  <si>
    <t>TCROOS</t>
  </si>
  <si>
    <t>SIJ3F45</t>
  </si>
  <si>
    <r>
      <t xml:space="preserve">BRUNO + </t>
    </r>
    <r>
      <rPr>
        <sz val="11"/>
        <color theme="1"/>
        <rFont val="Calibri"/>
        <family val="2"/>
        <scheme val="minor"/>
      </rPr>
      <t>RAFAEL</t>
    </r>
  </si>
  <si>
    <t>RUI0E78</t>
  </si>
  <si>
    <t>RVS1B07</t>
  </si>
  <si>
    <t>24.013 /23.029</t>
  </si>
  <si>
    <t>24.013 / 23.029</t>
  </si>
  <si>
    <t>UFV SÃO VITOR - XIQUE-XIQUE -BA / CAETITE - BA</t>
  </si>
  <si>
    <t>UFV SÃO VITOR - XIQUE-XIQUE -BA/ CAETITE - BA</t>
  </si>
  <si>
    <t>DESATIVADA</t>
  </si>
  <si>
    <t>ILLICHI</t>
  </si>
  <si>
    <t>Desmobilizado 08/04/2024</t>
  </si>
  <si>
    <t>TESTE FUMAÇA PRETA</t>
  </si>
  <si>
    <t xml:space="preserve">ELERA </t>
  </si>
  <si>
    <t>RETIRADA DO VEICULO 15/04/2024</t>
  </si>
  <si>
    <t>GARANHUNS - PE / UFV COLINAS</t>
  </si>
  <si>
    <t>RUS7G23</t>
  </si>
  <si>
    <t>RETIRADA DO VEICULO DIA 08/04/2024</t>
  </si>
  <si>
    <t>DEVOLUÇÃO  DO VEICULO 12/04/2024</t>
  </si>
  <si>
    <t>GESTÃO DE FROTAS</t>
  </si>
  <si>
    <t>CONTROLE GERAL DE VEÍCULOS - ATIVOS E INATIVOS</t>
  </si>
  <si>
    <t>ADALBERTO + EGUIBERTO</t>
  </si>
  <si>
    <t>CGN lagoa</t>
  </si>
  <si>
    <t>CGN russas</t>
  </si>
  <si>
    <t>FELIPE</t>
  </si>
  <si>
    <t>RVS9E06</t>
  </si>
  <si>
    <t>JUSSARA</t>
  </si>
  <si>
    <t>IVNNA</t>
  </si>
  <si>
    <t>SIM1I90</t>
  </si>
  <si>
    <t>CHRIS</t>
  </si>
  <si>
    <t>NOVO ACORDO 
05/2024 - loja franqueada</t>
  </si>
  <si>
    <t>ANDRE GADELHA</t>
  </si>
  <si>
    <t>ERIC TOLEDO</t>
  </si>
  <si>
    <t>WAGNER</t>
  </si>
  <si>
    <t>116.</t>
  </si>
  <si>
    <t>117.</t>
  </si>
  <si>
    <t xml:space="preserve">WAGNER </t>
  </si>
  <si>
    <t>TCROSS SHX9G91</t>
  </si>
  <si>
    <t>118.</t>
  </si>
  <si>
    <t xml:space="preserve">FELIPE </t>
  </si>
  <si>
    <t>JAIRO LEÃO</t>
  </si>
  <si>
    <t>119.</t>
  </si>
  <si>
    <t>220.</t>
  </si>
  <si>
    <t>221.</t>
  </si>
  <si>
    <t>222.</t>
  </si>
  <si>
    <t>223.</t>
  </si>
  <si>
    <t>GTN6B31</t>
  </si>
  <si>
    <t>RETORNO DE VIAGEM 29/04/2024</t>
  </si>
  <si>
    <t>SIN6B88</t>
  </si>
  <si>
    <r>
      <t xml:space="preserve">Troca de dupla VINICIUS + </t>
    </r>
    <r>
      <rPr>
        <sz val="11"/>
        <color theme="1"/>
        <rFont val="Calibri"/>
        <family val="2"/>
        <scheme val="minor"/>
      </rPr>
      <t>RAFAEL 02/05/2024 - OBRA CAETITE 24.010</t>
    </r>
  </si>
  <si>
    <r>
      <t xml:space="preserve">Troca de dupla BRUNOI + </t>
    </r>
    <r>
      <rPr>
        <sz val="11"/>
        <color theme="1"/>
        <rFont val="Calibri"/>
        <family val="2"/>
        <scheme val="minor"/>
      </rPr>
      <t xml:space="preserve">DAVI  02/05/2024 </t>
    </r>
  </si>
  <si>
    <t>SHG7D06</t>
  </si>
  <si>
    <t>EZP8A71</t>
  </si>
  <si>
    <t xml:space="preserve">DANIEL - CLAUDIO </t>
  </si>
  <si>
    <t>JOSE CARLOS</t>
  </si>
  <si>
    <t xml:space="preserve"> JOSE CARLOS - ANDRE E UALACE</t>
  </si>
  <si>
    <t>CARRO REPASSADO PARA ANDRE E UALACE</t>
  </si>
  <si>
    <t>Carro retirado por andre que sera utilizado por Jose Carlos</t>
  </si>
  <si>
    <t>SYU1D42</t>
  </si>
  <si>
    <t>GTN6E01</t>
  </si>
  <si>
    <t>Carro rebocado dia 06/05/2024 e efetuada a substituição dia 07/05 em Juazeiro-BA</t>
  </si>
  <si>
    <t>S10 RNR4A60</t>
  </si>
  <si>
    <t>S10 SYD6I22</t>
  </si>
  <si>
    <t>CGN LAGOA</t>
  </si>
  <si>
    <t>224.</t>
  </si>
  <si>
    <t>225.</t>
  </si>
  <si>
    <t>226.</t>
  </si>
  <si>
    <t>227.</t>
  </si>
  <si>
    <t>228.</t>
  </si>
  <si>
    <t>SHX9G91</t>
  </si>
  <si>
    <t>JAIRO</t>
  </si>
  <si>
    <t xml:space="preserve">CLAUDIO </t>
  </si>
  <si>
    <t>RNR4A60</t>
  </si>
  <si>
    <t>ARINOS</t>
  </si>
  <si>
    <t>VEICULO DO PROFISSIONAL</t>
  </si>
  <si>
    <t>ROGERIO SERQUEIRA</t>
  </si>
  <si>
    <t>FRANCISCO JONATAS</t>
  </si>
  <si>
    <t>GETULINA-SP / PARAISO DAS AGUAS-MS</t>
  </si>
  <si>
    <t>24.009.3 / 24.009.1</t>
  </si>
  <si>
    <t xml:space="preserve">CGN </t>
  </si>
  <si>
    <t>JONATAS</t>
  </si>
  <si>
    <t>SYD7F03</t>
  </si>
  <si>
    <t>FZY3G53</t>
  </si>
  <si>
    <t>RETORNO DE VIAGEM 13/05/2024</t>
  </si>
  <si>
    <t>URUCUIA - BA / GETULINA-SP / PARAISO DAS AGUAS-MS</t>
  </si>
  <si>
    <t xml:space="preserve">UFV SÃO VITOR - XIQUE-XIQUE -BA </t>
  </si>
  <si>
    <t>SJC2A75</t>
  </si>
  <si>
    <t>SIH5G62</t>
  </si>
  <si>
    <t xml:space="preserve">ENTREGA DO VEICULO. </t>
  </si>
  <si>
    <t>SEO0D94</t>
  </si>
  <si>
    <t>LUIZ</t>
  </si>
  <si>
    <t>RETORNO DE VIAGEM 18/05/2024</t>
  </si>
  <si>
    <t>ENTREGA DO VEICULO NA LOCALIZA</t>
  </si>
  <si>
    <t>RENEGADE RVU5A22</t>
  </si>
  <si>
    <t>GTN7F62</t>
  </si>
  <si>
    <t>SYD7E73</t>
  </si>
  <si>
    <t>QMZ5D58</t>
  </si>
  <si>
    <t xml:space="preserve">RETIRADA DO VEICULO </t>
  </si>
  <si>
    <t>CLAUDIO FREITAS</t>
  </si>
  <si>
    <t>SWJ7I31</t>
  </si>
  <si>
    <t xml:space="preserve">JOSE CARLOS </t>
  </si>
  <si>
    <t>RODOLFO</t>
  </si>
  <si>
    <t>RETORNO VIAGEM 10/06/2024</t>
  </si>
  <si>
    <t>VARZEA</t>
  </si>
  <si>
    <t>Douglas / Maycon / Bruno / Rafael;</t>
  </si>
  <si>
    <t>229.</t>
  </si>
  <si>
    <t>RUH5B49</t>
  </si>
  <si>
    <t>RETORNO VIAGEM 17/06/2024</t>
  </si>
  <si>
    <t>IGOR</t>
  </si>
  <si>
    <t>24.009.2</t>
  </si>
  <si>
    <t>Desmobilizado 08/06/2024</t>
  </si>
  <si>
    <t>Desmobilizado 19/04/2024</t>
  </si>
  <si>
    <t>Desmobilizado 22/05/2024</t>
  </si>
  <si>
    <t>Desmobilizado 06/05/2024</t>
  </si>
  <si>
    <t>Desmobilizado 05/05/2024</t>
  </si>
  <si>
    <t>Desmobilizado 21/05/2024</t>
  </si>
  <si>
    <t>Desmobilizado 26/03/2024</t>
  </si>
  <si>
    <t>GEFERSON</t>
  </si>
  <si>
    <t>Uso particular do veiculo 22/06- 24/06</t>
  </si>
  <si>
    <t>IRECE-BA/UFV São Gabriel</t>
  </si>
  <si>
    <t>GETULINA-SP / PARAISO DAS AGUAS-MS/UFV São Gabriel</t>
  </si>
  <si>
    <t>24.009.3 / 24.009.1/24.009.2</t>
  </si>
  <si>
    <t>Em São Gabriel houve a troca das duplas Vinicius + BALTAZAR</t>
  </si>
  <si>
    <t>Em São Gabriel houve a troca das duplas Vinicius + HUGO</t>
  </si>
  <si>
    <t>EBO3D71</t>
  </si>
  <si>
    <t>FEIRA DE SANTANA - BA</t>
  </si>
  <si>
    <r>
      <rPr>
        <sz val="11"/>
        <color theme="1"/>
        <rFont val="Calibri"/>
        <family val="2"/>
        <scheme val="minor"/>
      </rPr>
      <t>MAYCON</t>
    </r>
    <r>
      <rPr>
        <b/>
        <sz val="11"/>
        <color theme="1"/>
        <rFont val="Calibri"/>
        <family val="2"/>
        <scheme val="minor"/>
      </rPr>
      <t xml:space="preserve"> + BALTAZAR</t>
    </r>
    <r>
      <rPr>
        <sz val="11"/>
        <color theme="1"/>
        <rFont val="Calibri"/>
        <family val="2"/>
        <scheme val="minor"/>
      </rPr>
      <t>+HUGO</t>
    </r>
  </si>
  <si>
    <t>230.</t>
  </si>
  <si>
    <t>MARCELO OLIVEIRA</t>
  </si>
  <si>
    <t>VITORIA DA CONQUISTA</t>
  </si>
  <si>
    <t>VITORIA DA CONQUISTA - BA</t>
  </si>
  <si>
    <t>24017 / 24.009.3 / 24.009.1</t>
  </si>
  <si>
    <t>SYA3D62</t>
  </si>
  <si>
    <t>231.</t>
  </si>
  <si>
    <t>232.</t>
  </si>
  <si>
    <t>PEDRO PAULO</t>
  </si>
  <si>
    <t>SYA3C98</t>
  </si>
  <si>
    <t>carro liberado dia 01/07/2024 - pai faleceu</t>
  </si>
  <si>
    <t>ANTONIO PAIXÃO</t>
  </si>
  <si>
    <t>ONIX GTN7F48</t>
  </si>
  <si>
    <t>RUG1I43</t>
  </si>
  <si>
    <t>233.</t>
  </si>
  <si>
    <t>FELIPE REIS</t>
  </si>
  <si>
    <t xml:space="preserve">JUAZEIRO </t>
  </si>
  <si>
    <t>ELH8E81</t>
  </si>
  <si>
    <t>UFV RIACHÃO - Ceara Mirim - RN</t>
  </si>
  <si>
    <r>
      <rPr>
        <sz val="11"/>
        <color theme="1"/>
        <rFont val="Calibri"/>
        <family val="2"/>
        <scheme val="minor"/>
      </rPr>
      <t xml:space="preserve">BRUNO </t>
    </r>
    <r>
      <rPr>
        <b/>
        <sz val="11"/>
        <color theme="1"/>
        <rFont val="Calibri"/>
        <family val="2"/>
        <scheme val="minor"/>
      </rPr>
      <t xml:space="preserve"> + </t>
    </r>
    <r>
      <rPr>
        <sz val="11"/>
        <color theme="1"/>
        <rFont val="Calibri"/>
        <family val="2"/>
        <scheme val="minor"/>
      </rPr>
      <t>BALTAZAR + MARCILIO</t>
    </r>
  </si>
  <si>
    <t>RVU5A22</t>
  </si>
  <si>
    <t>PSOTO VIP</t>
  </si>
  <si>
    <t>MAYCON + HUGO</t>
  </si>
  <si>
    <t>Paraíso das Águas - MS</t>
  </si>
  <si>
    <t>Condutor Hugo</t>
  </si>
  <si>
    <t>24.009.1</t>
  </si>
  <si>
    <t>Desmobilizado dia 05/07/2024</t>
  </si>
  <si>
    <t xml:space="preserve">ANTONIO </t>
  </si>
  <si>
    <t>ANTONIO PAIXAO</t>
  </si>
  <si>
    <t xml:space="preserve">FELIPE REIS </t>
  </si>
  <si>
    <t>EZEQUIAS</t>
  </si>
  <si>
    <t>POLO EXO7J94</t>
  </si>
  <si>
    <t>EEK6B42</t>
  </si>
  <si>
    <t>ARGO SYX0J55</t>
  </si>
  <si>
    <t xml:space="preserve">CARLOS EDUARDO - JONATAS </t>
  </si>
  <si>
    <t>VEICULO ENTREGUE NA DESMOBILIZAÇÃO DO CARLOS EDUARDO</t>
  </si>
  <si>
    <t>TCROSS EZO1E92</t>
  </si>
  <si>
    <t xml:space="preserve">TCROSS FPC5J63 </t>
  </si>
  <si>
    <t>Repassado o carro dia 17/07 para Baltazar. Dia 26/07 Marcilio foi fazer dupla com Tony, Baltazar lider da equipe fazendo dupla com Eguiberto.</t>
  </si>
  <si>
    <t>STATKRAFT MDC</t>
  </si>
  <si>
    <t>POSTO DOM PEDRO</t>
  </si>
  <si>
    <t>EZ01E92</t>
  </si>
  <si>
    <t>STATKRAFT VSE</t>
  </si>
  <si>
    <t>JHONNY</t>
  </si>
  <si>
    <t>234.</t>
  </si>
  <si>
    <t>JHONNY WEIDE</t>
  </si>
  <si>
    <t>SIX0H46</t>
  </si>
  <si>
    <t>235.</t>
  </si>
  <si>
    <t>FIJ6H51</t>
  </si>
  <si>
    <t>TESTE DE FUMAÇA PRETA</t>
  </si>
  <si>
    <t>236.</t>
  </si>
  <si>
    <t>237.</t>
  </si>
  <si>
    <t>RUTE SILVA</t>
  </si>
  <si>
    <t xml:space="preserve">SALVADOR </t>
  </si>
  <si>
    <t>SPEEDWAY</t>
  </si>
  <si>
    <t>RDJ8D33</t>
  </si>
  <si>
    <t>RDN4B01</t>
  </si>
  <si>
    <t xml:space="preserve">Passeio automatico </t>
  </si>
  <si>
    <t xml:space="preserve">JOÃO CARLOS </t>
  </si>
  <si>
    <t>238.</t>
  </si>
  <si>
    <t>JOÃO CARLOS</t>
  </si>
  <si>
    <t>HB20 TCA5C20</t>
  </si>
  <si>
    <t>SIN6B63</t>
  </si>
  <si>
    <t>CHARLES</t>
  </si>
  <si>
    <t>BRUNO + MARCILIO + DAVE</t>
  </si>
  <si>
    <t xml:space="preserve">Dia 26/07 Marcilio foi fazer dupla com Tony, Baltazar lider da equipe fazendo dupla com Eguiberto, Depois.... </t>
  </si>
  <si>
    <t xml:space="preserve">UFV RIACHÃO - Ceara Mirim - RN / UFV Rio do Vento - Riachuelo RN / UFV Coremas - PB / </t>
  </si>
  <si>
    <t xml:space="preserve">24.022 / 24009.6 / 24014 / </t>
  </si>
  <si>
    <t>239.</t>
  </si>
  <si>
    <t xml:space="preserve">CHARLES </t>
  </si>
  <si>
    <t xml:space="preserve">TCROSS </t>
  </si>
  <si>
    <t>TCE7C08</t>
  </si>
  <si>
    <t>ARGO SYX0J57</t>
  </si>
  <si>
    <t>240.</t>
  </si>
  <si>
    <t>TCE6I05</t>
  </si>
  <si>
    <t>S10 SYD6H52</t>
  </si>
  <si>
    <r>
      <t xml:space="preserve">TONY + </t>
    </r>
    <r>
      <rPr>
        <sz val="11"/>
        <color theme="1"/>
        <rFont val="Calibri"/>
        <family val="2"/>
        <scheme val="minor"/>
      </rPr>
      <t>JULIO</t>
    </r>
  </si>
  <si>
    <t>HUGO</t>
  </si>
  <si>
    <t xml:space="preserve"> -UFV Rio do Vento - João Camaara - RN </t>
  </si>
  <si>
    <t>24009.6</t>
  </si>
  <si>
    <t>SDY3D18</t>
  </si>
  <si>
    <t>NIVUS</t>
  </si>
  <si>
    <t xml:space="preserve">24026 / 24028 </t>
  </si>
  <si>
    <t xml:space="preserve">UFV Rio Hybrid  / UFV São Fernando </t>
  </si>
  <si>
    <t>241.</t>
  </si>
  <si>
    <t>FIORTALEZA</t>
  </si>
  <si>
    <t>FMO6F82</t>
  </si>
  <si>
    <t xml:space="preserve"> TRACKER TCB9G87</t>
  </si>
  <si>
    <t>SYD6H52</t>
  </si>
  <si>
    <t>242.</t>
  </si>
  <si>
    <t>GFK9J42</t>
  </si>
  <si>
    <t>ACACIO</t>
  </si>
  <si>
    <t xml:space="preserve">COREMAS - PB / UFV Rio Hybrid / UFV São Fernando </t>
  </si>
  <si>
    <t xml:space="preserve">24014 /  24026 / 24028 </t>
  </si>
  <si>
    <t>243.</t>
  </si>
  <si>
    <t>RPL1J22</t>
  </si>
  <si>
    <t>244.</t>
  </si>
  <si>
    <t>GIA5H51</t>
  </si>
  <si>
    <t xml:space="preserve">FELIPE SILVA -  DANIEL </t>
  </si>
  <si>
    <t>245.</t>
  </si>
  <si>
    <t xml:space="preserve">WILLIAN </t>
  </si>
  <si>
    <t>RUE4B21</t>
  </si>
  <si>
    <t>246.</t>
  </si>
  <si>
    <t>SIX1B97</t>
  </si>
  <si>
    <t>ANDRE - UALACE</t>
  </si>
  <si>
    <t>ADALERTO</t>
  </si>
  <si>
    <t>ENTREGA DO VEICULO</t>
  </si>
  <si>
    <t>247.</t>
  </si>
  <si>
    <t>SII4E16</t>
  </si>
  <si>
    <t xml:space="preserve">BRUNO FICOU COM LUCAS. </t>
  </si>
  <si>
    <t xml:space="preserve">A partir dessa data marcilio + dave fazem parte da equipe.  18/09 Bruno ficou com Lucas e Marcilio e Dave voltaram. </t>
  </si>
  <si>
    <t>RETORNO VIAGEM 18/09/2024</t>
  </si>
  <si>
    <t>UFV Caucaia CE</t>
  </si>
  <si>
    <r>
      <t xml:space="preserve">DOUGLAS + </t>
    </r>
    <r>
      <rPr>
        <sz val="11"/>
        <color theme="1"/>
        <rFont val="Calibri"/>
        <family val="2"/>
        <scheme val="minor"/>
      </rPr>
      <t>ROBERTA</t>
    </r>
  </si>
  <si>
    <t>TORO 4x4</t>
  </si>
  <si>
    <t>TORO  4x4</t>
  </si>
  <si>
    <t xml:space="preserve">UFV São Gabriel - Paraiso das Aguas -  Pirapora </t>
  </si>
  <si>
    <t xml:space="preserve">24.009.2 / 24.009.1 / </t>
  </si>
  <si>
    <t>248.</t>
  </si>
  <si>
    <t>GEQ0G23</t>
  </si>
  <si>
    <t>REDE DOM PEDRO</t>
  </si>
  <si>
    <t xml:space="preserve">Setembro </t>
  </si>
  <si>
    <t>STATKRAFT mdc</t>
  </si>
  <si>
    <t>STATKRAFT vse</t>
  </si>
  <si>
    <t>Geraldo</t>
  </si>
  <si>
    <t>Francisco</t>
  </si>
  <si>
    <t>Acacio</t>
  </si>
  <si>
    <t>Eric</t>
  </si>
  <si>
    <t>Jhonny Weide</t>
  </si>
  <si>
    <t>Rute</t>
  </si>
  <si>
    <t>Ana Luiza</t>
  </si>
  <si>
    <t>Roniere</t>
  </si>
  <si>
    <t>Iranildo</t>
  </si>
  <si>
    <t>WEILLER</t>
  </si>
  <si>
    <t>ANA PAULA</t>
  </si>
  <si>
    <t>EDETERTANIO</t>
  </si>
  <si>
    <t>FRANCISCO AUGUSTO</t>
  </si>
  <si>
    <t>JURANDIR</t>
  </si>
  <si>
    <t>28/07 - 06/10</t>
  </si>
  <si>
    <t>12/10 - 20/10</t>
  </si>
  <si>
    <t>19/10 - 25/10</t>
  </si>
  <si>
    <t>23/10 - 03/11</t>
  </si>
  <si>
    <t>09/11 - 17/11</t>
  </si>
  <si>
    <t>02/11 - 10/11</t>
  </si>
  <si>
    <t>05/10 - 13/10</t>
  </si>
  <si>
    <t>19/10 - 27/10</t>
  </si>
  <si>
    <t>ONIX TCE7A63</t>
  </si>
  <si>
    <t>249.</t>
  </si>
  <si>
    <t>ELI4J04</t>
  </si>
  <si>
    <t>ENTREGA DO VEICULO EM RECIFE</t>
  </si>
  <si>
    <t>250.</t>
  </si>
  <si>
    <t>SHW6C94</t>
  </si>
  <si>
    <t>RENEGADE SIN6C94</t>
  </si>
  <si>
    <t>ONIX SIS0I24</t>
  </si>
  <si>
    <t>251.</t>
  </si>
  <si>
    <t>SIN6B75</t>
  </si>
  <si>
    <t>CAIO</t>
  </si>
  <si>
    <t>LOCADORA OCEANICA</t>
  </si>
  <si>
    <t xml:space="preserve">NORONHA VERDE </t>
  </si>
  <si>
    <t>JIMMY 4x4</t>
  </si>
  <si>
    <t>SOD4G22</t>
  </si>
  <si>
    <t>252.</t>
  </si>
  <si>
    <t>RVS2A00</t>
  </si>
  <si>
    <t>CRETA  SYD0E93</t>
  </si>
  <si>
    <t>253.</t>
  </si>
  <si>
    <t>254.</t>
  </si>
  <si>
    <t xml:space="preserve">ANDRE </t>
  </si>
  <si>
    <t>EVW1E22</t>
  </si>
  <si>
    <t>SVW2F07</t>
  </si>
  <si>
    <t>255.</t>
  </si>
  <si>
    <t>ANDRE MORAES</t>
  </si>
  <si>
    <t>SIH9B68</t>
  </si>
  <si>
    <t>CRONNOS</t>
  </si>
  <si>
    <t>256.</t>
  </si>
  <si>
    <t>16/010/2024</t>
  </si>
  <si>
    <t>UFV RIACHO</t>
  </si>
  <si>
    <t>SYD7D49</t>
  </si>
  <si>
    <t>SVG7A45</t>
  </si>
  <si>
    <t>EJA1H12</t>
  </si>
  <si>
    <t>DUSTER RCR4F44</t>
  </si>
  <si>
    <t>TCROSS SYD7G06</t>
  </si>
  <si>
    <t>HILUX SEO0E19</t>
  </si>
  <si>
    <t>POLO STL4C83</t>
  </si>
  <si>
    <t>257.</t>
  </si>
  <si>
    <t>258.</t>
  </si>
  <si>
    <t>SSZ3G23</t>
  </si>
  <si>
    <t>RETORNO VIAGEM  21/10/2024</t>
  </si>
  <si>
    <t>tu</t>
  </si>
  <si>
    <t>ONIX SJG7E23</t>
  </si>
  <si>
    <t>UNIDAS - maio</t>
  </si>
  <si>
    <t>Unidas - novembro</t>
  </si>
  <si>
    <t>2891,47 / 3004,20</t>
  </si>
  <si>
    <t>4513,27 / 4642,80</t>
  </si>
  <si>
    <t>8884,34 / 9239,71</t>
  </si>
  <si>
    <t>3122,84 / 3244,59</t>
  </si>
  <si>
    <t>9595,36 / 9979,17</t>
  </si>
  <si>
    <t>4873,29 / 5013,15</t>
  </si>
  <si>
    <t xml:space="preserve">CARRO REPASSADO PARA FELIPE REIS DIA 10/09 - 08/11 CARRO REPASSADO PARA DANIEL E ANA RISNIA </t>
  </si>
  <si>
    <t>Manutenção dia 14/11</t>
  </si>
  <si>
    <t>Cronos</t>
  </si>
  <si>
    <t>15/11 - 25/11</t>
  </si>
  <si>
    <t>Uso particular do veiculo 22/06-24/06 ; 15/11-25/11</t>
  </si>
  <si>
    <t>18/11/2024 - Alinhamento, balanceamento e revisão 33000km</t>
  </si>
  <si>
    <t>SVU3A64</t>
  </si>
  <si>
    <t xml:space="preserve">HERICSON </t>
  </si>
  <si>
    <t>TCT0H26</t>
  </si>
  <si>
    <t>TCT0H53</t>
  </si>
  <si>
    <t>carro repassado para rodolfo dia 17/05 - rebocado em 14/11 e solicitado encerramento do contrato</t>
  </si>
  <si>
    <t>ASSIBI</t>
  </si>
  <si>
    <t>RUI0G01</t>
  </si>
  <si>
    <t>rebocado em 19/11 e solicitado encerramento do contrato</t>
  </si>
  <si>
    <t>PLACA FOI RETIRADA POR ASSIBI EM 19/11 E REPASSADA POR SOLICITAÇÃO CLENTE</t>
  </si>
  <si>
    <t>SHG4B20</t>
  </si>
  <si>
    <t>mitsubishi</t>
  </si>
  <si>
    <t>QMZ5D62</t>
  </si>
  <si>
    <t>BELO HORIZONTE</t>
  </si>
  <si>
    <t>RHUAN</t>
  </si>
  <si>
    <t>SYD6G91</t>
  </si>
  <si>
    <t>T CROSS ENH4J51</t>
  </si>
  <si>
    <t>CONTROLE DE KM - 2023/2024_23018_IBIMIRIM</t>
  </si>
  <si>
    <t>RUS7F37</t>
  </si>
  <si>
    <t xml:space="preserve">ARGO TCV9F12 </t>
  </si>
  <si>
    <t>TCT0H34</t>
  </si>
  <si>
    <t>O carro era utilizado por Adalberto Cruz antes</t>
  </si>
  <si>
    <t>RONIERI</t>
  </si>
  <si>
    <t xml:space="preserve">TJR5F89 </t>
  </si>
  <si>
    <t>TCA5C22</t>
  </si>
  <si>
    <t>ANTONIO FLÁVIO</t>
  </si>
  <si>
    <t>S10 TDA9E26</t>
  </si>
  <si>
    <t xml:space="preserve">ANDRE GADELHA </t>
  </si>
  <si>
    <t>TCB9G87</t>
  </si>
  <si>
    <t>TDA9D59</t>
  </si>
  <si>
    <t>Carro provisório porque não tinha do grupo J: solicitar ressarcimento de 14/12 a 23/12/24</t>
  </si>
  <si>
    <t>Uso particular de 20/12 a 06/01 - João e Weiller</t>
  </si>
  <si>
    <t>Carro utilizado por Ana Paula que ficou de sobreaviso durante o recesso - 20/12 a 06/01</t>
  </si>
  <si>
    <t>PVR3F70</t>
  </si>
  <si>
    <t>AEROPORTO NATAL</t>
  </si>
  <si>
    <t>Uso Particular - 20.12 a 06.01.25</t>
  </si>
  <si>
    <t>Uso Particular 21.12 a 05.01.25</t>
  </si>
  <si>
    <t>ANDRÉ PLÁCIDO</t>
  </si>
  <si>
    <t>SIX0G88</t>
  </si>
  <si>
    <t>IMBIRIBEIRA - PE</t>
  </si>
  <si>
    <t>IMBIRIBEIRA PE</t>
  </si>
  <si>
    <t>Uso Particular 20.12 a 06.01.25 - Por Rute e Ana Luiza</t>
  </si>
  <si>
    <t>CARRO RETIRADO PELO RONIERE / Uso particular 20.12 a 06.01.25 - Acácio, Junior e Geraldo</t>
  </si>
  <si>
    <t xml:space="preserve">Uso Particular por Jerfferson - 14.12 a 05.01.2025 </t>
  </si>
  <si>
    <t>Dia 20/04 veiculo foi repassado para Ivnna. Alessandro saiu de folga e não retornou./ 16.01.25 Saída até Montes Claros Compra de Tampão do carro</t>
  </si>
  <si>
    <t>ISAAC</t>
  </si>
  <si>
    <t>FZP1E71</t>
  </si>
  <si>
    <t>TCross</t>
  </si>
  <si>
    <t>AEROPORTO MONTES CLAROS</t>
  </si>
  <si>
    <t>SUI0E07</t>
  </si>
  <si>
    <r>
      <t xml:space="preserve">carro rebocado dia 18/05/2024 - Uso Particular do carro TCB9G87 por Felipe Silva 20.12 a 06.01.25 - </t>
    </r>
    <r>
      <rPr>
        <sz val="10"/>
        <color rgb="FFFF0000"/>
        <rFont val="Calibri"/>
        <family val="2"/>
        <scheme val="minor"/>
      </rPr>
      <t>DEVOLVIDO EM FORTALEZA CE</t>
    </r>
  </si>
  <si>
    <t>SWD0G64</t>
  </si>
  <si>
    <t>WASHINGTON</t>
  </si>
  <si>
    <t>TIY9E72</t>
  </si>
  <si>
    <t>WENDEL MATIAS</t>
  </si>
  <si>
    <t>DKU8J41</t>
  </si>
  <si>
    <t>FCS5C31</t>
  </si>
  <si>
    <t>EDNEI</t>
  </si>
  <si>
    <t>TCZ6B67</t>
  </si>
  <si>
    <t>Renegade SIN8J85</t>
  </si>
  <si>
    <t>veículo provisório - não tinha o mesmo grupo J</t>
  </si>
  <si>
    <t>TCROSS SYD7C46</t>
  </si>
  <si>
    <t>Veículo transferido para Wesley 31/01/2025 - Antes Iliichi</t>
  </si>
  <si>
    <t>TCY1C54</t>
  </si>
  <si>
    <t>Carro trasnferido para Jonatas 15/02/25 - antes Daniel/Ana Risnia</t>
  </si>
  <si>
    <t>Uso particular de 20/12 a 06/01 - Até 05/02/25 o carro era do Marcelo</t>
  </si>
  <si>
    <t>ANTONIO FLAVIO</t>
  </si>
  <si>
    <t>TDA0G27</t>
  </si>
  <si>
    <t>AUREN</t>
  </si>
  <si>
    <t>PONTA NEGRA</t>
  </si>
  <si>
    <t>TDP1E16</t>
  </si>
  <si>
    <t xml:space="preserve">TDQ6D38 </t>
  </si>
  <si>
    <t>PONTA NEGRA - RN</t>
  </si>
  <si>
    <t>STG1F76</t>
  </si>
  <si>
    <t>AEROPORTO MONTES CLAROS - MG</t>
  </si>
  <si>
    <t>PVR3C22</t>
  </si>
  <si>
    <t>TCY1C25</t>
  </si>
  <si>
    <t>ERIC</t>
  </si>
  <si>
    <t>ANA LUIZA</t>
  </si>
  <si>
    <t>EKB5J96</t>
  </si>
  <si>
    <t>SYP7J27</t>
  </si>
  <si>
    <t>SFB5H82</t>
  </si>
  <si>
    <t>RNK6B51</t>
  </si>
  <si>
    <t>SÃO JOÃO - FEIRA DE SANTANA BA</t>
  </si>
  <si>
    <t>AEROPORTO SALVADOR BA</t>
  </si>
  <si>
    <t>TIX2B85</t>
  </si>
  <si>
    <t>JAIR</t>
  </si>
  <si>
    <t>ROBERTO</t>
  </si>
  <si>
    <t>AEROPORTO RECIFE PE</t>
  </si>
  <si>
    <t>TCROSS TJB2D87</t>
  </si>
  <si>
    <t>RUX1J61</t>
  </si>
  <si>
    <t xml:space="preserve"> RENEGADE SHY7H84</t>
  </si>
  <si>
    <t>Carro foi retirado 12/03/25 para viagem do laboratorio (sede) - retorno 18/03 e ficou para uso de Roberto - Auren 21/03/25</t>
  </si>
  <si>
    <t>ALVERSON</t>
  </si>
  <si>
    <t>DUSTER TDJ7G97</t>
  </si>
  <si>
    <t>SYG4B54</t>
  </si>
  <si>
    <t>TCROSS SVW5E64</t>
  </si>
  <si>
    <t>MINGYANG</t>
  </si>
  <si>
    <t>KEKEROSBERG</t>
  </si>
  <si>
    <t>TDA9G92</t>
  </si>
  <si>
    <t>AEROPORTO NATAL - RN</t>
  </si>
  <si>
    <t>Uso particular carnaval 28/02 a 05/03/2025</t>
  </si>
  <si>
    <t>Tcross FFW5H24</t>
  </si>
  <si>
    <t>EWJ1G62</t>
  </si>
  <si>
    <t>DATA TESTE DE FUMAÇA PRETA</t>
  </si>
  <si>
    <t>Nivus SYG2I07</t>
  </si>
  <si>
    <t>FKQ1H54</t>
  </si>
  <si>
    <t>Carro guinchado porque estava esquentando muito</t>
  </si>
  <si>
    <t xml:space="preserve">TCROSS TJT2E59 </t>
  </si>
  <si>
    <t>SUK6B62</t>
  </si>
  <si>
    <t>SIS6B61</t>
  </si>
  <si>
    <t>Renegade RVC9D71</t>
  </si>
  <si>
    <t>Veículo foi retirado em 21/02/25 para inspeção da BR 381 - retornou 25/04/2025 porém vai seguir para outro projeto</t>
  </si>
  <si>
    <t xml:space="preserve">SYG4A34 </t>
  </si>
  <si>
    <t>Argo TCV9F56</t>
  </si>
  <si>
    <t>NILBERTO</t>
  </si>
  <si>
    <t>EXJ3H31</t>
  </si>
  <si>
    <t xml:space="preserve">Uso Particular 20.12 a 06.01.25 (joseane) - Uso particular 03 a 11.05.25 Marlucia </t>
  </si>
  <si>
    <t>USO PARTICULAR</t>
  </si>
  <si>
    <t>01 - 02/03/25</t>
  </si>
  <si>
    <t>GTN6E98</t>
  </si>
  <si>
    <t>Creta SJE5D96</t>
  </si>
  <si>
    <t>S10 UAI4B92</t>
  </si>
  <si>
    <t>TCross TLP7F80</t>
  </si>
  <si>
    <t>TCross SVR2H85</t>
  </si>
  <si>
    <t>TAYONARA</t>
  </si>
  <si>
    <t>TEJ8H62</t>
  </si>
  <si>
    <t>BARREIRAS BA</t>
  </si>
  <si>
    <t>POLO STZ7D92</t>
  </si>
  <si>
    <t>TCP0G19</t>
  </si>
  <si>
    <t>EMERSON</t>
  </si>
  <si>
    <t>FOLHA LARGA</t>
  </si>
  <si>
    <t>JUAZEIRO BA</t>
  </si>
  <si>
    <t>TJW0B84</t>
  </si>
  <si>
    <t>SHOPPING JUA GARDEN - JUAZEIRO BA</t>
  </si>
  <si>
    <t>Tcross</t>
  </si>
  <si>
    <t>RIACHO</t>
  </si>
  <si>
    <t>FFW5H24</t>
  </si>
  <si>
    <t>FRANCISCO DE MORAIS</t>
  </si>
  <si>
    <t>TDJ7G97</t>
  </si>
  <si>
    <t>UAI4B92</t>
  </si>
  <si>
    <t>TDQ6D38</t>
  </si>
  <si>
    <t>STZ7D92</t>
  </si>
  <si>
    <t>Argo TCU0B00</t>
  </si>
  <si>
    <t>UFV PARAISO</t>
  </si>
  <si>
    <t>AEROPORTO RECIFE</t>
  </si>
  <si>
    <t>TDX0D87</t>
  </si>
  <si>
    <t>VITOR PESSOA</t>
  </si>
  <si>
    <t>S10 TEI1I92</t>
  </si>
  <si>
    <t>PVR3B92</t>
  </si>
  <si>
    <t>GEOVANI</t>
  </si>
  <si>
    <t>SSW2I35</t>
  </si>
  <si>
    <t>CGN LAPA</t>
  </si>
  <si>
    <t>KROMA</t>
  </si>
  <si>
    <t>ELIKESTH ALEX</t>
  </si>
  <si>
    <t>TDT7A83</t>
  </si>
  <si>
    <t>SJH8E03</t>
  </si>
  <si>
    <t>SHOPPING MONTES CLAROS - MG</t>
  </si>
  <si>
    <t>TCU0B50</t>
  </si>
  <si>
    <t>SÁVIO</t>
  </si>
  <si>
    <t>TEU5A95</t>
  </si>
  <si>
    <t>ANTONIO WILLIAN</t>
  </si>
  <si>
    <t>EXU6G81</t>
  </si>
  <si>
    <t>Polo TJZ9J36</t>
  </si>
  <si>
    <t>TJZ9J36</t>
  </si>
  <si>
    <t>TCross TKX8G73</t>
  </si>
  <si>
    <t>IDALECIO</t>
  </si>
  <si>
    <t>TCross SYD7F82</t>
  </si>
  <si>
    <t>Tracker TEL5D67</t>
  </si>
  <si>
    <t>Polo TJL7E95</t>
  </si>
  <si>
    <t>Férias: 25 a 29/08/2025</t>
  </si>
  <si>
    <t>Tracker TEL5D17</t>
  </si>
  <si>
    <t>TEL5D86</t>
  </si>
  <si>
    <t>EUCILENE</t>
  </si>
  <si>
    <t>WILDSON</t>
  </si>
  <si>
    <t xml:space="preserve">TJF8C34 </t>
  </si>
  <si>
    <t>TIAGO GONÇALVES</t>
  </si>
  <si>
    <t>PVR4B99</t>
  </si>
  <si>
    <t xml:space="preserve">RSH RIO SOLAR HYBRID </t>
  </si>
  <si>
    <t>TEU0E78</t>
  </si>
  <si>
    <t>HERIK</t>
  </si>
  <si>
    <t>TDA0G20</t>
  </si>
  <si>
    <t>SFH SÃO FERNANDO HYBRID SOLAR</t>
  </si>
  <si>
    <t>AIRISMILA</t>
  </si>
  <si>
    <t>TYA5C94</t>
  </si>
  <si>
    <t>S10 TEZ5D42</t>
  </si>
  <si>
    <t>UBIRATAN</t>
  </si>
  <si>
    <t>TDP1D97</t>
  </si>
  <si>
    <t>SUO8H64</t>
  </si>
  <si>
    <t>FRANCISCO IRANILDO</t>
  </si>
  <si>
    <t>SWH5H35</t>
  </si>
  <si>
    <t>CONTRATADO</t>
  </si>
  <si>
    <t>CAJUÍNAS</t>
  </si>
  <si>
    <t>TJL7E95</t>
  </si>
  <si>
    <t xml:space="preserve">POLO </t>
  </si>
  <si>
    <t>TEZ5D42</t>
  </si>
  <si>
    <t>TJF8C34</t>
  </si>
  <si>
    <t>WENDEL</t>
  </si>
  <si>
    <t>SVW5E64</t>
  </si>
  <si>
    <t>SVR2H85</t>
  </si>
  <si>
    <t>ELIKESTH</t>
  </si>
  <si>
    <t>TEL5D67</t>
  </si>
  <si>
    <t>SYD7F82</t>
  </si>
  <si>
    <t>SYG2I07</t>
  </si>
  <si>
    <t>TEL5D17</t>
  </si>
  <si>
    <t>TLP7F80</t>
  </si>
  <si>
    <t>TKX8G73</t>
  </si>
  <si>
    <t>TJR5F89</t>
  </si>
  <si>
    <t>SJE5D96</t>
  </si>
  <si>
    <t>STATKRAFT RSH</t>
  </si>
  <si>
    <t>STATKRAFT SFH</t>
  </si>
  <si>
    <t>IRANILDO</t>
  </si>
  <si>
    <t>Argo TWZ9A06</t>
  </si>
  <si>
    <t>TEL5C48</t>
  </si>
  <si>
    <t>ILO HILTON</t>
  </si>
  <si>
    <t>DHQ9H62</t>
  </si>
  <si>
    <t>IZADORA</t>
  </si>
  <si>
    <t>TES3J51</t>
  </si>
  <si>
    <t>LINSMAR GUILHERME</t>
  </si>
  <si>
    <t>TEU0F35</t>
  </si>
  <si>
    <t>CLAUDIO ULIANA</t>
  </si>
  <si>
    <t>FJH3D91</t>
  </si>
  <si>
    <t>TEU0E76</t>
  </si>
  <si>
    <t>RODRIGO SILVIO</t>
  </si>
  <si>
    <t xml:space="preserve">Argo TCV9F12 </t>
  </si>
  <si>
    <t>TCross STQ7C53</t>
  </si>
  <si>
    <t>TDQ6I22</t>
  </si>
  <si>
    <t>TJD9D17</t>
  </si>
  <si>
    <t>C3 TES6H46</t>
  </si>
  <si>
    <t>TJM2E88</t>
  </si>
  <si>
    <t>ESDRAS</t>
  </si>
  <si>
    <t>AEROPORTO RECIFE - PE</t>
  </si>
  <si>
    <t>TEU5B03</t>
  </si>
  <si>
    <t>Creta TXB9I08</t>
  </si>
  <si>
    <t>GERALDO</t>
  </si>
  <si>
    <t>SWM9B65</t>
  </si>
  <si>
    <t>Ocorrencia de avarias</t>
  </si>
  <si>
    <t>STATKRAFT rsh</t>
  </si>
  <si>
    <t>TWZ9A06</t>
  </si>
  <si>
    <t>TEU0E62</t>
  </si>
  <si>
    <t>MOSSORÓ - RN</t>
  </si>
  <si>
    <t>BackOffice de projetos CGN</t>
  </si>
  <si>
    <t>FELIPE SILVA</t>
  </si>
  <si>
    <t>TEM2H60</t>
  </si>
  <si>
    <t>QUEIMADA NOVA - PI</t>
  </si>
  <si>
    <t>TYA5C83</t>
  </si>
  <si>
    <t xml:space="preserve">AEROPORTO FORTALEZA </t>
  </si>
  <si>
    <t>Renegade TXL2A44</t>
  </si>
  <si>
    <t>NORONHA VERDE</t>
  </si>
  <si>
    <t>JOÃO ADRIANO</t>
  </si>
  <si>
    <t>FERNANDO DE NORONHA - PE</t>
  </si>
  <si>
    <t>ASX</t>
  </si>
  <si>
    <t>FEELING</t>
  </si>
  <si>
    <t>GGM4J35</t>
  </si>
  <si>
    <t>CARRO DO PROFISSIONAL</t>
  </si>
  <si>
    <t>STATKRAFT sfh</t>
  </si>
  <si>
    <t>TOTAL</t>
  </si>
  <si>
    <t>TDA9D62</t>
  </si>
  <si>
    <t>Férias: 18 a 26/11/2025</t>
  </si>
  <si>
    <t xml:space="preserve">TEL5D58 </t>
  </si>
  <si>
    <t>MARCELO</t>
  </si>
  <si>
    <t>TXW4I71</t>
  </si>
  <si>
    <t>Foi devolvido na loja do aeroporto de Petrolina PE, pois a Unidas fechou a loja do shopping Jua Garden em Juazeiro BA</t>
  </si>
  <si>
    <t>PETROLINA - PE</t>
  </si>
  <si>
    <t>SUO0C57</t>
  </si>
  <si>
    <t>AEROPORTO PETROLINA - PE</t>
  </si>
  <si>
    <t>RECESSO 2025</t>
  </si>
  <si>
    <t>AEROPORTO SALVADOR - BA</t>
  </si>
  <si>
    <t>TXZ1G58</t>
  </si>
  <si>
    <t>TJE8B31</t>
  </si>
  <si>
    <t>Não enviou fotos</t>
  </si>
  <si>
    <t>pendente envio retorno</t>
  </si>
  <si>
    <t>TEL5D58</t>
  </si>
  <si>
    <t>TXB9I08</t>
  </si>
  <si>
    <t>Uso não solicitado</t>
  </si>
  <si>
    <t xml:space="preserve">TEL5D17 </t>
  </si>
  <si>
    <t>envio atrasado e não seguiu orientação de troca de veículo</t>
  </si>
  <si>
    <t>falta de informação</t>
  </si>
  <si>
    <t>pendente envio de retorno</t>
  </si>
  <si>
    <t>pendente registros</t>
  </si>
  <si>
    <t>RECESSO 2026</t>
  </si>
  <si>
    <t>informação atrasada</t>
  </si>
  <si>
    <t>2 uso recesso - total 564km</t>
  </si>
  <si>
    <t>SUI9F93</t>
  </si>
  <si>
    <t>TXW4I63</t>
  </si>
  <si>
    <t>TCT9C97</t>
  </si>
  <si>
    <t>Veículo era do Jurandir e foi repassado ao Augusto em 17/01/2026</t>
  </si>
  <si>
    <t>Carro utilizado para uso particular por Eider Breno - 20.12 a 06.01/ Veículo era do Francisco Augusto e entregue pelo Jurandir</t>
  </si>
  <si>
    <t>TXW4I66</t>
  </si>
  <si>
    <t>De 20 a 26/01/26 foi disponibilizado o veículo TR4 QFA7C17, enquanto a ASX GGM4J35 estava em manutenção de avarias.</t>
  </si>
  <si>
    <t xml:space="preserve"> TWZ9A06</t>
  </si>
  <si>
    <t>CLEBERSON MODELLI</t>
  </si>
  <si>
    <t>MIZAEL</t>
  </si>
  <si>
    <t>RTE1I63</t>
  </si>
  <si>
    <t>TJZ9J37</t>
  </si>
  <si>
    <t>RTE1I64</t>
  </si>
  <si>
    <t>TJZ9J38</t>
  </si>
  <si>
    <t>RTE1I65</t>
  </si>
  <si>
    <t>TJZ9J39</t>
  </si>
  <si>
    <t>SAVIO</t>
  </si>
  <si>
    <t>TEZ7A32</t>
  </si>
  <si>
    <t>RIGOBERTO</t>
  </si>
  <si>
    <t>YANCA</t>
  </si>
  <si>
    <t>Uso sem autorização</t>
  </si>
  <si>
    <t>RZQ5I92</t>
  </si>
  <si>
    <t>JAC</t>
  </si>
  <si>
    <t xml:space="preserve">PROPRIETÁRIA SANDRINHA </t>
  </si>
  <si>
    <t>TXE1H23</t>
  </si>
  <si>
    <t>TERA</t>
  </si>
  <si>
    <t>Argo TDY8E51</t>
  </si>
  <si>
    <t>Renegade TXD7J30</t>
  </si>
  <si>
    <t>ELISSON</t>
  </si>
  <si>
    <t>UFL3I50</t>
  </si>
  <si>
    <t>Tracker TEL2B29</t>
  </si>
  <si>
    <t>DIEGO PARISIO</t>
  </si>
  <si>
    <t xml:space="preserve">AEROPORTO SALVADOR </t>
  </si>
  <si>
    <t xml:space="preserve">TXW4H18 </t>
  </si>
  <si>
    <t>TXW4I69</t>
  </si>
  <si>
    <t>ISAAC/UALACE</t>
  </si>
  <si>
    <t>PCW1B58</t>
  </si>
  <si>
    <t xml:space="preserve">PROPRIETÁRIO RUAN </t>
  </si>
  <si>
    <t>ROBSON</t>
  </si>
  <si>
    <t>CLEBERSON</t>
  </si>
  <si>
    <t>TXW4H18</t>
  </si>
  <si>
    <t>uso não solicitado</t>
  </si>
  <si>
    <t>EWF6F13</t>
  </si>
  <si>
    <t>EDUARDO SILVA</t>
  </si>
  <si>
    <t>Devolução 30/03/2026</t>
  </si>
  <si>
    <t>Devolução 01/04/2026</t>
  </si>
  <si>
    <t>uso sem solicitação</t>
  </si>
  <si>
    <t>TEBIJ42</t>
  </si>
  <si>
    <t>Geo UFV Pecém Solar - Pentecoste - CE - Casa dos Ventos</t>
  </si>
  <si>
    <t>TEH1J31</t>
  </si>
  <si>
    <t>RECIFE - PE</t>
  </si>
  <si>
    <t>LUIS DALADUIER</t>
  </si>
  <si>
    <t>TXL2A88</t>
  </si>
  <si>
    <t>S10 PVR4B99</t>
  </si>
  <si>
    <t>AEROPORTO VITORIA DA CONQUISTA - BA</t>
  </si>
  <si>
    <t>TXZ1G54</t>
  </si>
  <si>
    <t>Onix SHK5D77</t>
  </si>
  <si>
    <t>RAILSON</t>
  </si>
  <si>
    <t>TDX0E39</t>
  </si>
  <si>
    <t>UEK4H95</t>
  </si>
  <si>
    <t>TCY1C84</t>
  </si>
  <si>
    <t>SYS9D28</t>
  </si>
  <si>
    <t>Devolvido no aeroporto de Montes Claros MG por solicitação do cliente</t>
  </si>
  <si>
    <t>C3 TYX9I38</t>
  </si>
  <si>
    <t>TJA7B20</t>
  </si>
  <si>
    <t xml:space="preserve">Tracker TEL5C58 </t>
  </si>
  <si>
    <t>FERNANDO</t>
  </si>
  <si>
    <t>GIDEONI</t>
  </si>
  <si>
    <t>UBT5I55</t>
  </si>
  <si>
    <t>Tcross TJU3G71</t>
  </si>
  <si>
    <t>UBT5H05</t>
  </si>
  <si>
    <t>TDY8E51</t>
  </si>
  <si>
    <t xml:space="preserve">TYA5C83 </t>
  </si>
  <si>
    <t>Tracker UBT5H05</t>
  </si>
  <si>
    <t>ESQUINA DO VENTO</t>
  </si>
  <si>
    <t>LEONARDO CASTRO</t>
  </si>
  <si>
    <t>MARILIA</t>
  </si>
  <si>
    <t xml:space="preserve"> UDV0G39</t>
  </si>
  <si>
    <t>SAO7E46</t>
  </si>
  <si>
    <t>TOUROS - RN</t>
  </si>
  <si>
    <t>MARCIA CRISTINA</t>
  </si>
  <si>
    <t xml:space="preserve">QSU0C72 </t>
  </si>
  <si>
    <t>LEANDRO MATTOS</t>
  </si>
  <si>
    <t xml:space="preserve">FILTRO HARMÔNICO </t>
  </si>
  <si>
    <t xml:space="preserve">TXL2A88 </t>
  </si>
  <si>
    <t>LUIS DALADIUER</t>
  </si>
  <si>
    <t>JOÃO MICHEL</t>
  </si>
  <si>
    <t>CARLOS VITOR</t>
  </si>
  <si>
    <t>THYARA</t>
  </si>
  <si>
    <t>OPP6J36</t>
  </si>
  <si>
    <t xml:space="preserve">TEU0E52 </t>
  </si>
  <si>
    <t xml:space="preserve">TXR5I90 </t>
  </si>
  <si>
    <t>PCQ2B01</t>
  </si>
  <si>
    <t>JOÃO CAMARA - RN</t>
  </si>
  <si>
    <t>LUCAS BRITO</t>
  </si>
  <si>
    <t>TEU0E77</t>
  </si>
  <si>
    <t>TZL9C64</t>
  </si>
  <si>
    <t>HELEN</t>
  </si>
  <si>
    <t>Cisalhamento Direto – Cajazeiras-PB - Alya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</si>
</sst>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44" formatCode="_-&quot;R$&quot;\ * #,##0.00_-;\-&quot;R$&quot;\ * #,##0.00_-;_-&quot;R$&quot;\ * &quot;-&quot;??_-;_-@_-"/>
    <numFmt numFmtId="164" formatCode="&quot;R$&quot;\ #,##0.00"/>
    <numFmt numFmtId="165" formatCode="_-[$R$-416]\ * #,##0.00_-;\-[$R$-416]\ * #,##0.00_-;_-[$R$-416]\ * &quot;-&quot;??_-;_-@_-"/>
    <numFmt numFmtId="166" formatCode="[$-416]d\-mmm\-yy;@"/>
    <numFmt numFmtId="167" formatCode="#,##0.000"/>
    <numFmt numFmtId="168" formatCode="0.0"/>
  </numFmts>
  <fonts count="50"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name val="Calibri"/>
      <family val="2"/>
      <scheme val="minor"/>
    </font>
    <font>
      <sz val="10"/>
      <color rgb="FFFF0000"/>
      <name val="Calibri"/>
      <family val="2"/>
      <scheme val="minor"/>
    </font>
    <font>
      <sz val="10"/>
      <name val="Calibri"/>
      <family val="2"/>
      <scheme val="minor"/>
    </font>
    <font>
      <sz val="11"/>
      <name val="Calibri"/>
      <family val="2"/>
      <scheme val="minor"/>
    </font>
    <font>
      <b/>
      <sz val="10"/>
      <name val="Calibri"/>
      <family val="2"/>
      <scheme val="minor"/>
    </font>
    <font>
      <sz val="11"/>
      <color rgb="FFFF0000"/>
      <name val="Calibri"/>
      <family val="2"/>
      <scheme val="minor"/>
    </font>
    <font>
      <sz val="8"/>
      <name val="Calibri"/>
      <family val="2"/>
      <scheme val="minor"/>
    </font>
    <font>
      <sz val="10"/>
      <color theme="0" tint="-4.9989318521683403E-2"/>
      <name val="Calibri"/>
      <family val="2"/>
      <scheme val="minor"/>
    </font>
    <font>
      <b/>
      <sz val="20"/>
      <name val="Calibri"/>
      <family val="2"/>
      <scheme val="minor"/>
    </font>
    <font>
      <sz val="9"/>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rgb="FF000000"/>
      <name val="Calibri"/>
      <family val="2"/>
      <scheme val="minor"/>
    </font>
    <font>
      <sz val="11"/>
      <color theme="1"/>
      <name val="Calibri"/>
      <family val="2"/>
      <scheme val="minor"/>
    </font>
    <font>
      <b/>
      <sz val="18"/>
      <color theme="1"/>
      <name val="Calibri"/>
      <family val="2"/>
      <scheme val="minor"/>
    </font>
    <font>
      <b/>
      <sz val="16"/>
      <color theme="1"/>
      <name val="Calibri"/>
      <family val="2"/>
      <scheme val="minor"/>
    </font>
    <font>
      <b/>
      <sz val="14"/>
      <name val="Calibri"/>
      <family val="2"/>
      <scheme val="minor"/>
    </font>
    <font>
      <sz val="12"/>
      <color theme="1"/>
      <name val="Calibri"/>
      <family val="2"/>
      <scheme val="minor"/>
    </font>
    <font>
      <b/>
      <sz val="12"/>
      <color theme="1"/>
      <name val="Calibri"/>
      <family val="2"/>
      <scheme val="minor"/>
    </font>
    <font>
      <sz val="13"/>
      <color theme="1"/>
      <name val="Calibri"/>
      <family val="2"/>
      <scheme val="minor"/>
    </font>
    <font>
      <b/>
      <sz val="22"/>
      <color theme="1"/>
      <name val="Calibri"/>
      <family val="2"/>
      <scheme val="minor"/>
    </font>
    <font>
      <b/>
      <sz val="14"/>
      <color rgb="FFFF0066"/>
      <name val="Calibri"/>
      <family val="2"/>
      <scheme val="minor"/>
    </font>
    <font>
      <b/>
      <sz val="14"/>
      <color theme="1"/>
      <name val="Calibri"/>
      <family val="2"/>
      <scheme val="minor"/>
    </font>
    <font>
      <b/>
      <sz val="9"/>
      <color indexed="81"/>
      <name val="Segoe UI"/>
      <family val="2"/>
    </font>
    <font>
      <sz val="9"/>
      <color indexed="81"/>
      <name val="Segoe UI"/>
      <family val="2"/>
    </font>
    <font>
      <b/>
      <sz val="11"/>
      <name val="Calibri"/>
      <family val="2"/>
      <scheme val="minor"/>
    </font>
    <font>
      <b/>
      <sz val="11"/>
      <color theme="4" tint="-0.499984740745262"/>
      <name val="Calibri"/>
      <family val="2"/>
      <scheme val="minor"/>
    </font>
    <font>
      <b/>
      <sz val="11"/>
      <color theme="9" tint="-0.249977111117893"/>
      <name val="Calibri"/>
      <family val="2"/>
      <scheme val="minor"/>
    </font>
    <font>
      <b/>
      <sz val="11"/>
      <color rgb="FFFF0000"/>
      <name val="Calibri"/>
      <family val="2"/>
      <scheme val="minor"/>
    </font>
    <font>
      <b/>
      <sz val="28"/>
      <color theme="1"/>
      <name val="Calibri"/>
      <family val="2"/>
      <scheme val="minor"/>
    </font>
    <font>
      <sz val="11"/>
      <color rgb="FF0070C0"/>
      <name val="Calibri"/>
      <family val="2"/>
      <scheme val="minor"/>
    </font>
    <font>
      <sz val="11"/>
      <color rgb="FF7030A0"/>
      <name val="Calibri"/>
      <family val="2"/>
      <scheme val="minor"/>
    </font>
    <font>
      <b/>
      <sz val="11"/>
      <color theme="8" tint="-0.499984740745262"/>
      <name val="Calibri"/>
      <family val="2"/>
      <scheme val="minor"/>
    </font>
    <font>
      <b/>
      <sz val="11"/>
      <color rgb="FF000000"/>
      <name val="Calibri"/>
      <family val="2"/>
      <scheme val="minor"/>
    </font>
    <font>
      <b/>
      <sz val="11"/>
      <color rgb="FF0000CC"/>
      <name val="Calibri"/>
      <family val="2"/>
      <scheme val="minor"/>
    </font>
    <font>
      <b/>
      <sz val="11"/>
      <color rgb="FF7030A0"/>
      <name val="Calibri"/>
      <family val="2"/>
      <scheme val="minor"/>
    </font>
    <font>
      <b/>
      <sz val="11"/>
      <color rgb="FF0070C0"/>
      <name val="Calibri"/>
      <family val="2"/>
      <scheme val="minor"/>
    </font>
    <font>
      <b/>
      <sz val="16"/>
      <name val="Calibri"/>
      <family val="2"/>
      <scheme val="minor"/>
    </font>
    <font>
      <sz val="11"/>
      <color theme="9"/>
      <name val="Calibri"/>
      <family val="2"/>
      <scheme val="minor"/>
    </font>
    <font>
      <b/>
      <sz val="8"/>
      <color indexed="81"/>
      <name val="Segoe UI"/>
      <family val="2"/>
    </font>
    <font>
      <sz val="8"/>
      <color indexed="81"/>
      <name val="Segoe UI"/>
      <family val="2"/>
    </font>
  </fonts>
  <fills count="35">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9"/>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66FF66"/>
        <bgColor indexed="64"/>
      </patternFill>
    </fill>
    <fill>
      <patternFill patternType="solid">
        <fgColor rgb="FFFF0000"/>
        <bgColor indexed="64"/>
      </patternFill>
    </fill>
    <fill>
      <patternFill patternType="solid">
        <fgColor rgb="FFCC66FF"/>
        <bgColor indexed="64"/>
      </patternFill>
    </fill>
    <fill>
      <patternFill patternType="solid">
        <fgColor rgb="FF0000CC"/>
        <bgColor indexed="64"/>
      </patternFill>
    </fill>
    <fill>
      <patternFill patternType="solid">
        <fgColor rgb="FFFF6600"/>
        <bgColor indexed="64"/>
      </patternFill>
    </fill>
    <fill>
      <patternFill patternType="solid">
        <fgColor rgb="FFFF0066"/>
        <bgColor indexed="64"/>
      </patternFill>
    </fill>
    <fill>
      <patternFill patternType="solid">
        <fgColor rgb="FF66CCFF"/>
        <bgColor indexed="64"/>
      </patternFill>
    </fill>
    <fill>
      <patternFill patternType="solid">
        <fgColor rgb="FF00B0F0"/>
        <bgColor indexed="64"/>
      </patternFill>
    </fill>
    <fill>
      <patternFill patternType="solid">
        <fgColor rgb="FF00FFFF"/>
        <bgColor indexed="64"/>
      </patternFill>
    </fill>
    <fill>
      <patternFill patternType="solid">
        <fgColor theme="0"/>
        <bgColor indexed="64"/>
      </patternFill>
    </fill>
    <fill>
      <patternFill patternType="solid">
        <fgColor theme="7"/>
        <bgColor indexed="64"/>
      </patternFill>
    </fill>
    <fill>
      <patternFill patternType="solid">
        <fgColor rgb="FFFFCCCC"/>
        <bgColor indexed="64"/>
      </patternFill>
    </fill>
    <fill>
      <patternFill patternType="solid">
        <fgColor theme="5" tint="0.39997558519241921"/>
        <bgColor indexed="64"/>
      </patternFill>
    </fill>
    <fill>
      <patternFill patternType="solid">
        <fgColor theme="8"/>
        <bgColor indexed="64"/>
      </patternFill>
    </fill>
    <fill>
      <patternFill patternType="solid">
        <fgColor rgb="FF00FF99"/>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4"/>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6D6D"/>
        <bgColor indexed="64"/>
      </patternFill>
    </fill>
    <fill>
      <patternFill patternType="solid">
        <fgColor theme="5" tint="0.79998168889431442"/>
        <bgColor indexed="64"/>
      </patternFill>
    </fill>
    <fill>
      <patternFill patternType="solid">
        <fgColor theme="0"/>
        <bgColor theme="8" tint="0.79998168889431442"/>
      </patternFill>
    </fill>
    <fill>
      <patternFill patternType="solid">
        <fgColor theme="5"/>
        <bgColor indexed="64"/>
      </patternFill>
    </fill>
    <fill>
      <patternFill patternType="solid">
        <fgColor theme="5" tint="0.79998168889431442"/>
        <bgColor theme="8" tint="0.79998168889431442"/>
      </patternFill>
    </fill>
    <fill>
      <patternFill patternType="solid">
        <fgColor theme="8" tint="0.39997558519241921"/>
        <bgColor indexed="64"/>
      </patternFill>
    </fill>
  </fills>
  <borders count="1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style="thin">
        <color theme="4"/>
      </right>
      <top style="thin">
        <color indexed="64"/>
      </top>
      <bottom/>
      <diagonal/>
    </border>
    <border>
      <left/>
      <right style="thin">
        <color auto="1"/>
      </right>
      <top/>
      <bottom style="hair">
        <color auto="1"/>
      </bottom>
      <diagonal/>
    </border>
    <border>
      <left style="thin">
        <color indexed="64"/>
      </left>
      <right style="thin">
        <color indexed="64"/>
      </right>
      <top/>
      <bottom style="hair">
        <color indexed="64"/>
      </bottom>
      <diagonal/>
    </border>
    <border>
      <left style="thin">
        <color indexed="64"/>
      </left>
      <right/>
      <top style="hair">
        <color indexed="64"/>
      </top>
      <bottom style="hair">
        <color indexed="64"/>
      </bottom>
      <diagonal/>
    </border>
    <border>
      <left/>
      <right style="thin">
        <color auto="1"/>
      </right>
      <top style="hair">
        <color auto="1"/>
      </top>
      <bottom style="hair">
        <color auto="1"/>
      </bottom>
      <diagonal/>
    </border>
    <border>
      <left style="thin">
        <color indexed="64"/>
      </left>
      <right style="thin">
        <color indexed="64"/>
      </right>
      <top style="hair">
        <color indexed="64"/>
      </top>
      <bottom style="hair">
        <color indexed="64"/>
      </bottom>
      <diagonal/>
    </border>
    <border>
      <left/>
      <right/>
      <top style="medium">
        <color auto="1"/>
      </top>
      <bottom/>
      <diagonal/>
    </border>
    <border>
      <left style="medium">
        <color auto="1"/>
      </left>
      <right style="thin">
        <color auto="1"/>
      </right>
      <top/>
      <bottom style="thin">
        <color auto="1"/>
      </bottom>
      <diagonal/>
    </border>
    <border>
      <left style="medium">
        <color auto="1"/>
      </left>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style="hair">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medium">
        <color auto="1"/>
      </left>
      <right style="thin">
        <color indexed="64"/>
      </right>
      <top style="hair">
        <color indexed="64"/>
      </top>
      <bottom style="hair">
        <color indexed="64"/>
      </bottom>
      <diagonal/>
    </border>
    <border>
      <left style="medium">
        <color auto="1"/>
      </left>
      <right style="thin">
        <color auto="1"/>
      </right>
      <top style="hair">
        <color auto="1"/>
      </top>
      <bottom style="medium">
        <color auto="1"/>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medium">
        <color indexed="64"/>
      </top>
      <bottom/>
      <diagonal/>
    </border>
    <border>
      <left style="thin">
        <color indexed="64"/>
      </left>
      <right style="medium">
        <color auto="1"/>
      </right>
      <top style="medium">
        <color indexed="64"/>
      </top>
      <bottom/>
      <diagonal/>
    </border>
    <border>
      <left style="thin">
        <color indexed="64"/>
      </left>
      <right style="thin">
        <color indexed="64"/>
      </right>
      <top style="hair">
        <color indexed="64"/>
      </top>
      <bottom style="thin">
        <color auto="1"/>
      </bottom>
      <diagonal/>
    </border>
    <border>
      <left/>
      <right/>
      <top style="medium">
        <color auto="1"/>
      </top>
      <bottom style="thin">
        <color indexed="64"/>
      </bottom>
      <diagonal/>
    </border>
    <border>
      <left/>
      <right/>
      <top/>
      <bottom style="medium">
        <color indexed="64"/>
      </bottom>
      <diagonal/>
    </border>
    <border>
      <left style="medium">
        <color auto="1"/>
      </left>
      <right style="thin">
        <color indexed="64"/>
      </right>
      <top/>
      <bottom style="hair">
        <color indexed="64"/>
      </bottom>
      <diagonal/>
    </border>
    <border>
      <left style="thin">
        <color indexed="64"/>
      </left>
      <right style="medium">
        <color auto="1"/>
      </right>
      <top style="medium">
        <color auto="1"/>
      </top>
      <bottom style="hair">
        <color auto="1"/>
      </bottom>
      <diagonal/>
    </border>
    <border>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medium">
        <color indexed="64"/>
      </top>
      <bottom style="hair">
        <color indexed="64"/>
      </bottom>
      <diagonal/>
    </border>
    <border>
      <left style="medium">
        <color auto="1"/>
      </left>
      <right style="thin">
        <color indexed="64"/>
      </right>
      <top style="hair">
        <color indexed="64"/>
      </top>
      <bottom/>
      <diagonal/>
    </border>
    <border>
      <left style="thin">
        <color auto="1"/>
      </left>
      <right style="medium">
        <color auto="1"/>
      </right>
      <top style="hair">
        <color auto="1"/>
      </top>
      <bottom/>
      <diagonal/>
    </border>
    <border>
      <left style="thin">
        <color auto="1"/>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indexed="64"/>
      </right>
      <top style="medium">
        <color auto="1"/>
      </top>
      <bottom style="thin">
        <color indexed="64"/>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thin">
        <color indexed="64"/>
      </left>
      <right/>
      <top style="hair">
        <color indexed="64"/>
      </top>
      <bottom style="thin">
        <color auto="1"/>
      </bottom>
      <diagonal/>
    </border>
    <border>
      <left/>
      <right style="thin">
        <color indexed="64"/>
      </right>
      <top style="hair">
        <color indexed="64"/>
      </top>
      <bottom style="thin">
        <color auto="1"/>
      </bottom>
      <diagonal/>
    </border>
    <border>
      <left style="medium">
        <color auto="1"/>
      </left>
      <right/>
      <top style="medium">
        <color auto="1"/>
      </top>
      <bottom/>
      <diagonal/>
    </border>
    <border>
      <left style="thin">
        <color indexed="64"/>
      </left>
      <right style="medium">
        <color auto="1"/>
      </right>
      <top style="thin">
        <color indexed="64"/>
      </top>
      <bottom style="thin">
        <color indexed="64"/>
      </bottom>
      <diagonal/>
    </border>
    <border>
      <left style="medium">
        <color auto="1"/>
      </left>
      <right style="thin">
        <color indexed="64"/>
      </right>
      <top/>
      <bottom style="medium">
        <color auto="1"/>
      </bottom>
      <diagonal/>
    </border>
    <border>
      <left style="medium">
        <color indexed="64"/>
      </left>
      <right style="thin">
        <color auto="1"/>
      </right>
      <top style="medium">
        <color indexed="64"/>
      </top>
      <bottom/>
      <diagonal/>
    </border>
    <border>
      <left style="thin">
        <color indexed="64"/>
      </left>
      <right style="medium">
        <color auto="1"/>
      </right>
      <top/>
      <bottom style="medium">
        <color auto="1"/>
      </bottom>
      <diagonal/>
    </border>
    <border>
      <left/>
      <right style="medium">
        <color indexed="64"/>
      </right>
      <top style="medium">
        <color auto="1"/>
      </top>
      <bottom/>
      <diagonal/>
    </border>
    <border>
      <left/>
      <right style="thin">
        <color indexed="64"/>
      </right>
      <top style="medium">
        <color auto="1"/>
      </top>
      <bottom/>
      <diagonal/>
    </border>
    <border>
      <left style="thin">
        <color auto="1"/>
      </left>
      <right style="medium">
        <color auto="1"/>
      </right>
      <top/>
      <bottom/>
      <diagonal/>
    </border>
    <border>
      <left style="thin">
        <color auto="1"/>
      </left>
      <right style="medium">
        <color auto="1"/>
      </right>
      <top style="thin">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top/>
      <bottom style="thin">
        <color indexed="64"/>
      </bottom>
      <diagonal/>
    </border>
    <border>
      <left style="medium">
        <color indexed="64"/>
      </left>
      <right/>
      <top/>
      <bottom style="medium">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medium">
        <color auto="1"/>
      </left>
      <right style="thin">
        <color indexed="64"/>
      </right>
      <top/>
      <bottom/>
      <diagonal/>
    </border>
    <border>
      <left style="thin">
        <color indexed="64"/>
      </left>
      <right style="hair">
        <color indexed="64"/>
      </right>
      <top style="thin">
        <color indexed="64"/>
      </top>
      <bottom style="thin">
        <color indexed="64"/>
      </bottom>
      <diagonal/>
    </border>
    <border>
      <left style="thin">
        <color indexed="64"/>
      </left>
      <right style="medium">
        <color auto="1"/>
      </right>
      <top/>
      <bottom style="hair">
        <color auto="1"/>
      </bottom>
      <diagonal/>
    </border>
    <border>
      <left/>
      <right/>
      <top style="hair">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right style="hair">
        <color indexed="64"/>
      </right>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style="hair">
        <color indexed="64"/>
      </right>
      <top/>
      <bottom/>
      <diagonal/>
    </border>
    <border>
      <left style="hair">
        <color indexed="64"/>
      </left>
      <right style="thin">
        <color indexed="64"/>
      </right>
      <top/>
      <bottom/>
      <diagonal/>
    </border>
    <border>
      <left style="hair">
        <color indexed="64"/>
      </left>
      <right style="hair">
        <color indexed="64"/>
      </right>
      <top/>
      <bottom style="thin">
        <color indexed="64"/>
      </bottom>
      <diagonal/>
    </border>
    <border>
      <left style="hair">
        <color indexed="64"/>
      </left>
      <right/>
      <top/>
      <bottom style="hair">
        <color indexed="64"/>
      </bottom>
      <diagonal/>
    </border>
    <border>
      <left style="hair">
        <color indexed="64"/>
      </left>
      <right/>
      <top style="hair">
        <color indexed="64"/>
      </top>
      <bottom style="thin">
        <color indexed="64"/>
      </bottom>
      <diagonal/>
    </border>
    <border>
      <left style="hair">
        <color indexed="64"/>
      </left>
      <right/>
      <top/>
      <bottom/>
      <diagonal/>
    </border>
    <border>
      <left style="thin">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thin">
        <color indexed="64"/>
      </right>
      <top style="hair">
        <color indexed="64"/>
      </top>
      <bottom style="hair">
        <color indexed="64"/>
      </bottom>
      <diagonal/>
    </border>
    <border>
      <left style="thin">
        <color indexed="64"/>
      </left>
      <right style="dotted">
        <color indexed="64"/>
      </right>
      <top style="hair">
        <color indexed="64"/>
      </top>
      <bottom style="dotted">
        <color indexed="64"/>
      </bottom>
      <diagonal/>
    </border>
    <border>
      <left style="dotted">
        <color indexed="64"/>
      </left>
      <right style="dotted">
        <color indexed="64"/>
      </right>
      <top style="hair">
        <color indexed="64"/>
      </top>
      <bottom style="dotted">
        <color indexed="64"/>
      </bottom>
      <diagonal/>
    </border>
    <border>
      <left style="dotted">
        <color indexed="64"/>
      </left>
      <right style="thin">
        <color indexed="64"/>
      </right>
      <top style="hair">
        <color indexed="64"/>
      </top>
      <bottom style="dotted">
        <color indexed="64"/>
      </bottom>
      <diagonal/>
    </border>
    <border>
      <left style="thin">
        <color indexed="64"/>
      </left>
      <right style="dotted">
        <color indexed="64"/>
      </right>
      <top style="dotted">
        <color indexed="64"/>
      </top>
      <bottom style="hair">
        <color indexed="64"/>
      </bottom>
      <diagonal/>
    </border>
    <border>
      <left style="dotted">
        <color indexed="64"/>
      </left>
      <right style="dotted">
        <color indexed="64"/>
      </right>
      <top style="dotted">
        <color indexed="64"/>
      </top>
      <bottom style="hair">
        <color indexed="64"/>
      </bottom>
      <diagonal/>
    </border>
    <border>
      <left style="dotted">
        <color indexed="64"/>
      </left>
      <right style="thin">
        <color indexed="64"/>
      </right>
      <top style="dotted">
        <color indexed="64"/>
      </top>
      <bottom style="hair">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dotted">
        <color indexed="64"/>
      </right>
      <top style="dotted">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auto="1"/>
      </right>
      <top style="medium">
        <color indexed="64"/>
      </top>
      <bottom style="thin">
        <color indexed="64"/>
      </bottom>
      <diagonal/>
    </border>
    <border>
      <left/>
      <right/>
      <top style="hair">
        <color indexed="64"/>
      </top>
      <bottom/>
      <diagonal/>
    </border>
    <border>
      <left style="thin">
        <color indexed="64"/>
      </left>
      <right style="dotted">
        <color indexed="64"/>
      </right>
      <top style="hair">
        <color indexed="64"/>
      </top>
      <bottom/>
      <diagonal/>
    </border>
    <border>
      <left style="dotted">
        <color indexed="64"/>
      </left>
      <right style="dotted">
        <color indexed="64"/>
      </right>
      <top style="hair">
        <color indexed="64"/>
      </top>
      <bottom/>
      <diagonal/>
    </border>
    <border>
      <left style="dotted">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dotted">
        <color indexed="64"/>
      </left>
      <right style="dotted">
        <color indexed="64"/>
      </right>
      <top/>
      <bottom style="hair">
        <color indexed="64"/>
      </bottom>
      <diagonal/>
    </border>
    <border>
      <left/>
      <right style="dotted">
        <color indexed="64"/>
      </right>
      <top style="dotted">
        <color indexed="64"/>
      </top>
      <bottom style="dotted">
        <color indexed="64"/>
      </bottom>
      <diagonal/>
    </border>
    <border>
      <left/>
      <right style="dotted">
        <color indexed="64"/>
      </right>
      <top style="dotted">
        <color indexed="64"/>
      </top>
      <bottom style="thin">
        <color indexed="64"/>
      </bottom>
      <diagonal/>
    </border>
    <border>
      <left style="dotted">
        <color indexed="64"/>
      </left>
      <right style="dotted">
        <color indexed="64"/>
      </right>
      <top style="dotted">
        <color indexed="64"/>
      </top>
      <bottom/>
      <diagonal/>
    </border>
    <border>
      <left/>
      <right style="dotted">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2">
    <xf numFmtId="0" fontId="0" fillId="0" borderId="0"/>
    <xf numFmtId="44" fontId="22" fillId="0" borderId="0" applyFont="0" applyFill="0" applyBorder="0" applyAlignment="0" applyProtection="0"/>
  </cellStyleXfs>
  <cellXfs count="776">
    <xf numFmtId="0" fontId="0" fillId="0" borderId="0" xfId="0"/>
    <xf numFmtId="0" fontId="3" fillId="0" borderId="1" xfId="0" applyFont="1" applyBorder="1" applyAlignment="1">
      <alignment horizontal="left" vertical="center"/>
    </xf>
    <xf numFmtId="0" fontId="3" fillId="0" borderId="1" xfId="0" applyFont="1" applyBorder="1" applyAlignment="1">
      <alignment horizontal="left"/>
    </xf>
    <xf numFmtId="0" fontId="3" fillId="0" borderId="4" xfId="0" applyFont="1" applyBorder="1" applyAlignment="1">
      <alignment horizontal="center"/>
    </xf>
    <xf numFmtId="0" fontId="3" fillId="0" borderId="0" xfId="0" applyFont="1"/>
    <xf numFmtId="0" fontId="3" fillId="0" borderId="0" xfId="0" applyFont="1" applyAlignment="1">
      <alignment horizontal="center"/>
    </xf>
    <xf numFmtId="14" fontId="3" fillId="0" borderId="0" xfId="0" applyNumberFormat="1" applyFont="1" applyAlignment="1">
      <alignment horizontal="center"/>
    </xf>
    <xf numFmtId="0" fontId="3" fillId="0" borderId="0" xfId="0" applyFont="1" applyAlignment="1">
      <alignment horizontal="center" vertical="center"/>
    </xf>
    <xf numFmtId="164" fontId="3" fillId="0" borderId="0" xfId="0" applyNumberFormat="1" applyFont="1" applyAlignment="1">
      <alignment horizontal="center"/>
    </xf>
    <xf numFmtId="0" fontId="0" fillId="0" borderId="0" xfId="0" applyAlignment="1">
      <alignment horizontal="center"/>
    </xf>
    <xf numFmtId="0" fontId="1" fillId="0" borderId="0" xfId="0" applyFont="1"/>
    <xf numFmtId="3" fontId="3" fillId="0" borderId="0" xfId="0" applyNumberFormat="1" applyFont="1" applyAlignment="1">
      <alignment horizontal="center"/>
    </xf>
    <xf numFmtId="0" fontId="6" fillId="0" borderId="0" xfId="0" applyFont="1"/>
    <xf numFmtId="0" fontId="0" fillId="0" borderId="0" xfId="0" applyAlignment="1">
      <alignment vertical="center"/>
    </xf>
    <xf numFmtId="3" fontId="3" fillId="0" borderId="0" xfId="0" applyNumberFormat="1" applyFont="1" applyAlignment="1">
      <alignment horizontal="left" vertical="center"/>
    </xf>
    <xf numFmtId="14" fontId="3" fillId="0" borderId="7" xfId="0" applyNumberFormat="1" applyFont="1" applyBorder="1" applyAlignment="1">
      <alignment horizontal="center"/>
    </xf>
    <xf numFmtId="164" fontId="3" fillId="0" borderId="4" xfId="0" applyNumberFormat="1" applyFont="1" applyBorder="1" applyAlignment="1">
      <alignment horizontal="center"/>
    </xf>
    <xf numFmtId="3" fontId="3" fillId="0" borderId="4" xfId="0" applyNumberFormat="1" applyFont="1" applyBorder="1" applyAlignment="1">
      <alignment horizontal="center"/>
    </xf>
    <xf numFmtId="0" fontId="3" fillId="0" borderId="4" xfId="0" applyFont="1" applyBorder="1" applyAlignment="1">
      <alignment horizontal="center" vertical="center"/>
    </xf>
    <xf numFmtId="3" fontId="3" fillId="0" borderId="4" xfId="0" applyNumberFormat="1" applyFont="1" applyBorder="1" applyAlignment="1">
      <alignment horizontal="left" vertical="center"/>
    </xf>
    <xf numFmtId="0" fontId="3" fillId="0" borderId="8" xfId="0" applyFont="1" applyBorder="1" applyAlignment="1">
      <alignment horizontal="center"/>
    </xf>
    <xf numFmtId="1" fontId="0" fillId="0" borderId="0" xfId="0" applyNumberFormat="1"/>
    <xf numFmtId="0" fontId="4" fillId="0" borderId="0" xfId="0" applyFont="1" applyAlignment="1">
      <alignment horizontal="center" vertical="center"/>
    </xf>
    <xf numFmtId="14" fontId="4" fillId="0" borderId="0" xfId="0" applyNumberFormat="1" applyFont="1" applyAlignment="1">
      <alignment horizontal="center" vertical="center"/>
    </xf>
    <xf numFmtId="3" fontId="3" fillId="4" borderId="1" xfId="0" applyNumberFormat="1" applyFont="1" applyFill="1" applyBorder="1" applyAlignment="1">
      <alignment horizontal="left" vertical="center"/>
    </xf>
    <xf numFmtId="0" fontId="4" fillId="4" borderId="1" xfId="0" applyFont="1" applyFill="1" applyBorder="1" applyAlignment="1">
      <alignment horizontal="center" vertical="center"/>
    </xf>
    <xf numFmtId="3" fontId="3" fillId="5" borderId="1" xfId="0" applyNumberFormat="1" applyFont="1" applyFill="1" applyBorder="1" applyAlignment="1">
      <alignment horizontal="left"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3" fontId="3" fillId="7" borderId="1" xfId="0" applyNumberFormat="1" applyFont="1" applyFill="1" applyBorder="1" applyAlignment="1">
      <alignment horizontal="left"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3" fontId="3" fillId="9" borderId="1" xfId="0" applyNumberFormat="1" applyFont="1" applyFill="1" applyBorder="1" applyAlignment="1">
      <alignment horizontal="left" vertical="center"/>
    </xf>
    <xf numFmtId="0" fontId="4"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3" fontId="3" fillId="13" borderId="1" xfId="0" applyNumberFormat="1" applyFont="1" applyFill="1" applyBorder="1" applyAlignment="1">
      <alignment horizontal="left" vertical="center"/>
    </xf>
    <xf numFmtId="0" fontId="4" fillId="13" borderId="1" xfId="0" applyFont="1" applyFill="1" applyBorder="1" applyAlignment="1">
      <alignment horizontal="center" vertical="center"/>
    </xf>
    <xf numFmtId="0" fontId="4" fillId="10" borderId="5" xfId="0" applyFont="1" applyFill="1" applyBorder="1" applyAlignment="1">
      <alignment horizontal="center" vertical="center"/>
    </xf>
    <xf numFmtId="0" fontId="3" fillId="0" borderId="2" xfId="0" applyFont="1" applyBorder="1" applyAlignment="1">
      <alignment horizontal="left"/>
    </xf>
    <xf numFmtId="1" fontId="8" fillId="2" borderId="11" xfId="0" applyNumberFormat="1" applyFont="1" applyFill="1" applyBorder="1" applyAlignment="1">
      <alignment horizontal="center" vertical="center"/>
    </xf>
    <xf numFmtId="0" fontId="8" fillId="2" borderId="5"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9" xfId="0" applyFont="1" applyFill="1" applyBorder="1" applyAlignment="1">
      <alignment horizontal="center" vertical="center"/>
    </xf>
    <xf numFmtId="14" fontId="8" fillId="2" borderId="5" xfId="0" applyNumberFormat="1" applyFont="1" applyFill="1" applyBorder="1" applyAlignment="1">
      <alignment horizontal="left" vertical="center" wrapText="1"/>
    </xf>
    <xf numFmtId="3" fontId="11" fillId="10" borderId="1" xfId="0" applyNumberFormat="1" applyFont="1" applyFill="1" applyBorder="1" applyAlignment="1">
      <alignment horizontal="left" vertical="center"/>
    </xf>
    <xf numFmtId="3" fontId="11" fillId="8" borderId="1" xfId="0" applyNumberFormat="1" applyFont="1" applyFill="1" applyBorder="1" applyAlignment="1">
      <alignment horizontal="left" vertical="center"/>
    </xf>
    <xf numFmtId="1" fontId="3" fillId="0" borderId="11" xfId="0" applyNumberFormat="1" applyFont="1" applyBorder="1" applyAlignment="1">
      <alignment horizontal="left"/>
    </xf>
    <xf numFmtId="14" fontId="3" fillId="0" borderId="5" xfId="0" applyNumberFormat="1" applyFont="1" applyBorder="1" applyAlignment="1">
      <alignment horizontal="left"/>
    </xf>
    <xf numFmtId="3" fontId="3" fillId="0" borderId="1" xfId="0" applyNumberFormat="1" applyFont="1" applyBorder="1" applyAlignment="1">
      <alignment horizontal="left"/>
    </xf>
    <xf numFmtId="14" fontId="3" fillId="0" borderId="1" xfId="0" applyNumberFormat="1" applyFont="1" applyBorder="1" applyAlignment="1">
      <alignment horizontal="left"/>
    </xf>
    <xf numFmtId="0" fontId="3" fillId="9" borderId="1" xfId="0" applyFont="1" applyFill="1" applyBorder="1" applyAlignment="1">
      <alignment horizontal="left"/>
    </xf>
    <xf numFmtId="0" fontId="11" fillId="8" borderId="1" xfId="0" applyFont="1" applyFill="1" applyBorder="1" applyAlignment="1">
      <alignment horizontal="left"/>
    </xf>
    <xf numFmtId="0" fontId="11" fillId="10" borderId="1" xfId="0" applyFont="1" applyFill="1" applyBorder="1" applyAlignment="1">
      <alignment horizontal="left"/>
    </xf>
    <xf numFmtId="14" fontId="3" fillId="0" borderId="7" xfId="0" applyNumberFormat="1" applyFont="1" applyBorder="1" applyAlignment="1">
      <alignment horizontal="left"/>
    </xf>
    <xf numFmtId="0" fontId="3" fillId="0" borderId="4" xfId="0" applyFont="1" applyBorder="1" applyAlignment="1">
      <alignment horizontal="left"/>
    </xf>
    <xf numFmtId="14" fontId="3" fillId="0" borderId="4" xfId="0" applyNumberFormat="1" applyFont="1" applyBorder="1" applyAlignment="1">
      <alignment horizontal="left"/>
    </xf>
    <xf numFmtId="3" fontId="3" fillId="0" borderId="4" xfId="0" applyNumberFormat="1" applyFont="1" applyBorder="1" applyAlignment="1">
      <alignment horizontal="left"/>
    </xf>
    <xf numFmtId="0" fontId="3" fillId="0" borderId="4" xfId="0" applyFont="1" applyBorder="1" applyAlignment="1">
      <alignment horizontal="left" vertical="center"/>
    </xf>
    <xf numFmtId="14" fontId="3" fillId="0" borderId="2" xfId="0" applyNumberFormat="1" applyFont="1" applyBorder="1" applyAlignment="1">
      <alignment horizontal="left"/>
    </xf>
    <xf numFmtId="0" fontId="0" fillId="0" borderId="1" xfId="0" applyBorder="1" applyAlignment="1">
      <alignment horizontal="left"/>
    </xf>
    <xf numFmtId="0" fontId="3" fillId="5" borderId="1" xfId="0" applyFont="1" applyFill="1" applyBorder="1" applyAlignment="1">
      <alignment horizontal="left"/>
    </xf>
    <xf numFmtId="0" fontId="3" fillId="7" borderId="1" xfId="0" applyFont="1" applyFill="1" applyBorder="1" applyAlignment="1">
      <alignment horizontal="left"/>
    </xf>
    <xf numFmtId="0" fontId="3" fillId="4" borderId="1" xfId="0" applyFont="1" applyFill="1" applyBorder="1" applyAlignment="1">
      <alignment horizontal="left"/>
    </xf>
    <xf numFmtId="0" fontId="0" fillId="0" borderId="4" xfId="0" applyBorder="1" applyAlignment="1">
      <alignment horizontal="left"/>
    </xf>
    <xf numFmtId="0" fontId="3" fillId="0" borderId="12" xfId="0" applyFont="1" applyBorder="1" applyAlignment="1">
      <alignment horizontal="left"/>
    </xf>
    <xf numFmtId="1" fontId="0" fillId="0" borderId="0" xfId="0" applyNumberFormat="1" applyAlignment="1">
      <alignment horizontal="left"/>
    </xf>
    <xf numFmtId="0" fontId="0" fillId="0" borderId="0" xfId="0" applyAlignment="1">
      <alignment horizontal="left"/>
    </xf>
    <xf numFmtId="14" fontId="3" fillId="0" borderId="0" xfId="0" applyNumberFormat="1" applyFont="1" applyAlignment="1">
      <alignment horizontal="left"/>
    </xf>
    <xf numFmtId="0" fontId="7" fillId="0" borderId="0" xfId="0" applyFont="1" applyAlignment="1">
      <alignment vertical="center"/>
    </xf>
    <xf numFmtId="0" fontId="0" fillId="0" borderId="0" xfId="0" applyAlignment="1">
      <alignment horizontal="center" vertical="center"/>
    </xf>
    <xf numFmtId="0" fontId="6" fillId="5" borderId="1" xfId="0" applyFont="1" applyFill="1" applyBorder="1" applyAlignment="1">
      <alignment horizontal="left" vertical="center"/>
    </xf>
    <xf numFmtId="14" fontId="14" fillId="0" borderId="1" xfId="0" applyNumberFormat="1" applyFont="1" applyBorder="1" applyAlignment="1">
      <alignment horizontal="left"/>
    </xf>
    <xf numFmtId="0" fontId="14" fillId="0" borderId="1" xfId="0" applyFont="1" applyBorder="1" applyAlignment="1">
      <alignment horizontal="left"/>
    </xf>
    <xf numFmtId="3" fontId="14" fillId="0" borderId="1" xfId="0" applyNumberFormat="1" applyFont="1" applyBorder="1" applyAlignment="1">
      <alignment horizontal="left"/>
    </xf>
    <xf numFmtId="0" fontId="6" fillId="14" borderId="4" xfId="0" applyFont="1" applyFill="1" applyBorder="1" applyAlignment="1">
      <alignment horizontal="left"/>
    </xf>
    <xf numFmtId="0" fontId="6" fillId="5" borderId="1" xfId="0" applyFont="1" applyFill="1" applyBorder="1" applyAlignment="1">
      <alignment horizontal="left"/>
    </xf>
    <xf numFmtId="0" fontId="3" fillId="14" borderId="1" xfId="0" applyFont="1" applyFill="1" applyBorder="1" applyAlignment="1">
      <alignment horizontal="left"/>
    </xf>
    <xf numFmtId="14" fontId="15" fillId="0" borderId="1" xfId="0" applyNumberFormat="1" applyFont="1" applyBorder="1" applyAlignment="1">
      <alignment horizontal="left"/>
    </xf>
    <xf numFmtId="0" fontId="15" fillId="0" borderId="1" xfId="0" applyFont="1" applyBorder="1" applyAlignment="1">
      <alignment horizontal="left"/>
    </xf>
    <xf numFmtId="3" fontId="15" fillId="0" borderId="1" xfId="0" applyNumberFormat="1" applyFont="1" applyBorder="1" applyAlignment="1">
      <alignment horizontal="left"/>
    </xf>
    <xf numFmtId="0" fontId="15" fillId="0" borderId="2" xfId="0" applyFont="1" applyBorder="1" applyAlignment="1">
      <alignment horizontal="left"/>
    </xf>
    <xf numFmtId="0" fontId="4" fillId="15" borderId="1" xfId="0" applyFont="1" applyFill="1" applyBorder="1" applyAlignment="1">
      <alignment horizontal="center" vertical="center"/>
    </xf>
    <xf numFmtId="0" fontId="3" fillId="15" borderId="1" xfId="0" applyFont="1" applyFill="1" applyBorder="1" applyAlignment="1">
      <alignment horizontal="left"/>
    </xf>
    <xf numFmtId="3" fontId="3" fillId="15" borderId="1" xfId="0" applyNumberFormat="1" applyFont="1" applyFill="1" applyBorder="1" applyAlignment="1">
      <alignment horizontal="left" vertical="center"/>
    </xf>
    <xf numFmtId="0" fontId="4" fillId="0" borderId="1" xfId="0" applyFont="1" applyBorder="1" applyAlignment="1">
      <alignment horizontal="center" vertical="center"/>
    </xf>
    <xf numFmtId="14" fontId="16" fillId="0" borderId="4" xfId="0" applyNumberFormat="1" applyFont="1" applyBorder="1" applyAlignment="1">
      <alignment horizontal="left"/>
    </xf>
    <xf numFmtId="0" fontId="16" fillId="0" borderId="4" xfId="0" applyFont="1" applyBorder="1" applyAlignment="1">
      <alignment horizontal="left"/>
    </xf>
    <xf numFmtId="3" fontId="16" fillId="0" borderId="4" xfId="0" applyNumberFormat="1" applyFont="1" applyBorder="1" applyAlignment="1">
      <alignment horizontal="left"/>
    </xf>
    <xf numFmtId="0" fontId="16" fillId="0" borderId="12" xfId="0" applyFont="1" applyBorder="1" applyAlignment="1">
      <alignment horizontal="left"/>
    </xf>
    <xf numFmtId="0" fontId="6" fillId="7" borderId="1" xfId="0" applyFont="1" applyFill="1" applyBorder="1" applyAlignment="1">
      <alignment horizontal="left" vertical="center"/>
    </xf>
    <xf numFmtId="0" fontId="4" fillId="17" borderId="1" xfId="0" applyFont="1" applyFill="1" applyBorder="1" applyAlignment="1">
      <alignment horizontal="center" vertical="center"/>
    </xf>
    <xf numFmtId="0" fontId="6" fillId="17" borderId="1" xfId="0" applyFont="1" applyFill="1" applyBorder="1" applyAlignment="1">
      <alignment horizontal="left" vertical="center"/>
    </xf>
    <xf numFmtId="14" fontId="17" fillId="0" borderId="4" xfId="0" applyNumberFormat="1" applyFont="1" applyBorder="1" applyAlignment="1">
      <alignment horizontal="left"/>
    </xf>
    <xf numFmtId="0" fontId="17" fillId="0" borderId="4" xfId="0" applyFont="1" applyBorder="1" applyAlignment="1">
      <alignment horizontal="left"/>
    </xf>
    <xf numFmtId="3" fontId="17" fillId="0" borderId="4" xfId="0" applyNumberFormat="1" applyFont="1" applyBorder="1" applyAlignment="1">
      <alignment horizontal="left"/>
    </xf>
    <xf numFmtId="0" fontId="17" fillId="0" borderId="12" xfId="0" applyFont="1" applyBorder="1" applyAlignment="1">
      <alignment horizontal="left"/>
    </xf>
    <xf numFmtId="0" fontId="4" fillId="18" borderId="1" xfId="0" applyFont="1" applyFill="1" applyBorder="1" applyAlignment="1">
      <alignment horizontal="center" vertical="center"/>
    </xf>
    <xf numFmtId="3" fontId="3" fillId="18" borderId="4" xfId="0" applyNumberFormat="1" applyFont="1" applyFill="1" applyBorder="1" applyAlignment="1">
      <alignment horizontal="left" vertical="center"/>
    </xf>
    <xf numFmtId="3" fontId="3" fillId="9" borderId="4" xfId="0" applyNumberFormat="1" applyFont="1" applyFill="1" applyBorder="1" applyAlignment="1">
      <alignment horizontal="left" vertical="center"/>
    </xf>
    <xf numFmtId="0" fontId="4" fillId="19" borderId="1" xfId="0" applyFont="1" applyFill="1" applyBorder="1" applyAlignment="1">
      <alignment horizontal="center" vertical="center"/>
    </xf>
    <xf numFmtId="3" fontId="3" fillId="19" borderId="4" xfId="0" applyNumberFormat="1" applyFont="1" applyFill="1" applyBorder="1" applyAlignment="1">
      <alignment horizontal="left" vertical="center"/>
    </xf>
    <xf numFmtId="0" fontId="6" fillId="9" borderId="1" xfId="0" applyFont="1" applyFill="1" applyBorder="1" applyAlignment="1">
      <alignment horizontal="left" vertical="center"/>
    </xf>
    <xf numFmtId="0" fontId="6" fillId="19" borderId="1" xfId="0" applyFont="1" applyFill="1" applyBorder="1" applyAlignment="1">
      <alignment horizontal="left" vertical="center"/>
    </xf>
    <xf numFmtId="0" fontId="6" fillId="18" borderId="1" xfId="0" applyFont="1" applyFill="1" applyBorder="1" applyAlignment="1">
      <alignment horizontal="left" vertical="center"/>
    </xf>
    <xf numFmtId="14" fontId="18" fillId="0" borderId="4" xfId="0" applyNumberFormat="1" applyFont="1" applyBorder="1" applyAlignment="1">
      <alignment horizontal="left"/>
    </xf>
    <xf numFmtId="0" fontId="18" fillId="0" borderId="4" xfId="0" applyFont="1" applyBorder="1" applyAlignment="1">
      <alignment horizontal="left"/>
    </xf>
    <xf numFmtId="3" fontId="18" fillId="0" borderId="4" xfId="0" applyNumberFormat="1" applyFont="1" applyBorder="1" applyAlignment="1">
      <alignment horizontal="left"/>
    </xf>
    <xf numFmtId="0" fontId="18" fillId="0" borderId="12" xfId="0" applyFont="1" applyBorder="1" applyAlignment="1">
      <alignment horizontal="left"/>
    </xf>
    <xf numFmtId="0" fontId="3" fillId="18" borderId="4" xfId="0" applyFont="1" applyFill="1" applyBorder="1" applyAlignment="1">
      <alignment horizontal="left"/>
    </xf>
    <xf numFmtId="14" fontId="18" fillId="0" borderId="1" xfId="0" applyNumberFormat="1" applyFont="1" applyBorder="1" applyAlignment="1">
      <alignment horizontal="left"/>
    </xf>
    <xf numFmtId="0" fontId="18" fillId="0" borderId="1" xfId="0" applyFont="1" applyBorder="1" applyAlignment="1">
      <alignment horizontal="left"/>
    </xf>
    <xf numFmtId="3" fontId="18" fillId="0" borderId="1" xfId="0" applyNumberFormat="1" applyFont="1" applyBorder="1" applyAlignment="1">
      <alignment horizontal="left"/>
    </xf>
    <xf numFmtId="0" fontId="18" fillId="0" borderId="2" xfId="0" applyFont="1" applyBorder="1" applyAlignment="1">
      <alignment horizontal="left"/>
    </xf>
    <xf numFmtId="14" fontId="19" fillId="0" borderId="4" xfId="0" applyNumberFormat="1" applyFont="1" applyBorder="1" applyAlignment="1">
      <alignment horizontal="left"/>
    </xf>
    <xf numFmtId="0" fontId="19" fillId="0" borderId="4" xfId="0" applyFont="1" applyBorder="1" applyAlignment="1">
      <alignment horizontal="left"/>
    </xf>
    <xf numFmtId="3" fontId="19" fillId="0" borderId="4" xfId="0" applyNumberFormat="1" applyFont="1" applyBorder="1" applyAlignment="1">
      <alignment horizontal="left"/>
    </xf>
    <xf numFmtId="0" fontId="19" fillId="0" borderId="12" xfId="0" applyFont="1" applyBorder="1" applyAlignment="1">
      <alignment horizontal="left"/>
    </xf>
    <xf numFmtId="0" fontId="6" fillId="16" borderId="1" xfId="0" applyFont="1" applyFill="1" applyBorder="1" applyAlignment="1">
      <alignment horizontal="left" vertical="center"/>
    </xf>
    <xf numFmtId="14" fontId="5" fillId="0" borderId="1" xfId="0" applyNumberFormat="1" applyFont="1" applyBorder="1" applyAlignment="1">
      <alignment horizontal="left"/>
    </xf>
    <xf numFmtId="3" fontId="5" fillId="0" borderId="1" xfId="0" applyNumberFormat="1" applyFont="1" applyBorder="1" applyAlignment="1">
      <alignment horizontal="left"/>
    </xf>
    <xf numFmtId="0" fontId="3" fillId="4" borderId="4" xfId="0" applyFont="1" applyFill="1" applyBorder="1" applyAlignment="1">
      <alignment horizontal="left"/>
    </xf>
    <xf numFmtId="3" fontId="3" fillId="4" borderId="4" xfId="0" applyNumberFormat="1" applyFont="1" applyFill="1" applyBorder="1" applyAlignment="1">
      <alignment horizontal="left" vertical="center"/>
    </xf>
    <xf numFmtId="0" fontId="0" fillId="0" borderId="1" xfId="0" applyBorder="1" applyAlignment="1">
      <alignment horizontal="center"/>
    </xf>
    <xf numFmtId="0" fontId="8" fillId="2" borderId="1" xfId="0" applyFont="1" applyFill="1" applyBorder="1" applyAlignment="1">
      <alignment horizontal="center" vertical="center"/>
    </xf>
    <xf numFmtId="0" fontId="5" fillId="0" borderId="4" xfId="0" applyFont="1" applyBorder="1" applyAlignment="1">
      <alignment horizontal="left"/>
    </xf>
    <xf numFmtId="0" fontId="6" fillId="0" borderId="4" xfId="0" applyFont="1" applyBorder="1" applyAlignment="1">
      <alignment horizontal="left"/>
    </xf>
    <xf numFmtId="1" fontId="20" fillId="0" borderId="13" xfId="0" applyNumberFormat="1" applyFont="1" applyBorder="1" applyAlignment="1">
      <alignment horizontal="left"/>
    </xf>
    <xf numFmtId="14" fontId="20" fillId="0" borderId="4" xfId="0" applyNumberFormat="1" applyFont="1" applyBorder="1" applyAlignment="1">
      <alignment horizontal="left"/>
    </xf>
    <xf numFmtId="0" fontId="20" fillId="0" borderId="4" xfId="0" applyFont="1" applyBorder="1" applyAlignment="1">
      <alignment horizontal="left"/>
    </xf>
    <xf numFmtId="3" fontId="20" fillId="0" borderId="4" xfId="0" applyNumberFormat="1" applyFont="1" applyBorder="1" applyAlignment="1">
      <alignment horizontal="left"/>
    </xf>
    <xf numFmtId="0" fontId="20" fillId="0" borderId="12" xfId="0" applyFont="1" applyBorder="1" applyAlignment="1">
      <alignment horizontal="left"/>
    </xf>
    <xf numFmtId="164" fontId="0" fillId="0" borderId="0" xfId="0" applyNumberFormat="1"/>
    <xf numFmtId="164" fontId="0" fillId="0" borderId="0" xfId="0" applyNumberFormat="1" applyAlignment="1">
      <alignment horizontal="center"/>
    </xf>
    <xf numFmtId="0" fontId="7" fillId="16" borderId="0" xfId="0" applyFont="1" applyFill="1"/>
    <xf numFmtId="164" fontId="2" fillId="3" borderId="45" xfId="0" applyNumberFormat="1" applyFont="1" applyFill="1" applyBorder="1" applyAlignment="1">
      <alignment horizontal="center" vertical="center" wrapText="1"/>
    </xf>
    <xf numFmtId="0" fontId="0" fillId="0" borderId="0" xfId="0" applyAlignment="1">
      <alignment horizontal="center" vertical="center" wrapText="1"/>
    </xf>
    <xf numFmtId="0" fontId="3" fillId="0" borderId="19" xfId="0" applyFont="1" applyBorder="1" applyAlignment="1">
      <alignment horizontal="center" vertical="center"/>
    </xf>
    <xf numFmtId="164" fontId="3" fillId="0" borderId="19" xfId="0" applyNumberFormat="1" applyFont="1" applyBorder="1" applyAlignment="1">
      <alignment horizontal="center" vertical="center"/>
    </xf>
    <xf numFmtId="164" fontId="3" fillId="0" borderId="27" xfId="0" applyNumberFormat="1" applyFont="1" applyBorder="1" applyAlignment="1">
      <alignment horizontal="center" vertical="center"/>
    </xf>
    <xf numFmtId="0" fontId="3" fillId="0" borderId="27" xfId="0" applyFont="1" applyBorder="1" applyAlignment="1">
      <alignment horizontal="center" vertical="center"/>
    </xf>
    <xf numFmtId="0" fontId="7" fillId="0" borderId="39" xfId="0" applyFont="1" applyBorder="1" applyAlignment="1">
      <alignment horizontal="left" vertical="center"/>
    </xf>
    <xf numFmtId="0" fontId="0" fillId="0" borderId="19" xfId="0" applyBorder="1" applyAlignment="1">
      <alignment horizontal="center" vertical="center"/>
    </xf>
    <xf numFmtId="164" fontId="0" fillId="0" borderId="19" xfId="0" applyNumberFormat="1" applyBorder="1" applyAlignment="1">
      <alignment horizontal="center" vertical="center"/>
    </xf>
    <xf numFmtId="0" fontId="7" fillId="0" borderId="19" xfId="0" applyFont="1" applyBorder="1" applyAlignment="1">
      <alignment horizontal="center" vertical="center"/>
    </xf>
    <xf numFmtId="0" fontId="0" fillId="0" borderId="37" xfId="0" applyBorder="1" applyAlignment="1">
      <alignment horizontal="center" vertical="center"/>
    </xf>
    <xf numFmtId="0" fontId="7" fillId="0" borderId="40" xfId="0" applyFont="1" applyBorder="1" applyAlignment="1">
      <alignment horizontal="left" vertical="center"/>
    </xf>
    <xf numFmtId="0" fontId="7" fillId="0" borderId="27" xfId="0" applyFont="1" applyBorder="1" applyAlignment="1">
      <alignment horizontal="center" vertical="center"/>
    </xf>
    <xf numFmtId="164" fontId="0" fillId="0" borderId="27" xfId="0" applyNumberFormat="1" applyBorder="1" applyAlignment="1">
      <alignment horizontal="center" vertical="center"/>
    </xf>
    <xf numFmtId="0" fontId="0" fillId="0" borderId="27" xfId="0" applyBorder="1" applyAlignment="1">
      <alignment horizontal="center" vertical="center"/>
    </xf>
    <xf numFmtId="0" fontId="7" fillId="0" borderId="41" xfId="0" applyFont="1" applyBorder="1" applyAlignment="1">
      <alignment horizontal="left" vertical="center"/>
    </xf>
    <xf numFmtId="0" fontId="7" fillId="0" borderId="42" xfId="0" applyFont="1" applyBorder="1" applyAlignment="1">
      <alignment horizontal="center" vertical="center"/>
    </xf>
    <xf numFmtId="0" fontId="0" fillId="0" borderId="42" xfId="0" applyBorder="1" applyAlignment="1">
      <alignment horizontal="center" vertical="center"/>
    </xf>
    <xf numFmtId="0" fontId="2" fillId="16" borderId="4" xfId="0" applyFont="1" applyFill="1" applyBorder="1" applyAlignment="1">
      <alignment horizontal="center" vertical="center" wrapText="1"/>
    </xf>
    <xf numFmtId="0" fontId="2" fillId="16" borderId="14" xfId="0" applyFont="1" applyFill="1" applyBorder="1" applyAlignment="1">
      <alignment horizontal="center" vertical="center" wrapText="1"/>
    </xf>
    <xf numFmtId="164" fontId="3" fillId="0" borderId="42" xfId="0" applyNumberFormat="1" applyFont="1" applyBorder="1" applyAlignment="1">
      <alignment horizontal="center" vertical="center"/>
    </xf>
    <xf numFmtId="0" fontId="3" fillId="0" borderId="42" xfId="0" applyFont="1" applyBorder="1" applyAlignment="1">
      <alignment horizontal="center" vertical="center"/>
    </xf>
    <xf numFmtId="0" fontId="6" fillId="16" borderId="42" xfId="0" applyFont="1" applyFill="1" applyBorder="1" applyAlignment="1">
      <alignment horizontal="center" vertical="center"/>
    </xf>
    <xf numFmtId="0" fontId="6" fillId="16" borderId="19" xfId="0" applyFont="1" applyFill="1" applyBorder="1" applyAlignment="1">
      <alignment horizontal="center" vertical="center"/>
    </xf>
    <xf numFmtId="0" fontId="6" fillId="16" borderId="27" xfId="0" applyFont="1" applyFill="1" applyBorder="1" applyAlignment="1">
      <alignment horizontal="center" vertical="center"/>
    </xf>
    <xf numFmtId="164" fontId="6" fillId="16" borderId="19" xfId="0" applyNumberFormat="1" applyFont="1" applyFill="1" applyBorder="1" applyAlignment="1">
      <alignment horizontal="center" vertical="center"/>
    </xf>
    <xf numFmtId="0" fontId="6" fillId="0" borderId="19" xfId="0" applyFont="1" applyBorder="1" applyAlignment="1">
      <alignment horizontal="center" vertical="center"/>
    </xf>
    <xf numFmtId="164" fontId="6" fillId="0" borderId="19" xfId="0" applyNumberFormat="1" applyFont="1" applyBorder="1" applyAlignment="1">
      <alignment horizontal="center" vertical="center"/>
    </xf>
    <xf numFmtId="164" fontId="6" fillId="16" borderId="27" xfId="0" applyNumberFormat="1" applyFont="1" applyFill="1" applyBorder="1" applyAlignment="1">
      <alignment horizontal="center" vertical="center"/>
    </xf>
    <xf numFmtId="0" fontId="6" fillId="16" borderId="39" xfId="0" applyFont="1" applyFill="1" applyBorder="1" applyAlignment="1">
      <alignment horizontal="left" vertical="center"/>
    </xf>
    <xf numFmtId="0" fontId="6" fillId="0" borderId="39" xfId="0" applyFont="1" applyBorder="1" applyAlignment="1">
      <alignment horizontal="left" vertical="center"/>
    </xf>
    <xf numFmtId="0" fontId="6" fillId="16" borderId="40" xfId="0" applyFont="1" applyFill="1" applyBorder="1" applyAlignment="1">
      <alignment horizontal="left" vertical="center"/>
    </xf>
    <xf numFmtId="0" fontId="6" fillId="16" borderId="41" xfId="0" applyFont="1" applyFill="1" applyBorder="1" applyAlignment="1">
      <alignment horizontal="left" vertical="center"/>
    </xf>
    <xf numFmtId="0" fontId="6" fillId="0" borderId="42" xfId="0" applyFont="1" applyBorder="1" applyAlignment="1">
      <alignment horizontal="center" vertical="center"/>
    </xf>
    <xf numFmtId="0" fontId="2" fillId="16" borderId="51" xfId="0" applyFont="1" applyFill="1" applyBorder="1" applyAlignment="1">
      <alignment horizontal="center" vertical="center" wrapText="1"/>
    </xf>
    <xf numFmtId="0" fontId="6" fillId="0" borderId="27" xfId="0" applyFont="1" applyBorder="1" applyAlignment="1">
      <alignment horizontal="center" vertical="center"/>
    </xf>
    <xf numFmtId="0" fontId="0" fillId="0" borderId="0" xfId="0" applyAlignment="1">
      <alignment wrapText="1"/>
    </xf>
    <xf numFmtId="0" fontId="3" fillId="0" borderId="16" xfId="0" applyFont="1" applyBorder="1" applyAlignment="1">
      <alignment horizontal="center" vertical="center"/>
    </xf>
    <xf numFmtId="164" fontId="6" fillId="0" borderId="27" xfId="0" applyNumberFormat="1" applyFont="1" applyBorder="1" applyAlignment="1">
      <alignment horizontal="center" vertical="center"/>
    </xf>
    <xf numFmtId="0" fontId="6" fillId="16" borderId="49" xfId="0" applyFont="1" applyFill="1" applyBorder="1" applyAlignment="1">
      <alignment horizontal="center" vertical="center" wrapText="1"/>
    </xf>
    <xf numFmtId="0" fontId="6" fillId="16" borderId="23" xfId="0" applyFont="1" applyFill="1" applyBorder="1" applyAlignment="1">
      <alignment horizontal="center" vertical="center" wrapText="1"/>
    </xf>
    <xf numFmtId="0" fontId="24" fillId="22" borderId="33" xfId="0" applyFont="1" applyFill="1" applyBorder="1" applyAlignment="1">
      <alignment horizontal="center" vertical="center" wrapText="1"/>
    </xf>
    <xf numFmtId="0" fontId="25" fillId="22" borderId="32" xfId="0" applyFont="1" applyFill="1" applyBorder="1" applyAlignment="1">
      <alignment horizontal="center" vertical="center" wrapText="1"/>
    </xf>
    <xf numFmtId="164" fontId="0" fillId="0" borderId="42" xfId="0" applyNumberFormat="1" applyBorder="1" applyAlignment="1">
      <alignment horizontal="center" vertical="center"/>
    </xf>
    <xf numFmtId="44" fontId="26" fillId="0" borderId="16" xfId="1" applyFont="1" applyBorder="1" applyAlignment="1">
      <alignment horizontal="center" vertical="center" wrapText="1"/>
    </xf>
    <xf numFmtId="44" fontId="26" fillId="0" borderId="15" xfId="1" applyFont="1" applyBorder="1" applyAlignment="1">
      <alignment horizontal="center" vertical="center" wrapText="1"/>
    </xf>
    <xf numFmtId="0" fontId="26" fillId="0" borderId="0" xfId="0" applyFont="1" applyAlignment="1">
      <alignment vertical="center"/>
    </xf>
    <xf numFmtId="0" fontId="26" fillId="0" borderId="22" xfId="0" applyFont="1" applyBorder="1" applyAlignment="1">
      <alignment horizontal="center" vertical="center" wrapText="1"/>
    </xf>
    <xf numFmtId="0" fontId="26" fillId="0" borderId="18" xfId="0" applyFont="1" applyBorder="1" applyAlignment="1">
      <alignment horizontal="center" vertical="center" wrapText="1"/>
    </xf>
    <xf numFmtId="3" fontId="26" fillId="0" borderId="19" xfId="0" applyNumberFormat="1" applyFont="1" applyBorder="1" applyAlignment="1">
      <alignment horizontal="center" vertical="center" wrapText="1"/>
    </xf>
    <xf numFmtId="44" fontId="26" fillId="0" borderId="19" xfId="1" applyFont="1" applyBorder="1" applyAlignment="1">
      <alignment horizontal="center" vertical="center" wrapText="1"/>
    </xf>
    <xf numFmtId="44" fontId="26" fillId="0" borderId="17" xfId="1" applyFont="1" applyBorder="1" applyAlignment="1">
      <alignment horizontal="center" vertical="center" wrapText="1"/>
    </xf>
    <xf numFmtId="3" fontId="27" fillId="0" borderId="27" xfId="0" applyNumberFormat="1" applyFont="1" applyBorder="1" applyAlignment="1">
      <alignment horizontal="center" vertical="center" wrapText="1"/>
    </xf>
    <xf numFmtId="165" fontId="27" fillId="0" borderId="27" xfId="0" applyNumberFormat="1" applyFont="1" applyBorder="1" applyAlignment="1">
      <alignment horizontal="center" vertical="center" wrapText="1"/>
    </xf>
    <xf numFmtId="3" fontId="27" fillId="0" borderId="29" xfId="0" applyNumberFormat="1" applyFont="1" applyBorder="1" applyAlignment="1">
      <alignment horizontal="center" vertical="center" wrapText="1"/>
    </xf>
    <xf numFmtId="0" fontId="27" fillId="0" borderId="0" xfId="0" applyFont="1" applyAlignment="1">
      <alignment vertical="center" wrapText="1"/>
    </xf>
    <xf numFmtId="10" fontId="27" fillId="0" borderId="31" xfId="0" applyNumberFormat="1" applyFont="1" applyBorder="1" applyAlignment="1">
      <alignment horizontal="center" vertical="center" wrapText="1"/>
    </xf>
    <xf numFmtId="0" fontId="28" fillId="0" borderId="0" xfId="0" applyFont="1" applyAlignment="1">
      <alignment horizontal="center"/>
    </xf>
    <xf numFmtId="0" fontId="28" fillId="0" borderId="0" xfId="0" applyFont="1"/>
    <xf numFmtId="3" fontId="28" fillId="0" borderId="0" xfId="0" applyNumberFormat="1" applyFont="1" applyAlignment="1">
      <alignment horizontal="center" vertical="center" wrapText="1"/>
    </xf>
    <xf numFmtId="44" fontId="28" fillId="0" borderId="0" xfId="1" applyFont="1"/>
    <xf numFmtId="0" fontId="26" fillId="0" borderId="0" xfId="0" applyFont="1" applyAlignment="1">
      <alignment horizontal="center" vertical="center"/>
    </xf>
    <xf numFmtId="0" fontId="27" fillId="0" borderId="43" xfId="0" applyFont="1" applyBorder="1" applyAlignment="1">
      <alignment horizontal="center" vertical="center" wrapText="1"/>
    </xf>
    <xf numFmtId="0" fontId="27" fillId="0" borderId="47" xfId="0" applyFont="1" applyBorder="1" applyAlignment="1">
      <alignment horizontal="center" vertical="center" wrapText="1"/>
    </xf>
    <xf numFmtId="10" fontId="27" fillId="0" borderId="0" xfId="0" applyNumberFormat="1" applyFont="1" applyAlignment="1">
      <alignment horizontal="center" vertical="center" wrapText="1"/>
    </xf>
    <xf numFmtId="3" fontId="26" fillId="0" borderId="15" xfId="0" applyNumberFormat="1" applyFont="1" applyBorder="1" applyAlignment="1">
      <alignment horizontal="center" vertical="center" wrapText="1"/>
    </xf>
    <xf numFmtId="3" fontId="1" fillId="23" borderId="1" xfId="0" applyNumberFormat="1" applyFont="1" applyFill="1" applyBorder="1" applyAlignment="1">
      <alignment horizontal="center" vertical="center" wrapText="1"/>
    </xf>
    <xf numFmtId="44" fontId="1" fillId="23" borderId="1" xfId="1" applyFont="1" applyFill="1" applyBorder="1" applyAlignment="1">
      <alignment horizontal="center" vertical="center" wrapText="1"/>
    </xf>
    <xf numFmtId="44" fontId="1" fillId="23" borderId="2" xfId="1" applyFont="1" applyFill="1" applyBorder="1" applyAlignment="1">
      <alignment horizontal="center" vertical="center" wrapText="1"/>
    </xf>
    <xf numFmtId="0" fontId="2" fillId="16" borderId="1" xfId="0" applyFont="1" applyFill="1" applyBorder="1" applyAlignment="1">
      <alignment horizontal="center" vertical="center" wrapText="1"/>
    </xf>
    <xf numFmtId="49" fontId="6" fillId="0" borderId="19" xfId="0" applyNumberFormat="1" applyFont="1" applyBorder="1" applyAlignment="1">
      <alignment horizontal="center" vertical="center"/>
    </xf>
    <xf numFmtId="49" fontId="3" fillId="0" borderId="19" xfId="0" applyNumberFormat="1" applyFont="1" applyBorder="1" applyAlignment="1">
      <alignment horizontal="center" vertical="center"/>
    </xf>
    <xf numFmtId="49" fontId="3" fillId="0" borderId="38" xfId="0" applyNumberFormat="1" applyFont="1" applyBorder="1" applyAlignment="1">
      <alignment horizontal="center" vertical="center"/>
    </xf>
    <xf numFmtId="0" fontId="3" fillId="16" borderId="23" xfId="0" applyFont="1" applyFill="1" applyBorder="1" applyAlignment="1">
      <alignment horizontal="center" vertical="center" wrapText="1"/>
    </xf>
    <xf numFmtId="0" fontId="6" fillId="16" borderId="28" xfId="0" applyFont="1" applyFill="1" applyBorder="1" applyAlignment="1">
      <alignment horizontal="center" vertical="center" wrapText="1"/>
    </xf>
    <xf numFmtId="49" fontId="3" fillId="0" borderId="42" xfId="0" applyNumberFormat="1" applyFont="1" applyBorder="1" applyAlignment="1">
      <alignment horizontal="center" vertical="center"/>
    </xf>
    <xf numFmtId="4" fontId="3" fillId="0" borderId="19" xfId="0" applyNumberFormat="1" applyFont="1" applyBorder="1" applyAlignment="1">
      <alignment horizontal="center" vertical="center"/>
    </xf>
    <xf numFmtId="0" fontId="29" fillId="0" borderId="20" xfId="0" applyFont="1" applyBorder="1" applyAlignment="1">
      <alignment vertical="center"/>
    </xf>
    <xf numFmtId="0" fontId="27" fillId="0" borderId="44" xfId="0" applyFont="1" applyBorder="1" applyAlignment="1">
      <alignment horizontal="center" vertical="center" wrapText="1"/>
    </xf>
    <xf numFmtId="167" fontId="2" fillId="3" borderId="45" xfId="0" applyNumberFormat="1" applyFont="1" applyFill="1" applyBorder="1" applyAlignment="1">
      <alignment horizontal="center" vertical="center" wrapText="1"/>
    </xf>
    <xf numFmtId="167" fontId="6" fillId="0" borderId="19" xfId="0" applyNumberFormat="1" applyFont="1" applyBorder="1" applyAlignment="1">
      <alignment horizontal="center" vertical="center"/>
    </xf>
    <xf numFmtId="167" fontId="3" fillId="0" borderId="19" xfId="0" applyNumberFormat="1" applyFont="1" applyBorder="1" applyAlignment="1">
      <alignment horizontal="center" vertical="center"/>
    </xf>
    <xf numFmtId="167" fontId="3" fillId="0" borderId="27" xfId="0" applyNumberFormat="1" applyFont="1" applyBorder="1" applyAlignment="1">
      <alignment horizontal="center" vertical="center"/>
    </xf>
    <xf numFmtId="167" fontId="3" fillId="0" borderId="42" xfId="0" applyNumberFormat="1" applyFont="1" applyBorder="1" applyAlignment="1">
      <alignment horizontal="center" vertical="center"/>
    </xf>
    <xf numFmtId="167" fontId="0" fillId="0" borderId="0" xfId="0" applyNumberFormat="1"/>
    <xf numFmtId="164" fontId="6" fillId="0" borderId="16" xfId="0" applyNumberFormat="1" applyFont="1" applyBorder="1" applyAlignment="1">
      <alignment horizontal="center" vertical="center"/>
    </xf>
    <xf numFmtId="0" fontId="3" fillId="0" borderId="42" xfId="0" applyFont="1" applyBorder="1" applyAlignment="1">
      <alignment vertical="center"/>
    </xf>
    <xf numFmtId="0" fontId="3" fillId="0" borderId="49" xfId="0" applyFont="1" applyBorder="1" applyAlignment="1">
      <alignment vertical="center"/>
    </xf>
    <xf numFmtId="0" fontId="3" fillId="0" borderId="19" xfId="0" applyFont="1" applyBorder="1" applyAlignment="1">
      <alignment vertical="center"/>
    </xf>
    <xf numFmtId="0" fontId="3" fillId="0" borderId="23" xfId="0" applyFont="1" applyBorder="1" applyAlignment="1">
      <alignment vertical="center"/>
    </xf>
    <xf numFmtId="49" fontId="3" fillId="0" borderId="27" xfId="0" applyNumberFormat="1" applyFont="1" applyBorder="1" applyAlignment="1">
      <alignment horizontal="center"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49" xfId="0" applyFont="1" applyBorder="1" applyAlignment="1">
      <alignment horizontal="center" vertical="center"/>
    </xf>
    <xf numFmtId="0" fontId="6" fillId="0" borderId="16" xfId="0" applyFont="1" applyBorder="1" applyAlignment="1">
      <alignment horizontal="center" vertical="center"/>
    </xf>
    <xf numFmtId="0" fontId="6" fillId="0" borderId="23" xfId="0" applyFont="1" applyBorder="1" applyAlignment="1">
      <alignment horizontal="center" vertical="center"/>
    </xf>
    <xf numFmtId="3" fontId="3" fillId="0" borderId="19" xfId="0" applyNumberFormat="1" applyFont="1" applyBorder="1" applyAlignment="1">
      <alignment horizontal="center" vertical="center"/>
    </xf>
    <xf numFmtId="0" fontId="1" fillId="7" borderId="33" xfId="0" applyFont="1" applyFill="1" applyBorder="1" applyAlignment="1">
      <alignment horizontal="center" vertical="center" wrapText="1"/>
    </xf>
    <xf numFmtId="0" fontId="1" fillId="13" borderId="33" xfId="0" applyFont="1" applyFill="1" applyBorder="1" applyAlignment="1">
      <alignment horizontal="center" vertical="center" wrapText="1"/>
    </xf>
    <xf numFmtId="0" fontId="30" fillId="0" borderId="1" xfId="0" applyFont="1" applyBorder="1" applyAlignment="1">
      <alignment horizontal="center" vertical="center" wrapText="1"/>
    </xf>
    <xf numFmtId="164" fontId="2" fillId="3" borderId="61" xfId="0" applyNumberFormat="1" applyFont="1" applyFill="1" applyBorder="1" applyAlignment="1">
      <alignment horizontal="center" vertical="center" wrapText="1"/>
    </xf>
    <xf numFmtId="164" fontId="2" fillId="3" borderId="62" xfId="0" applyNumberFormat="1" applyFont="1" applyFill="1" applyBorder="1" applyAlignment="1">
      <alignment horizontal="center" vertical="center" wrapText="1"/>
    </xf>
    <xf numFmtId="0" fontId="25" fillId="22" borderId="41" xfId="0" applyFont="1" applyFill="1" applyBorder="1" applyAlignment="1">
      <alignment horizontal="center" vertical="center" wrapText="1"/>
    </xf>
    <xf numFmtId="0" fontId="24" fillId="22" borderId="42" xfId="0" applyFont="1" applyFill="1" applyBorder="1" applyAlignment="1">
      <alignment horizontal="center" vertical="center" wrapText="1"/>
    </xf>
    <xf numFmtId="0" fontId="2" fillId="16" borderId="40" xfId="0" applyFont="1" applyFill="1" applyBorder="1" applyAlignment="1">
      <alignment horizontal="center" vertical="center" wrapText="1"/>
    </xf>
    <xf numFmtId="0" fontId="2" fillId="16" borderId="27" xfId="0" applyFont="1" applyFill="1" applyBorder="1" applyAlignment="1">
      <alignment horizontal="center" vertical="center" wrapText="1"/>
    </xf>
    <xf numFmtId="0" fontId="2" fillId="16" borderId="28" xfId="0" applyFont="1" applyFill="1" applyBorder="1" applyAlignment="1">
      <alignment horizontal="center" vertical="center" wrapText="1"/>
    </xf>
    <xf numFmtId="44" fontId="26" fillId="0" borderId="0" xfId="0" applyNumberFormat="1" applyFont="1" applyAlignment="1">
      <alignment vertical="center"/>
    </xf>
    <xf numFmtId="168" fontId="0" fillId="0" borderId="0" xfId="0" applyNumberFormat="1"/>
    <xf numFmtId="164" fontId="6" fillId="0" borderId="42" xfId="0" applyNumberFormat="1" applyFont="1" applyBorder="1" applyAlignment="1">
      <alignment horizontal="center" vertical="center"/>
    </xf>
    <xf numFmtId="0" fontId="0" fillId="0" borderId="1" xfId="0" applyBorder="1" applyAlignment="1">
      <alignment horizontal="center" vertical="center" wrapText="1"/>
    </xf>
    <xf numFmtId="0" fontId="1" fillId="24" borderId="1" xfId="0" applyFont="1" applyFill="1" applyBorder="1" applyAlignment="1">
      <alignment horizontal="center" vertical="center" wrapText="1"/>
    </xf>
    <xf numFmtId="14"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0" fontId="0" fillId="0" borderId="19" xfId="0" applyBorder="1"/>
    <xf numFmtId="164" fontId="0" fillId="0" borderId="19" xfId="0" applyNumberFormat="1" applyBorder="1" applyAlignment="1">
      <alignment horizontal="center"/>
    </xf>
    <xf numFmtId="0" fontId="2" fillId="3" borderId="45" xfId="0" applyFont="1" applyFill="1" applyBorder="1" applyAlignment="1">
      <alignment horizontal="center" vertical="center" wrapText="1"/>
    </xf>
    <xf numFmtId="3" fontId="6" fillId="0" borderId="19" xfId="0" applyNumberFormat="1" applyFont="1" applyBorder="1" applyAlignment="1">
      <alignment horizontal="center" vertical="center"/>
    </xf>
    <xf numFmtId="0" fontId="6" fillId="0" borderId="48" xfId="0" applyFont="1" applyBorder="1" applyAlignment="1">
      <alignment horizontal="left" vertical="center"/>
    </xf>
    <xf numFmtId="3" fontId="0" fillId="23" borderId="1" xfId="0" applyNumberFormat="1" applyFill="1" applyBorder="1" applyAlignment="1">
      <alignment horizontal="center" vertical="center" wrapText="1"/>
    </xf>
    <xf numFmtId="0" fontId="29" fillId="0" borderId="0" xfId="0" applyFont="1" applyAlignment="1">
      <alignment vertical="center"/>
    </xf>
    <xf numFmtId="166" fontId="31" fillId="0" borderId="70" xfId="0" applyNumberFormat="1" applyFont="1" applyBorder="1" applyAlignment="1">
      <alignment horizontal="center" vertical="center"/>
    </xf>
    <xf numFmtId="10" fontId="26" fillId="0" borderId="23" xfId="1" applyNumberFormat="1" applyFont="1" applyBorder="1" applyAlignment="1">
      <alignment horizontal="center" vertical="center" wrapText="1"/>
    </xf>
    <xf numFmtId="10" fontId="26" fillId="0" borderId="28" xfId="1" applyNumberFormat="1" applyFont="1" applyBorder="1" applyAlignment="1">
      <alignment horizontal="center" vertical="center" wrapText="1"/>
    </xf>
    <xf numFmtId="16" fontId="26" fillId="0" borderId="0" xfId="0" applyNumberFormat="1" applyFont="1" applyAlignment="1">
      <alignment vertical="center"/>
    </xf>
    <xf numFmtId="0" fontId="7" fillId="0" borderId="1" xfId="0" applyFont="1" applyBorder="1" applyAlignment="1">
      <alignment horizontal="center" vertical="center" wrapText="1"/>
    </xf>
    <xf numFmtId="4" fontId="6" fillId="0" borderId="19" xfId="0" applyNumberFormat="1" applyFont="1" applyBorder="1" applyAlignment="1">
      <alignment horizontal="center" vertical="center"/>
    </xf>
    <xf numFmtId="4" fontId="6" fillId="16" borderId="23" xfId="0" applyNumberFormat="1" applyFont="1" applyFill="1" applyBorder="1" applyAlignment="1">
      <alignment horizontal="left" vertical="center" wrapText="1"/>
    </xf>
    <xf numFmtId="0" fontId="3" fillId="0" borderId="7" xfId="0" applyFont="1" applyBorder="1" applyAlignment="1">
      <alignment horizontal="center" vertical="center"/>
    </xf>
    <xf numFmtId="0" fontId="6" fillId="0" borderId="41" xfId="0" applyFont="1" applyBorder="1" applyAlignment="1">
      <alignment horizontal="left" vertical="center"/>
    </xf>
    <xf numFmtId="164" fontId="3" fillId="0" borderId="43" xfId="0" applyNumberFormat="1" applyFont="1" applyBorder="1" applyAlignment="1">
      <alignment horizontal="center" vertical="center"/>
    </xf>
    <xf numFmtId="167" fontId="3" fillId="0" borderId="43" xfId="0" applyNumberFormat="1" applyFont="1" applyBorder="1" applyAlignment="1">
      <alignment horizontal="center" vertical="center"/>
    </xf>
    <xf numFmtId="0" fontId="3" fillId="0" borderId="43" xfId="0" applyFont="1" applyBorder="1" applyAlignment="1">
      <alignment horizontal="center" vertical="center"/>
    </xf>
    <xf numFmtId="3" fontId="3" fillId="0" borderId="43" xfId="0" applyNumberFormat="1" applyFont="1" applyBorder="1" applyAlignment="1">
      <alignment horizontal="center" vertical="center"/>
    </xf>
    <xf numFmtId="4" fontId="3" fillId="0" borderId="43" xfId="0" applyNumberFormat="1" applyFont="1" applyBorder="1" applyAlignment="1">
      <alignment horizontal="center" vertical="center"/>
    </xf>
    <xf numFmtId="0" fontId="6" fillId="16" borderId="44" xfId="0" applyFont="1" applyFill="1" applyBorder="1" applyAlignment="1">
      <alignment horizontal="center" vertical="center" wrapText="1"/>
    </xf>
    <xf numFmtId="164" fontId="5" fillId="0" borderId="19" xfId="0" applyNumberFormat="1" applyFont="1" applyBorder="1" applyAlignment="1">
      <alignment horizontal="center" vertical="center"/>
    </xf>
    <xf numFmtId="0" fontId="31" fillId="3" borderId="1" xfId="0" applyFont="1" applyFill="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7" fillId="0" borderId="0" xfId="0" applyFont="1" applyAlignment="1">
      <alignment horizontal="center" vertical="center" wrapText="1"/>
    </xf>
    <xf numFmtId="14" fontId="7" fillId="0" borderId="1" xfId="0" applyNumberFormat="1" applyFont="1" applyBorder="1" applyAlignment="1">
      <alignment horizontal="center" vertical="center" wrapText="1"/>
    </xf>
    <xf numFmtId="3" fontId="7" fillId="0" borderId="1" xfId="0" applyNumberFormat="1" applyFont="1" applyBorder="1" applyAlignment="1">
      <alignment horizontal="center" vertical="center" wrapText="1"/>
    </xf>
    <xf numFmtId="0" fontId="7" fillId="0" borderId="1" xfId="0" quotePrefix="1" applyFont="1" applyBorder="1" applyAlignment="1">
      <alignment horizontal="center" vertical="center" wrapText="1"/>
    </xf>
    <xf numFmtId="14" fontId="9" fillId="0" borderId="1" xfId="0" applyNumberFormat="1" applyFont="1" applyBorder="1" applyAlignment="1">
      <alignment horizontal="center" vertical="center" wrapText="1"/>
    </xf>
    <xf numFmtId="0" fontId="1" fillId="0" borderId="0" xfId="0" applyFont="1" applyAlignment="1">
      <alignment horizontal="center"/>
    </xf>
    <xf numFmtId="0" fontId="0" fillId="16" borderId="1" xfId="0" applyFill="1" applyBorder="1" applyAlignment="1">
      <alignment horizontal="left"/>
    </xf>
    <xf numFmtId="0" fontId="0" fillId="26" borderId="1" xfId="0" applyFill="1" applyBorder="1" applyAlignment="1">
      <alignment horizontal="left"/>
    </xf>
    <xf numFmtId="8" fontId="0" fillId="26" borderId="1" xfId="0" applyNumberFormat="1" applyFill="1" applyBorder="1" applyAlignment="1">
      <alignment horizontal="left"/>
    </xf>
    <xf numFmtId="0" fontId="0" fillId="26" borderId="1" xfId="0" applyFill="1" applyBorder="1"/>
    <xf numFmtId="0" fontId="0" fillId="27" borderId="1" xfId="0" applyFill="1" applyBorder="1" applyAlignment="1">
      <alignment horizontal="left"/>
    </xf>
    <xf numFmtId="8" fontId="0" fillId="27" borderId="1" xfId="0" applyNumberFormat="1" applyFill="1" applyBorder="1" applyAlignment="1">
      <alignment horizontal="left"/>
    </xf>
    <xf numFmtId="0" fontId="0" fillId="27" borderId="1" xfId="0" applyFill="1" applyBorder="1"/>
    <xf numFmtId="0" fontId="0" fillId="28" borderId="1" xfId="0" applyFill="1" applyBorder="1" applyAlignment="1">
      <alignment horizontal="left"/>
    </xf>
    <xf numFmtId="8" fontId="0" fillId="28" borderId="1" xfId="0" applyNumberFormat="1" applyFill="1" applyBorder="1" applyAlignment="1">
      <alignment horizontal="left"/>
    </xf>
    <xf numFmtId="0" fontId="0" fillId="28" borderId="1" xfId="0" applyFill="1" applyBorder="1"/>
    <xf numFmtId="8" fontId="7" fillId="28" borderId="1" xfId="0" applyNumberFormat="1" applyFont="1" applyFill="1" applyBorder="1" applyAlignment="1">
      <alignment horizontal="left"/>
    </xf>
    <xf numFmtId="8" fontId="7" fillId="26" borderId="1" xfId="0" applyNumberFormat="1" applyFont="1" applyFill="1" applyBorder="1" applyAlignment="1">
      <alignment horizontal="left"/>
    </xf>
    <xf numFmtId="0" fontId="0" fillId="0" borderId="3" xfId="0" applyBorder="1"/>
    <xf numFmtId="164" fontId="6" fillId="0" borderId="43" xfId="0" applyNumberFormat="1" applyFont="1" applyBorder="1" applyAlignment="1">
      <alignment horizontal="center" vertical="center"/>
    </xf>
    <xf numFmtId="49" fontId="6" fillId="0" borderId="27" xfId="0" applyNumberFormat="1" applyFont="1" applyBorder="1" applyAlignment="1">
      <alignment horizontal="center" vertical="center"/>
    </xf>
    <xf numFmtId="0" fontId="6" fillId="0" borderId="28" xfId="0" applyFont="1" applyBorder="1" applyAlignment="1">
      <alignment horizontal="center" vertical="center"/>
    </xf>
    <xf numFmtId="0" fontId="26" fillId="0" borderId="19" xfId="0" applyFont="1" applyBorder="1" applyAlignment="1">
      <alignment horizontal="center" vertical="center"/>
    </xf>
    <xf numFmtId="0" fontId="26" fillId="0" borderId="45" xfId="0" applyFont="1" applyBorder="1" applyAlignment="1">
      <alignment horizontal="center" vertical="center"/>
    </xf>
    <xf numFmtId="0" fontId="26" fillId="0" borderId="0" xfId="0" applyFont="1"/>
    <xf numFmtId="0" fontId="41" fillId="0" borderId="63" xfId="0" applyFont="1" applyBorder="1"/>
    <xf numFmtId="0" fontId="41" fillId="0" borderId="20" xfId="0" applyFont="1" applyBorder="1"/>
    <xf numFmtId="0" fontId="41" fillId="0" borderId="68" xfId="0" applyFont="1" applyBorder="1"/>
    <xf numFmtId="0" fontId="41" fillId="0" borderId="76" xfId="0" applyFont="1" applyBorder="1"/>
    <xf numFmtId="0" fontId="41" fillId="0" borderId="47" xfId="0" applyFont="1" applyBorder="1" applyAlignment="1">
      <alignment horizontal="center"/>
    </xf>
    <xf numFmtId="0" fontId="41" fillId="0" borderId="56" xfId="0" applyFont="1" applyBorder="1" applyAlignment="1">
      <alignment horizontal="center"/>
    </xf>
    <xf numFmtId="14" fontId="1" fillId="0" borderId="1" xfId="0" applyNumberFormat="1" applyFont="1" applyBorder="1" applyAlignment="1">
      <alignment horizontal="center" vertical="center" wrapText="1"/>
    </xf>
    <xf numFmtId="0" fontId="34" fillId="0" borderId="1" xfId="0" applyFont="1" applyBorder="1" applyAlignment="1">
      <alignment horizontal="center" vertical="center" wrapText="1"/>
    </xf>
    <xf numFmtId="3" fontId="1" fillId="0" borderId="1" xfId="0" applyNumberFormat="1" applyFont="1" applyBorder="1" applyAlignment="1">
      <alignment horizontal="center" vertical="center" wrapText="1"/>
    </xf>
    <xf numFmtId="49" fontId="0" fillId="0" borderId="0" xfId="0" applyNumberFormat="1"/>
    <xf numFmtId="0" fontId="0" fillId="16" borderId="0" xfId="0" applyFill="1" applyAlignment="1">
      <alignment horizontal="center"/>
    </xf>
    <xf numFmtId="0" fontId="0" fillId="0" borderId="81" xfId="0" applyBorder="1" applyAlignment="1">
      <alignment horizontal="center" vertical="center"/>
    </xf>
    <xf numFmtId="0" fontId="0" fillId="0" borderId="84" xfId="0" applyBorder="1" applyAlignment="1">
      <alignment horizontal="center" vertical="center"/>
    </xf>
    <xf numFmtId="0" fontId="9" fillId="16" borderId="77" xfId="0" applyFont="1" applyFill="1" applyBorder="1" applyAlignment="1">
      <alignment horizontal="left"/>
    </xf>
    <xf numFmtId="0" fontId="9" fillId="0" borderId="78" xfId="0" applyFont="1" applyBorder="1" applyAlignment="1">
      <alignment horizontal="left"/>
    </xf>
    <xf numFmtId="0" fontId="37" fillId="16" borderId="78" xfId="0" applyFont="1" applyFill="1" applyBorder="1" applyAlignment="1">
      <alignment horizontal="left"/>
    </xf>
    <xf numFmtId="0" fontId="9" fillId="0" borderId="79" xfId="0" applyFont="1" applyBorder="1" applyAlignment="1">
      <alignment horizontal="left"/>
    </xf>
    <xf numFmtId="0" fontId="0" fillId="0" borderId="81" xfId="0" applyBorder="1" applyAlignment="1">
      <alignment horizontal="center"/>
    </xf>
    <xf numFmtId="0" fontId="35" fillId="0" borderId="84" xfId="0" applyFont="1" applyBorder="1" applyAlignment="1">
      <alignment horizontal="left"/>
    </xf>
    <xf numFmtId="0" fontId="9" fillId="16" borderId="78" xfId="0" applyFont="1" applyFill="1" applyBorder="1" applyAlignment="1">
      <alignment horizontal="left"/>
    </xf>
    <xf numFmtId="8" fontId="9" fillId="0" borderId="78" xfId="0" applyNumberFormat="1" applyFont="1" applyBorder="1" applyAlignment="1">
      <alignment horizontal="left"/>
    </xf>
    <xf numFmtId="0" fontId="36" fillId="0" borderId="78" xfId="0" applyFont="1" applyBorder="1" applyAlignment="1">
      <alignment horizontal="left"/>
    </xf>
    <xf numFmtId="0" fontId="35" fillId="0" borderId="78" xfId="0" applyFont="1" applyBorder="1" applyAlignment="1">
      <alignment horizontal="left"/>
    </xf>
    <xf numFmtId="0" fontId="0" fillId="0" borderId="82" xfId="0" applyBorder="1"/>
    <xf numFmtId="0" fontId="1" fillId="0" borderId="86" xfId="0" applyFont="1" applyBorder="1" applyAlignment="1">
      <alignment horizontal="center" vertical="center"/>
    </xf>
    <xf numFmtId="0" fontId="1" fillId="0" borderId="87" xfId="0" applyFont="1" applyBorder="1" applyAlignment="1">
      <alignment horizontal="center" vertical="center"/>
    </xf>
    <xf numFmtId="164" fontId="1" fillId="0" borderId="87" xfId="0" applyNumberFormat="1" applyFont="1" applyBorder="1" applyAlignment="1">
      <alignment horizontal="center" vertical="center"/>
    </xf>
    <xf numFmtId="164" fontId="1" fillId="0" borderId="87" xfId="0" applyNumberFormat="1" applyFont="1" applyBorder="1" applyAlignment="1">
      <alignment horizontal="center" vertical="center" wrapText="1"/>
    </xf>
    <xf numFmtId="0" fontId="1" fillId="0" borderId="87" xfId="0" applyFont="1" applyBorder="1" applyAlignment="1">
      <alignment horizontal="center" vertical="center" wrapText="1"/>
    </xf>
    <xf numFmtId="0" fontId="1" fillId="0" borderId="88" xfId="0" applyFont="1" applyBorder="1" applyAlignment="1">
      <alignment horizontal="center" vertical="center"/>
    </xf>
    <xf numFmtId="0" fontId="0" fillId="0" borderId="84" xfId="0" applyBorder="1" applyAlignment="1">
      <alignment horizontal="center"/>
    </xf>
    <xf numFmtId="164" fontId="0" fillId="0" borderId="84" xfId="0" applyNumberFormat="1" applyBorder="1" applyAlignment="1">
      <alignment horizontal="center"/>
    </xf>
    <xf numFmtId="0" fontId="0" fillId="0" borderId="85" xfId="0" applyBorder="1"/>
    <xf numFmtId="164" fontId="0" fillId="0" borderId="81" xfId="0" applyNumberFormat="1" applyBorder="1" applyAlignment="1">
      <alignment horizontal="center"/>
    </xf>
    <xf numFmtId="0" fontId="0" fillId="0" borderId="84" xfId="0" applyBorder="1" applyAlignment="1">
      <alignment horizontal="center" vertical="center" wrapText="1"/>
    </xf>
    <xf numFmtId="0" fontId="0" fillId="0" borderId="81" xfId="0" applyBorder="1" applyAlignment="1">
      <alignment horizontal="center" vertical="center" wrapText="1"/>
    </xf>
    <xf numFmtId="0" fontId="0" fillId="0" borderId="90" xfId="0" applyBorder="1" applyAlignment="1">
      <alignment horizontal="center"/>
    </xf>
    <xf numFmtId="164" fontId="0" fillId="0" borderId="90" xfId="0" applyNumberFormat="1" applyBorder="1" applyAlignment="1">
      <alignment horizontal="center"/>
    </xf>
    <xf numFmtId="0" fontId="0" fillId="0" borderId="90" xfId="0" applyBorder="1" applyAlignment="1">
      <alignment horizontal="center" vertical="center" wrapText="1"/>
    </xf>
    <xf numFmtId="0" fontId="0" fillId="0" borderId="90" xfId="0" applyBorder="1" applyAlignment="1">
      <alignment horizontal="center" vertical="center"/>
    </xf>
    <xf numFmtId="0" fontId="0" fillId="0" borderId="91" xfId="0" applyBorder="1"/>
    <xf numFmtId="0" fontId="21" fillId="0" borderId="1" xfId="0" applyFont="1" applyBorder="1"/>
    <xf numFmtId="0" fontId="42" fillId="0" borderId="1" xfId="0" applyFont="1" applyBorder="1"/>
    <xf numFmtId="0" fontId="21" fillId="0" borderId="1" xfId="0" applyFont="1" applyBorder="1" applyAlignment="1">
      <alignment horizontal="center"/>
    </xf>
    <xf numFmtId="0" fontId="2" fillId="16" borderId="53" xfId="0" applyFont="1" applyFill="1" applyBorder="1" applyAlignment="1">
      <alignment horizontal="center" vertical="center" wrapText="1"/>
    </xf>
    <xf numFmtId="0" fontId="2" fillId="16" borderId="38" xfId="0" applyFont="1" applyFill="1" applyBorder="1" applyAlignment="1">
      <alignment horizontal="center" vertical="center" wrapText="1"/>
    </xf>
    <xf numFmtId="0" fontId="2" fillId="16" borderId="54" xfId="0" applyFont="1" applyFill="1" applyBorder="1" applyAlignment="1">
      <alignment horizontal="center" vertical="center" wrapText="1"/>
    </xf>
    <xf numFmtId="164" fontId="2" fillId="3" borderId="92" xfId="0" applyNumberFormat="1" applyFont="1" applyFill="1" applyBorder="1" applyAlignment="1">
      <alignment horizontal="center" vertical="center" wrapText="1"/>
    </xf>
    <xf numFmtId="167" fontId="2" fillId="3" borderId="38" xfId="0" applyNumberFormat="1" applyFont="1" applyFill="1" applyBorder="1" applyAlignment="1">
      <alignment horizontal="center" vertical="center" wrapText="1"/>
    </xf>
    <xf numFmtId="164" fontId="2" fillId="3" borderId="38" xfId="0" applyNumberFormat="1" applyFont="1" applyFill="1" applyBorder="1" applyAlignment="1">
      <alignment horizontal="center" vertical="center" wrapText="1"/>
    </xf>
    <xf numFmtId="0" fontId="2" fillId="3" borderId="38" xfId="0" applyFont="1" applyFill="1" applyBorder="1" applyAlignment="1">
      <alignment horizontal="center" vertical="center" wrapText="1"/>
    </xf>
    <xf numFmtId="164" fontId="2" fillId="3" borderId="93" xfId="0" applyNumberFormat="1" applyFont="1" applyFill="1" applyBorder="1" applyAlignment="1">
      <alignment horizontal="center" vertical="center" wrapText="1"/>
    </xf>
    <xf numFmtId="0" fontId="6" fillId="16" borderId="43" xfId="0" applyFont="1" applyFill="1" applyBorder="1" applyAlignment="1">
      <alignment horizontal="center" vertical="center"/>
    </xf>
    <xf numFmtId="164" fontId="6" fillId="16" borderId="69" xfId="0" applyNumberFormat="1" applyFont="1" applyFill="1" applyBorder="1" applyAlignment="1">
      <alignment horizontal="center" vertical="center"/>
    </xf>
    <xf numFmtId="0" fontId="7" fillId="0" borderId="42" xfId="0" applyFont="1" applyBorder="1" applyAlignment="1">
      <alignment horizontal="left" vertical="center"/>
    </xf>
    <xf numFmtId="0" fontId="7" fillId="0" borderId="19" xfId="0" applyFont="1" applyBorder="1" applyAlignment="1">
      <alignment horizontal="left" vertical="center"/>
    </xf>
    <xf numFmtId="0" fontId="7" fillId="0" borderId="27" xfId="0" applyFont="1" applyBorder="1" applyAlignment="1">
      <alignment horizontal="left" vertical="center"/>
    </xf>
    <xf numFmtId="0" fontId="7" fillId="16" borderId="0" xfId="0" applyFont="1" applyFill="1" applyAlignment="1">
      <alignment vertical="center"/>
    </xf>
    <xf numFmtId="0" fontId="7" fillId="16" borderId="0" xfId="0" applyFont="1" applyFill="1" applyAlignment="1">
      <alignment horizontal="center" vertical="center"/>
    </xf>
    <xf numFmtId="3" fontId="0" fillId="0" borderId="83" xfId="0" applyNumberFormat="1" applyBorder="1" applyAlignment="1">
      <alignment horizontal="left" vertical="center"/>
    </xf>
    <xf numFmtId="3" fontId="0" fillId="0" borderId="80" xfId="0" applyNumberFormat="1" applyBorder="1" applyAlignment="1">
      <alignment horizontal="left" vertical="center"/>
    </xf>
    <xf numFmtId="3" fontId="0" fillId="0" borderId="89" xfId="0" applyNumberFormat="1" applyBorder="1" applyAlignment="1">
      <alignment horizontal="left" vertical="center"/>
    </xf>
    <xf numFmtId="0" fontId="0" fillId="0" borderId="19" xfId="0" applyBorder="1" applyAlignment="1">
      <alignment horizontal="center"/>
    </xf>
    <xf numFmtId="0" fontId="0" fillId="0" borderId="19" xfId="0" applyBorder="1" applyAlignment="1">
      <alignment horizontal="center" vertical="center" wrapText="1"/>
    </xf>
    <xf numFmtId="3" fontId="0" fillId="0" borderId="45" xfId="0" applyNumberFormat="1" applyBorder="1" applyAlignment="1">
      <alignment horizontal="left" vertical="center"/>
    </xf>
    <xf numFmtId="0" fontId="0" fillId="0" borderId="45" xfId="0" applyBorder="1" applyAlignment="1">
      <alignment horizontal="center" vertical="center"/>
    </xf>
    <xf numFmtId="0" fontId="0" fillId="0" borderId="45" xfId="0" applyBorder="1" applyAlignment="1">
      <alignment horizontal="center"/>
    </xf>
    <xf numFmtId="164" fontId="0" fillId="0" borderId="45" xfId="0" applyNumberFormat="1" applyBorder="1" applyAlignment="1">
      <alignment horizontal="center"/>
    </xf>
    <xf numFmtId="0" fontId="0" fillId="0" borderId="45" xfId="0" applyBorder="1" applyAlignment="1">
      <alignment horizontal="center" vertical="center" wrapText="1"/>
    </xf>
    <xf numFmtId="0" fontId="0" fillId="0" borderId="45" xfId="0" applyBorder="1"/>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164" fontId="1" fillId="0" borderId="4" xfId="0" applyNumberFormat="1" applyFont="1" applyBorder="1" applyAlignment="1">
      <alignment horizontal="center" vertical="center" wrapText="1"/>
    </xf>
    <xf numFmtId="0" fontId="1" fillId="0" borderId="4" xfId="0" applyFont="1" applyBorder="1" applyAlignment="1">
      <alignment horizontal="center" vertical="center" wrapText="1"/>
    </xf>
    <xf numFmtId="3" fontId="0" fillId="0" borderId="37" xfId="0" applyNumberFormat="1" applyBorder="1" applyAlignment="1">
      <alignment horizontal="left" vertical="center"/>
    </xf>
    <xf numFmtId="0" fontId="0" fillId="0" borderId="37" xfId="0" applyBorder="1" applyAlignment="1">
      <alignment horizontal="center"/>
    </xf>
    <xf numFmtId="164" fontId="0" fillId="0" borderId="37" xfId="0" applyNumberFormat="1" applyBorder="1" applyAlignment="1">
      <alignment horizontal="center"/>
    </xf>
    <xf numFmtId="0" fontId="0" fillId="0" borderId="37" xfId="0" applyBorder="1" applyAlignment="1">
      <alignment horizontal="center" vertical="center" wrapText="1"/>
    </xf>
    <xf numFmtId="0" fontId="0" fillId="0" borderId="37" xfId="0" applyBorder="1"/>
    <xf numFmtId="0" fontId="0" fillId="0" borderId="0" xfId="0" applyAlignment="1">
      <alignment horizontal="left" vertical="center"/>
    </xf>
    <xf numFmtId="0" fontId="26" fillId="0" borderId="19" xfId="0" applyFont="1" applyBorder="1" applyAlignment="1">
      <alignment horizontal="left" vertical="center"/>
    </xf>
    <xf numFmtId="0" fontId="26" fillId="0" borderId="45" xfId="0" applyFont="1" applyBorder="1" applyAlignment="1">
      <alignment horizontal="left" vertical="center"/>
    </xf>
    <xf numFmtId="0" fontId="9" fillId="0" borderId="79" xfId="0" applyFont="1" applyBorder="1"/>
    <xf numFmtId="0" fontId="42" fillId="0" borderId="1" xfId="0" applyFont="1" applyBorder="1" applyAlignment="1">
      <alignment horizontal="center"/>
    </xf>
    <xf numFmtId="49" fontId="7" fillId="16" borderId="0" xfId="0" applyNumberFormat="1" applyFont="1" applyFill="1"/>
    <xf numFmtId="49" fontId="1" fillId="0" borderId="87" xfId="0" applyNumberFormat="1" applyFont="1" applyBorder="1" applyAlignment="1">
      <alignment horizontal="center" vertical="center"/>
    </xf>
    <xf numFmtId="49" fontId="0" fillId="0" borderId="84" xfId="0" applyNumberFormat="1" applyBorder="1" applyAlignment="1">
      <alignment horizontal="center"/>
    </xf>
    <xf numFmtId="49" fontId="0" fillId="0" borderId="81" xfId="0" applyNumberFormat="1" applyBorder="1" applyAlignment="1">
      <alignment horizontal="center"/>
    </xf>
    <xf numFmtId="16" fontId="1" fillId="0" borderId="1" xfId="0" applyNumberFormat="1" applyFont="1" applyBorder="1" applyAlignment="1">
      <alignment horizontal="center" vertical="center" wrapText="1"/>
    </xf>
    <xf numFmtId="3" fontId="0" fillId="0" borderId="37" xfId="0" applyNumberFormat="1" applyBorder="1" applyAlignment="1">
      <alignment horizontal="center"/>
    </xf>
    <xf numFmtId="0" fontId="1" fillId="0" borderId="95" xfId="0" applyFont="1" applyBorder="1" applyAlignment="1">
      <alignment horizontal="center" vertical="center"/>
    </xf>
    <xf numFmtId="164" fontId="0" fillId="0" borderId="84" xfId="0" applyNumberFormat="1" applyBorder="1" applyAlignment="1">
      <alignment horizontal="center" vertical="center" wrapText="1"/>
    </xf>
    <xf numFmtId="0" fontId="7" fillId="0" borderId="16" xfId="0" applyFont="1" applyBorder="1" applyAlignment="1">
      <alignment horizontal="center" vertical="center"/>
    </xf>
    <xf numFmtId="164" fontId="0" fillId="0" borderId="16" xfId="0" applyNumberFormat="1" applyBorder="1" applyAlignment="1">
      <alignment horizontal="center" vertical="center"/>
    </xf>
    <xf numFmtId="0" fontId="0" fillId="0" borderId="16" xfId="0" applyBorder="1" applyAlignment="1">
      <alignment horizontal="center" vertical="center"/>
    </xf>
    <xf numFmtId="164" fontId="3" fillId="0" borderId="16" xfId="0" applyNumberFormat="1" applyFont="1" applyBorder="1" applyAlignment="1">
      <alignment horizontal="center" vertical="center"/>
    </xf>
    <xf numFmtId="49" fontId="3" fillId="0" borderId="16" xfId="0" applyNumberFormat="1" applyFont="1" applyBorder="1" applyAlignment="1">
      <alignment horizontal="center" vertical="center"/>
    </xf>
    <xf numFmtId="0" fontId="3" fillId="0" borderId="96" xfId="0" applyFont="1" applyBorder="1" applyAlignment="1">
      <alignment horizontal="center" vertical="center"/>
    </xf>
    <xf numFmtId="0" fontId="3" fillId="0" borderId="16" xfId="0" applyFont="1" applyBorder="1" applyAlignment="1">
      <alignment vertical="center"/>
    </xf>
    <xf numFmtId="0" fontId="3" fillId="0" borderId="96" xfId="0" applyFont="1" applyBorder="1" applyAlignment="1">
      <alignment vertical="center"/>
    </xf>
    <xf numFmtId="0" fontId="26" fillId="0" borderId="16" xfId="0" applyFont="1" applyBorder="1" applyAlignment="1">
      <alignment horizontal="left" vertical="center"/>
    </xf>
    <xf numFmtId="0" fontId="26" fillId="0" borderId="16" xfId="0" applyFont="1" applyBorder="1" applyAlignment="1">
      <alignment horizontal="center" vertical="center"/>
    </xf>
    <xf numFmtId="0" fontId="0" fillId="0" borderId="16" xfId="0" applyBorder="1" applyAlignment="1">
      <alignment horizontal="center"/>
    </xf>
    <xf numFmtId="164" fontId="0" fillId="0" borderId="16" xfId="0" applyNumberFormat="1" applyBorder="1" applyAlignment="1">
      <alignment horizontal="center"/>
    </xf>
    <xf numFmtId="0" fontId="0" fillId="0" borderId="16" xfId="0" applyBorder="1" applyAlignment="1">
      <alignment horizontal="center" vertical="center" wrapText="1"/>
    </xf>
    <xf numFmtId="0" fontId="0" fillId="0" borderId="16" xfId="0" applyBorder="1"/>
    <xf numFmtId="164" fontId="0" fillId="0" borderId="81" xfId="0" applyNumberFormat="1" applyBorder="1" applyAlignment="1">
      <alignment horizontal="center" vertical="center" wrapText="1"/>
    </xf>
    <xf numFmtId="0" fontId="0" fillId="0" borderId="97" xfId="0" applyBorder="1"/>
    <xf numFmtId="3" fontId="7" fillId="0" borderId="27" xfId="0" applyNumberFormat="1" applyFont="1" applyBorder="1" applyAlignment="1">
      <alignment horizontal="center" vertical="center"/>
    </xf>
    <xf numFmtId="0" fontId="21" fillId="0" borderId="25" xfId="0" applyFont="1" applyBorder="1"/>
    <xf numFmtId="0" fontId="7" fillId="0" borderId="43" xfId="0" applyFont="1" applyBorder="1" applyAlignment="1">
      <alignment horizontal="left" vertical="center"/>
    </xf>
    <xf numFmtId="0" fontId="7" fillId="0" borderId="43" xfId="0" applyFont="1" applyBorder="1" applyAlignment="1">
      <alignment horizontal="center" vertical="center"/>
    </xf>
    <xf numFmtId="0" fontId="1" fillId="0" borderId="1" xfId="0" applyFont="1" applyBorder="1" applyAlignment="1">
      <alignment horizontal="center" vertical="center"/>
    </xf>
    <xf numFmtId="0" fontId="7" fillId="0" borderId="38" xfId="0" applyFont="1" applyBorder="1" applyAlignment="1">
      <alignment horizontal="center" vertical="center"/>
    </xf>
    <xf numFmtId="3" fontId="0" fillId="0" borderId="98" xfId="0" applyNumberFormat="1" applyBorder="1" applyAlignment="1">
      <alignment horizontal="left" vertical="center"/>
    </xf>
    <xf numFmtId="3" fontId="0" fillId="0" borderId="99" xfId="0" applyNumberFormat="1" applyBorder="1" applyAlignment="1">
      <alignment horizontal="left" vertical="center"/>
    </xf>
    <xf numFmtId="3" fontId="0" fillId="0" borderId="100" xfId="0" applyNumberFormat="1" applyBorder="1" applyAlignment="1">
      <alignment horizontal="left" vertical="center"/>
    </xf>
    <xf numFmtId="0" fontId="7" fillId="0" borderId="101" xfId="0" applyFont="1" applyBorder="1" applyAlignment="1">
      <alignment horizontal="center" vertical="center"/>
    </xf>
    <xf numFmtId="0" fontId="7" fillId="0" borderId="61" xfId="0" applyFont="1" applyBorder="1" applyAlignment="1">
      <alignment horizontal="center" vertical="center"/>
    </xf>
    <xf numFmtId="0" fontId="31" fillId="3" borderId="4" xfId="0" applyFont="1" applyFill="1" applyBorder="1" applyAlignment="1">
      <alignment horizontal="center"/>
    </xf>
    <xf numFmtId="0" fontId="9" fillId="0" borderId="84" xfId="0" applyFont="1" applyBorder="1" applyAlignment="1">
      <alignment horizontal="left"/>
    </xf>
    <xf numFmtId="0" fontId="9" fillId="0" borderId="85" xfId="0" applyFont="1" applyBorder="1"/>
    <xf numFmtId="0" fontId="9" fillId="16" borderId="83" xfId="0" applyFont="1" applyFill="1" applyBorder="1" applyAlignment="1">
      <alignment horizontal="left"/>
    </xf>
    <xf numFmtId="0" fontId="37" fillId="16" borderId="84" xfId="0" applyFont="1" applyFill="1" applyBorder="1" applyAlignment="1">
      <alignment horizontal="left"/>
    </xf>
    <xf numFmtId="0" fontId="9" fillId="16" borderId="84" xfId="0" applyFont="1" applyFill="1" applyBorder="1" applyAlignment="1">
      <alignment horizontal="left"/>
    </xf>
    <xf numFmtId="8" fontId="9" fillId="0" borderId="84" xfId="0" applyNumberFormat="1" applyFont="1" applyBorder="1" applyAlignment="1">
      <alignment horizontal="left"/>
    </xf>
    <xf numFmtId="0" fontId="21" fillId="0" borderId="97" xfId="0" applyFont="1" applyBorder="1" applyAlignment="1">
      <alignment horizontal="center"/>
    </xf>
    <xf numFmtId="3" fontId="0" fillId="0" borderId="81" xfId="0" applyNumberFormat="1" applyBorder="1" applyAlignment="1">
      <alignment horizontal="center"/>
    </xf>
    <xf numFmtId="8" fontId="0" fillId="16" borderId="1" xfId="0" applyNumberFormat="1" applyFill="1" applyBorder="1" applyAlignment="1">
      <alignment horizontal="left"/>
    </xf>
    <xf numFmtId="0" fontId="0" fillId="16" borderId="0" xfId="0" applyFill="1"/>
    <xf numFmtId="0" fontId="0" fillId="16" borderId="1" xfId="0" applyFill="1" applyBorder="1"/>
    <xf numFmtId="44" fontId="27" fillId="0" borderId="27" xfId="1" applyFont="1" applyBorder="1" applyAlignment="1">
      <alignment horizontal="center" vertical="center" wrapText="1"/>
    </xf>
    <xf numFmtId="44" fontId="27" fillId="0" borderId="0" xfId="1" applyFont="1" applyAlignment="1">
      <alignment vertical="center" wrapText="1"/>
    </xf>
    <xf numFmtId="44" fontId="0" fillId="0" borderId="0" xfId="1" applyFont="1"/>
    <xf numFmtId="0" fontId="7" fillId="0" borderId="33" xfId="0" applyFont="1" applyBorder="1" applyAlignment="1">
      <alignment horizontal="center" vertical="center"/>
    </xf>
    <xf numFmtId="164" fontId="0" fillId="0" borderId="33" xfId="0" applyNumberFormat="1" applyBorder="1" applyAlignment="1">
      <alignment horizontal="center" vertical="center"/>
    </xf>
    <xf numFmtId="0" fontId="0" fillId="0" borderId="33" xfId="0" applyBorder="1" applyAlignment="1">
      <alignment horizontal="center" vertical="center"/>
    </xf>
    <xf numFmtId="49" fontId="0" fillId="0" borderId="81" xfId="0" applyNumberFormat="1" applyBorder="1" applyAlignment="1">
      <alignment horizontal="center" vertical="center" wrapText="1"/>
    </xf>
    <xf numFmtId="49" fontId="31" fillId="3" borderId="4" xfId="0" applyNumberFormat="1" applyFont="1" applyFill="1" applyBorder="1" applyAlignment="1">
      <alignment horizontal="center"/>
    </xf>
    <xf numFmtId="0" fontId="7" fillId="0" borderId="38" xfId="0" applyFont="1" applyBorder="1" applyAlignment="1">
      <alignment horizontal="left" vertical="center"/>
    </xf>
    <xf numFmtId="164" fontId="6" fillId="0" borderId="38" xfId="0" applyNumberFormat="1" applyFont="1" applyBorder="1" applyAlignment="1">
      <alignment horizontal="center" vertical="center"/>
    </xf>
    <xf numFmtId="0" fontId="6" fillId="0" borderId="38" xfId="0" applyFont="1" applyBorder="1" applyAlignment="1">
      <alignment horizontal="center" vertical="center"/>
    </xf>
    <xf numFmtId="49" fontId="6" fillId="0" borderId="38" xfId="0" applyNumberFormat="1" applyFont="1" applyBorder="1" applyAlignment="1">
      <alignment horizontal="center" vertical="center"/>
    </xf>
    <xf numFmtId="0" fontId="6" fillId="0" borderId="54" xfId="0" applyFont="1" applyBorder="1" applyAlignment="1">
      <alignment horizontal="center" vertical="center"/>
    </xf>
    <xf numFmtId="0" fontId="6" fillId="16" borderId="16" xfId="0" applyFont="1" applyFill="1" applyBorder="1" applyAlignment="1">
      <alignment horizontal="center" vertical="center"/>
    </xf>
    <xf numFmtId="0" fontId="7" fillId="0" borderId="1" xfId="0" applyFont="1" applyBorder="1" applyAlignment="1">
      <alignment horizontal="center" vertical="center"/>
    </xf>
    <xf numFmtId="0" fontId="7" fillId="0" borderId="102" xfId="0" applyFont="1" applyBorder="1" applyAlignment="1">
      <alignment horizontal="center" vertical="center"/>
    </xf>
    <xf numFmtId="0" fontId="6" fillId="0" borderId="1" xfId="0" applyFont="1" applyBorder="1" applyAlignment="1">
      <alignment horizontal="center" vertical="center"/>
    </xf>
    <xf numFmtId="0" fontId="6" fillId="16" borderId="0" xfId="0" applyFont="1" applyFill="1" applyAlignment="1">
      <alignment horizontal="center" vertical="center"/>
    </xf>
    <xf numFmtId="0" fontId="6" fillId="0" borderId="0" xfId="0" applyFont="1" applyAlignment="1">
      <alignment horizontal="center"/>
    </xf>
    <xf numFmtId="0" fontId="6" fillId="0" borderId="0" xfId="0" applyFont="1" applyAlignment="1">
      <alignment horizont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4" xfId="0" applyFont="1" applyBorder="1" applyAlignment="1">
      <alignment horizontal="center" vertical="center"/>
    </xf>
    <xf numFmtId="49" fontId="0" fillId="0" borderId="0" xfId="0" applyNumberFormat="1" applyAlignment="1">
      <alignment horizontal="center"/>
    </xf>
    <xf numFmtId="0" fontId="31" fillId="3" borderId="1" xfId="0" applyFont="1" applyFill="1" applyBorder="1" applyAlignment="1">
      <alignment horizontal="center" wrapText="1"/>
    </xf>
    <xf numFmtId="8" fontId="0" fillId="26" borderId="1" xfId="0" applyNumberFormat="1" applyFill="1" applyBorder="1" applyAlignment="1">
      <alignment horizontal="center"/>
    </xf>
    <xf numFmtId="8" fontId="0" fillId="27" borderId="1" xfId="0" applyNumberFormat="1" applyFill="1" applyBorder="1" applyAlignment="1">
      <alignment horizontal="center"/>
    </xf>
    <xf numFmtId="8" fontId="0" fillId="28" borderId="1" xfId="0" applyNumberFormat="1" applyFill="1" applyBorder="1" applyAlignment="1">
      <alignment horizontal="center"/>
    </xf>
    <xf numFmtId="0" fontId="0" fillId="28" borderId="1" xfId="0" applyFill="1" applyBorder="1" applyAlignment="1">
      <alignment horizontal="center"/>
    </xf>
    <xf numFmtId="0" fontId="0" fillId="26" borderId="1" xfId="0" applyFill="1" applyBorder="1" applyAlignment="1">
      <alignment horizontal="center"/>
    </xf>
    <xf numFmtId="0" fontId="0" fillId="0" borderId="103" xfId="0" applyBorder="1" applyAlignment="1">
      <alignment horizontal="center"/>
    </xf>
    <xf numFmtId="0" fontId="0" fillId="0" borderId="103" xfId="0" applyBorder="1" applyAlignment="1">
      <alignment horizontal="center" vertical="center" wrapText="1"/>
    </xf>
    <xf numFmtId="164" fontId="0" fillId="0" borderId="103" xfId="0" applyNumberFormat="1" applyBorder="1" applyAlignment="1">
      <alignment horizontal="center"/>
    </xf>
    <xf numFmtId="0" fontId="0" fillId="0" borderId="104" xfId="0" applyBorder="1"/>
    <xf numFmtId="8" fontId="0" fillId="0" borderId="78" xfId="0" applyNumberFormat="1" applyBorder="1" applyAlignment="1">
      <alignment horizontal="left"/>
    </xf>
    <xf numFmtId="0" fontId="37" fillId="0" borderId="78" xfId="0" applyFont="1" applyBorder="1" applyAlignment="1">
      <alignment horizontal="left"/>
    </xf>
    <xf numFmtId="8" fontId="9" fillId="16" borderId="78" xfId="0" applyNumberFormat="1" applyFont="1" applyFill="1" applyBorder="1" applyAlignment="1">
      <alignment horizontal="left"/>
    </xf>
    <xf numFmtId="0" fontId="9" fillId="16" borderId="79" xfId="0" applyFont="1" applyFill="1" applyBorder="1" applyAlignment="1">
      <alignment horizontal="left"/>
    </xf>
    <xf numFmtId="0" fontId="36" fillId="16" borderId="78" xfId="0" applyFont="1" applyFill="1" applyBorder="1" applyAlignment="1">
      <alignment horizontal="left"/>
    </xf>
    <xf numFmtId="8" fontId="0" fillId="26" borderId="1" xfId="0" applyNumberFormat="1" applyFill="1" applyBorder="1" applyAlignment="1">
      <alignment horizontal="left" wrapText="1"/>
    </xf>
    <xf numFmtId="0" fontId="0" fillId="0" borderId="105" xfId="0" applyBorder="1" applyAlignment="1">
      <alignment horizontal="center"/>
    </xf>
    <xf numFmtId="0" fontId="0" fillId="0" borderId="106" xfId="0" applyBorder="1" applyAlignment="1">
      <alignment horizontal="center"/>
    </xf>
    <xf numFmtId="0" fontId="0" fillId="0" borderId="107" xfId="0" applyBorder="1" applyAlignment="1">
      <alignment horizontal="center"/>
    </xf>
    <xf numFmtId="0" fontId="0" fillId="0" borderId="108" xfId="0" applyBorder="1" applyAlignment="1">
      <alignment horizontal="center"/>
    </xf>
    <xf numFmtId="0" fontId="0" fillId="0" borderId="99" xfId="0" applyBorder="1" applyAlignment="1">
      <alignment horizontal="center" vertical="center" wrapText="1"/>
    </xf>
    <xf numFmtId="1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34" fillId="0" borderId="0" xfId="0" applyFont="1" applyAlignment="1">
      <alignment horizontal="center" vertical="center" wrapText="1"/>
    </xf>
    <xf numFmtId="3" fontId="0" fillId="0" borderId="0" xfId="0" applyNumberFormat="1" applyAlignment="1">
      <alignment horizontal="center" vertical="center" wrapText="1"/>
    </xf>
    <xf numFmtId="0" fontId="42" fillId="0" borderId="0" xfId="0" applyFont="1" applyAlignment="1">
      <alignment horizontal="center"/>
    </xf>
    <xf numFmtId="14" fontId="42" fillId="0" borderId="1" xfId="0" applyNumberFormat="1" applyFont="1" applyBorder="1" applyAlignment="1">
      <alignment horizontal="center"/>
    </xf>
    <xf numFmtId="0" fontId="9" fillId="0" borderId="78" xfId="0" applyFont="1" applyBorder="1"/>
    <xf numFmtId="0" fontId="37" fillId="0" borderId="78" xfId="0" applyFont="1" applyBorder="1"/>
    <xf numFmtId="0" fontId="0" fillId="16" borderId="109" xfId="0" applyFill="1" applyBorder="1" applyAlignment="1">
      <alignment horizontal="left"/>
    </xf>
    <xf numFmtId="0" fontId="0" fillId="0" borderId="110" xfId="0" applyBorder="1" applyAlignment="1">
      <alignment horizontal="left"/>
    </xf>
    <xf numFmtId="0" fontId="1" fillId="16" borderId="110" xfId="0" applyFont="1" applyFill="1" applyBorder="1" applyAlignment="1">
      <alignment horizontal="left"/>
    </xf>
    <xf numFmtId="0" fontId="0" fillId="16" borderId="110" xfId="0" applyFill="1" applyBorder="1" applyAlignment="1">
      <alignment horizontal="left"/>
    </xf>
    <xf numFmtId="0" fontId="35" fillId="0" borderId="110" xfId="0" applyFont="1" applyBorder="1" applyAlignment="1">
      <alignment horizontal="left"/>
    </xf>
    <xf numFmtId="0" fontId="0" fillId="0" borderId="111" xfId="0" applyBorder="1"/>
    <xf numFmtId="0" fontId="0" fillId="16" borderId="112" xfId="0" applyFill="1" applyBorder="1" applyAlignment="1">
      <alignment horizontal="left"/>
    </xf>
    <xf numFmtId="0" fontId="0" fillId="0" borderId="113" xfId="0" applyBorder="1" applyAlignment="1">
      <alignment horizontal="left"/>
    </xf>
    <xf numFmtId="0" fontId="34" fillId="16" borderId="113" xfId="0" applyFont="1" applyFill="1" applyBorder="1" applyAlignment="1">
      <alignment horizontal="left"/>
    </xf>
    <xf numFmtId="0" fontId="7" fillId="16" borderId="113" xfId="0" applyFont="1" applyFill="1" applyBorder="1" applyAlignment="1">
      <alignment horizontal="left"/>
    </xf>
    <xf numFmtId="0" fontId="35" fillId="0" borderId="113" xfId="0" applyFont="1" applyBorder="1" applyAlignment="1">
      <alignment horizontal="left"/>
    </xf>
    <xf numFmtId="0" fontId="0" fillId="0" borderId="114" xfId="0" applyBorder="1"/>
    <xf numFmtId="0" fontId="0" fillId="16" borderId="115" xfId="0" applyFill="1" applyBorder="1" applyAlignment="1">
      <alignment horizontal="left"/>
    </xf>
    <xf numFmtId="0" fontId="0" fillId="0" borderId="116" xfId="0" applyBorder="1" applyAlignment="1">
      <alignment horizontal="left"/>
    </xf>
    <xf numFmtId="0" fontId="34" fillId="16" borderId="116" xfId="0" applyFont="1" applyFill="1" applyBorder="1" applyAlignment="1">
      <alignment horizontal="left"/>
    </xf>
    <xf numFmtId="0" fontId="7" fillId="16" borderId="116" xfId="0" applyFont="1" applyFill="1" applyBorder="1" applyAlignment="1">
      <alignment horizontal="left"/>
    </xf>
    <xf numFmtId="0" fontId="35" fillId="0" borderId="116" xfId="0" applyFont="1" applyBorder="1" applyAlignment="1">
      <alignment horizontal="left"/>
    </xf>
    <xf numFmtId="0" fontId="0" fillId="0" borderId="117" xfId="0" applyBorder="1"/>
    <xf numFmtId="0" fontId="1" fillId="0" borderId="110" xfId="0" applyFont="1" applyBorder="1" applyAlignment="1">
      <alignment horizontal="left"/>
    </xf>
    <xf numFmtId="0" fontId="0" fillId="16" borderId="113" xfId="0" applyFill="1" applyBorder="1" applyAlignment="1">
      <alignment horizontal="left"/>
    </xf>
    <xf numFmtId="0" fontId="1" fillId="0" borderId="113" xfId="0" applyFont="1" applyBorder="1" applyAlignment="1">
      <alignment horizontal="left"/>
    </xf>
    <xf numFmtId="0" fontId="0" fillId="16" borderId="118" xfId="0" applyFill="1" applyBorder="1" applyAlignment="1">
      <alignment horizontal="left"/>
    </xf>
    <xf numFmtId="0" fontId="0" fillId="0" borderId="119" xfId="0" applyBorder="1"/>
    <xf numFmtId="0" fontId="0" fillId="0" borderId="119" xfId="0" applyBorder="1" applyAlignment="1">
      <alignment horizontal="left"/>
    </xf>
    <xf numFmtId="0" fontId="1" fillId="0" borderId="119" xfId="0" applyFont="1" applyBorder="1"/>
    <xf numFmtId="0" fontId="35" fillId="0" borderId="119" xfId="0" applyFont="1" applyBorder="1" applyAlignment="1">
      <alignment horizontal="left"/>
    </xf>
    <xf numFmtId="0" fontId="0" fillId="16" borderId="119" xfId="0" applyFill="1" applyBorder="1" applyAlignment="1">
      <alignment horizontal="left"/>
    </xf>
    <xf numFmtId="0" fontId="0" fillId="0" borderId="120" xfId="0" applyBorder="1"/>
    <xf numFmtId="0" fontId="7" fillId="0" borderId="119" xfId="0" applyFont="1" applyBorder="1"/>
    <xf numFmtId="0" fontId="34" fillId="0" borderId="119" xfId="0" applyFont="1" applyBorder="1"/>
    <xf numFmtId="0" fontId="0" fillId="0" borderId="116" xfId="0" applyBorder="1"/>
    <xf numFmtId="0" fontId="1" fillId="0" borderId="116" xfId="0" applyFont="1" applyBorder="1"/>
    <xf numFmtId="0" fontId="0" fillId="16" borderId="116" xfId="0" applyFill="1" applyBorder="1" applyAlignment="1">
      <alignment horizontal="left"/>
    </xf>
    <xf numFmtId="0" fontId="7" fillId="16" borderId="112" xfId="0" applyFont="1" applyFill="1" applyBorder="1" applyAlignment="1">
      <alignment horizontal="left"/>
    </xf>
    <xf numFmtId="0" fontId="7" fillId="0" borderId="113" xfId="0" applyFont="1" applyBorder="1"/>
    <xf numFmtId="0" fontId="1" fillId="0" borderId="113" xfId="0" applyFont="1" applyBorder="1"/>
    <xf numFmtId="0" fontId="7" fillId="16" borderId="118" xfId="0" applyFont="1" applyFill="1" applyBorder="1" applyAlignment="1">
      <alignment horizontal="left"/>
    </xf>
    <xf numFmtId="0" fontId="7" fillId="0" borderId="119" xfId="0" applyFont="1" applyBorder="1" applyAlignment="1">
      <alignment horizontal="left"/>
    </xf>
    <xf numFmtId="0" fontId="7" fillId="16" borderId="115" xfId="0" applyFont="1" applyFill="1" applyBorder="1" applyAlignment="1">
      <alignment horizontal="left"/>
    </xf>
    <xf numFmtId="0" fontId="7" fillId="0" borderId="116" xfId="0" applyFont="1" applyBorder="1"/>
    <xf numFmtId="0" fontId="34" fillId="0" borderId="116" xfId="0" applyFont="1" applyBorder="1"/>
    <xf numFmtId="0" fontId="34" fillId="0" borderId="113" xfId="0" applyFont="1" applyBorder="1"/>
    <xf numFmtId="0" fontId="34" fillId="0" borderId="119" xfId="0" applyFont="1" applyBorder="1" applyAlignment="1">
      <alignment horizontal="left"/>
    </xf>
    <xf numFmtId="0" fontId="7" fillId="0" borderId="78" xfId="0" applyFont="1" applyBorder="1" applyAlignment="1">
      <alignment horizontal="left"/>
    </xf>
    <xf numFmtId="0" fontId="34" fillId="0" borderId="78" xfId="0" applyFont="1" applyBorder="1" applyAlignment="1">
      <alignment horizontal="left"/>
    </xf>
    <xf numFmtId="0" fontId="9" fillId="16" borderId="118" xfId="0" applyFont="1" applyFill="1" applyBorder="1" applyAlignment="1">
      <alignment horizontal="left"/>
    </xf>
    <xf numFmtId="0" fontId="9" fillId="0" borderId="119" xfId="0" applyFont="1" applyBorder="1"/>
    <xf numFmtId="0" fontId="37" fillId="0" borderId="119" xfId="0" applyFont="1" applyBorder="1"/>
    <xf numFmtId="0" fontId="9" fillId="0" borderId="119" xfId="0" applyFont="1" applyBorder="1" applyAlignment="1">
      <alignment horizontal="left"/>
    </xf>
    <xf numFmtId="8" fontId="9" fillId="0" borderId="119" xfId="0" applyNumberFormat="1" applyFont="1" applyBorder="1" applyAlignment="1">
      <alignment horizontal="left"/>
    </xf>
    <xf numFmtId="0" fontId="37" fillId="16" borderId="119" xfId="0" applyFont="1" applyFill="1" applyBorder="1" applyAlignment="1">
      <alignment horizontal="left"/>
    </xf>
    <xf numFmtId="0" fontId="9" fillId="16" borderId="119" xfId="0" applyFont="1" applyFill="1" applyBorder="1" applyAlignment="1">
      <alignment horizontal="left"/>
    </xf>
    <xf numFmtId="0" fontId="9" fillId="0" borderId="120" xfId="0" applyFont="1" applyBorder="1"/>
    <xf numFmtId="0" fontId="7" fillId="16" borderId="78" xfId="0" applyFont="1" applyFill="1" applyBorder="1" applyAlignment="1">
      <alignment horizontal="left"/>
    </xf>
    <xf numFmtId="164" fontId="0" fillId="0" borderId="38" xfId="0" applyNumberFormat="1" applyBorder="1" applyAlignment="1">
      <alignment horizontal="center" vertical="center"/>
    </xf>
    <xf numFmtId="0" fontId="0" fillId="0" borderId="38"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8" fontId="0" fillId="16" borderId="110" xfId="0" applyNumberFormat="1" applyFill="1" applyBorder="1" applyAlignment="1">
      <alignment horizontal="left"/>
    </xf>
    <xf numFmtId="8" fontId="0" fillId="16" borderId="116" xfId="0" applyNumberFormat="1" applyFill="1" applyBorder="1" applyAlignment="1">
      <alignment horizontal="left"/>
    </xf>
    <xf numFmtId="8" fontId="0" fillId="16" borderId="119" xfId="0" applyNumberFormat="1" applyFill="1" applyBorder="1" applyAlignment="1">
      <alignment horizontal="left"/>
    </xf>
    <xf numFmtId="0" fontId="1" fillId="0" borderId="1" xfId="0" applyFont="1" applyBorder="1" applyAlignment="1">
      <alignment horizontal="center"/>
    </xf>
    <xf numFmtId="14" fontId="42" fillId="0" borderId="0" xfId="0" applyNumberFormat="1" applyFont="1" applyAlignment="1">
      <alignment horizontal="center"/>
    </xf>
    <xf numFmtId="0" fontId="0" fillId="16" borderId="112" xfId="0" applyFill="1" applyBorder="1" applyAlignment="1">
      <alignment horizontal="center"/>
    </xf>
    <xf numFmtId="0" fontId="0" fillId="0" borderId="113" xfId="0" applyBorder="1" applyAlignment="1">
      <alignment horizontal="center"/>
    </xf>
    <xf numFmtId="0" fontId="1" fillId="0" borderId="113" xfId="0" applyFont="1" applyBorder="1" applyAlignment="1">
      <alignment horizontal="center"/>
    </xf>
    <xf numFmtId="8" fontId="40" fillId="0" borderId="113" xfId="0" applyNumberFormat="1" applyFont="1" applyBorder="1" applyAlignment="1">
      <alignment horizontal="center"/>
    </xf>
    <xf numFmtId="49" fontId="9" fillId="0" borderId="113" xfId="0" applyNumberFormat="1" applyFont="1" applyBorder="1" applyAlignment="1">
      <alignment horizontal="center"/>
    </xf>
    <xf numFmtId="0" fontId="44" fillId="0" borderId="113" xfId="0" applyFont="1" applyBorder="1" applyAlignment="1">
      <alignment horizontal="center"/>
    </xf>
    <xf numFmtId="0" fontId="0" fillId="0" borderId="114" xfId="0" applyBorder="1" applyAlignment="1">
      <alignment horizontal="center"/>
    </xf>
    <xf numFmtId="0" fontId="0" fillId="16" borderId="118" xfId="0" applyFill="1" applyBorder="1" applyAlignment="1">
      <alignment horizontal="center"/>
    </xf>
    <xf numFmtId="0" fontId="0" fillId="0" borderId="119" xfId="0" applyBorder="1" applyAlignment="1">
      <alignment horizontal="center"/>
    </xf>
    <xf numFmtId="0" fontId="1" fillId="16" borderId="119" xfId="0" applyFont="1" applyFill="1" applyBorder="1" applyAlignment="1">
      <alignment horizontal="center"/>
    </xf>
    <xf numFmtId="8" fontId="40" fillId="0" borderId="119" xfId="0" applyNumberFormat="1" applyFont="1" applyBorder="1" applyAlignment="1">
      <alignment horizontal="center"/>
    </xf>
    <xf numFmtId="49" fontId="0" fillId="0" borderId="119" xfId="0" applyNumberFormat="1" applyBorder="1" applyAlignment="1">
      <alignment horizontal="center"/>
    </xf>
    <xf numFmtId="8" fontId="0" fillId="0" borderId="119" xfId="0" applyNumberFormat="1" applyBorder="1" applyAlignment="1">
      <alignment horizontal="center"/>
    </xf>
    <xf numFmtId="8" fontId="0" fillId="0" borderId="120" xfId="0" applyNumberFormat="1" applyBorder="1" applyAlignment="1">
      <alignment horizontal="center"/>
    </xf>
    <xf numFmtId="0" fontId="34" fillId="16" borderId="119" xfId="0" applyFont="1" applyFill="1" applyBorder="1" applyAlignment="1">
      <alignment horizontal="center"/>
    </xf>
    <xf numFmtId="14" fontId="0" fillId="0" borderId="120" xfId="0" applyNumberFormat="1" applyBorder="1" applyAlignment="1">
      <alignment horizontal="center"/>
    </xf>
    <xf numFmtId="0" fontId="7" fillId="0" borderId="119" xfId="0" applyFont="1" applyBorder="1" applyAlignment="1">
      <alignment horizontal="center"/>
    </xf>
    <xf numFmtId="0" fontId="1" fillId="0" borderId="119" xfId="0" applyFont="1" applyBorder="1" applyAlignment="1">
      <alignment horizontal="center"/>
    </xf>
    <xf numFmtId="14" fontId="0" fillId="16" borderId="119" xfId="0" applyNumberFormat="1" applyFill="1" applyBorder="1" applyAlignment="1">
      <alignment horizontal="center"/>
    </xf>
    <xf numFmtId="0" fontId="0" fillId="0" borderId="120" xfId="0" applyBorder="1" applyAlignment="1">
      <alignment horizontal="center"/>
    </xf>
    <xf numFmtId="14" fontId="37" fillId="16" borderId="119" xfId="0" applyNumberFormat="1" applyFont="1" applyFill="1" applyBorder="1" applyAlignment="1">
      <alignment horizontal="center"/>
    </xf>
    <xf numFmtId="0" fontId="45" fillId="0" borderId="119" xfId="0" applyFont="1" applyBorder="1" applyAlignment="1">
      <alignment horizontal="center"/>
    </xf>
    <xf numFmtId="14" fontId="37" fillId="0" borderId="119" xfId="0" applyNumberFormat="1" applyFont="1" applyBorder="1" applyAlignment="1">
      <alignment horizontal="center"/>
    </xf>
    <xf numFmtId="14" fontId="9" fillId="0" borderId="119" xfId="0" applyNumberFormat="1" applyFont="1" applyBorder="1" applyAlignment="1">
      <alignment horizontal="center"/>
    </xf>
    <xf numFmtId="0" fontId="39" fillId="0" borderId="119" xfId="0" applyFont="1" applyBorder="1" applyAlignment="1">
      <alignment horizontal="center"/>
    </xf>
    <xf numFmtId="0" fontId="0" fillId="16" borderId="119" xfId="0" applyFill="1" applyBorder="1" applyAlignment="1">
      <alignment horizontal="center"/>
    </xf>
    <xf numFmtId="0" fontId="37" fillId="16" borderId="119" xfId="0" applyFont="1" applyFill="1" applyBorder="1" applyAlignment="1">
      <alignment horizontal="center"/>
    </xf>
    <xf numFmtId="0" fontId="7" fillId="16" borderId="118" xfId="0" applyFont="1" applyFill="1" applyBorder="1" applyAlignment="1">
      <alignment horizontal="center"/>
    </xf>
    <xf numFmtId="0" fontId="9" fillId="0" borderId="120" xfId="0" applyFont="1" applyBorder="1" applyAlignment="1">
      <alignment horizontal="center"/>
    </xf>
    <xf numFmtId="0" fontId="34" fillId="0" borderId="119" xfId="0" applyFont="1" applyBorder="1" applyAlignment="1">
      <alignment horizontal="center"/>
    </xf>
    <xf numFmtId="0" fontId="37" fillId="0" borderId="119" xfId="0" applyFont="1" applyBorder="1" applyAlignment="1">
      <alignment horizontal="center"/>
    </xf>
    <xf numFmtId="0" fontId="7" fillId="16" borderId="123" xfId="0" applyFont="1" applyFill="1" applyBorder="1" applyAlignment="1">
      <alignment horizontal="center"/>
    </xf>
    <xf numFmtId="0" fontId="7" fillId="0" borderId="121" xfId="0" applyFont="1" applyBorder="1" applyAlignment="1">
      <alignment horizontal="center"/>
    </xf>
    <xf numFmtId="0" fontId="34" fillId="0" borderId="121" xfId="0" applyFont="1" applyBorder="1" applyAlignment="1">
      <alignment horizontal="center"/>
    </xf>
    <xf numFmtId="0" fontId="37" fillId="0" borderId="121" xfId="0" applyFont="1" applyBorder="1" applyAlignment="1">
      <alignment horizontal="center"/>
    </xf>
    <xf numFmtId="49" fontId="0" fillId="0" borderId="121" xfId="0" applyNumberFormat="1" applyBorder="1" applyAlignment="1">
      <alignment horizontal="center"/>
    </xf>
    <xf numFmtId="0" fontId="0" fillId="0" borderId="121" xfId="0" applyBorder="1" applyAlignment="1">
      <alignment horizontal="center"/>
    </xf>
    <xf numFmtId="0" fontId="0" fillId="0" borderId="122" xfId="0" applyBorder="1" applyAlignment="1">
      <alignment horizontal="center"/>
    </xf>
    <xf numFmtId="49" fontId="3"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7" fillId="0" borderId="32" xfId="0" applyFont="1" applyBorder="1" applyAlignment="1">
      <alignment horizontal="left" vertical="center"/>
    </xf>
    <xf numFmtId="164" fontId="3" fillId="0" borderId="33" xfId="0" applyNumberFormat="1" applyFont="1" applyBorder="1" applyAlignment="1">
      <alignment horizontal="center" vertical="center"/>
    </xf>
    <xf numFmtId="0" fontId="3" fillId="0" borderId="33" xfId="0" applyFont="1" applyBorder="1" applyAlignment="1">
      <alignment horizontal="center" vertical="center"/>
    </xf>
    <xf numFmtId="49" fontId="3" fillId="0" borderId="33" xfId="0" applyNumberFormat="1" applyFont="1" applyBorder="1" applyAlignment="1">
      <alignment horizontal="center" vertical="center"/>
    </xf>
    <xf numFmtId="0" fontId="3" fillId="0" borderId="126" xfId="0" applyFont="1" applyBorder="1" applyAlignment="1">
      <alignment horizontal="center" vertical="center"/>
    </xf>
    <xf numFmtId="0" fontId="7" fillId="0" borderId="59" xfId="0" applyFont="1" applyBorder="1" applyAlignment="1">
      <alignment horizontal="left" vertical="center"/>
    </xf>
    <xf numFmtId="0" fontId="6" fillId="0" borderId="64" xfId="0" applyFont="1" applyBorder="1" applyAlignment="1">
      <alignment horizontal="center" vertical="center"/>
    </xf>
    <xf numFmtId="0" fontId="7" fillId="0" borderId="125" xfId="0" applyFont="1" applyBorder="1" applyAlignment="1">
      <alignment horizontal="left" vertical="center"/>
    </xf>
    <xf numFmtId="164" fontId="0" fillId="0" borderId="102" xfId="0" applyNumberFormat="1" applyBorder="1" applyAlignment="1">
      <alignment horizontal="center" vertical="center"/>
    </xf>
    <xf numFmtId="0" fontId="0" fillId="0" borderId="102" xfId="0" applyBorder="1" applyAlignment="1">
      <alignment horizontal="center" vertical="center"/>
    </xf>
    <xf numFmtId="164" fontId="6" fillId="0" borderId="102" xfId="0" applyNumberFormat="1" applyFont="1" applyBorder="1" applyAlignment="1">
      <alignment horizontal="center" vertical="center"/>
    </xf>
    <xf numFmtId="0" fontId="6" fillId="0" borderId="102" xfId="0" applyFont="1" applyBorder="1" applyAlignment="1">
      <alignment horizontal="center" vertical="center"/>
    </xf>
    <xf numFmtId="49" fontId="6" fillId="0" borderId="102" xfId="0" applyNumberFormat="1" applyFont="1" applyBorder="1" applyAlignment="1">
      <alignment horizontal="center" vertical="center"/>
    </xf>
    <xf numFmtId="0" fontId="6" fillId="0" borderId="124" xfId="0" applyFont="1" applyBorder="1" applyAlignment="1">
      <alignment horizontal="center" vertical="center"/>
    </xf>
    <xf numFmtId="0" fontId="7" fillId="0" borderId="51" xfId="0" applyFont="1" applyBorder="1" applyAlignment="1">
      <alignment horizontal="left" vertical="center"/>
    </xf>
    <xf numFmtId="0" fontId="7" fillId="0" borderId="4" xfId="0" applyFont="1" applyBorder="1" applyAlignment="1">
      <alignment horizontal="center" vertical="center"/>
    </xf>
    <xf numFmtId="164" fontId="0" fillId="0" borderId="4" xfId="0" applyNumberFormat="1" applyBorder="1" applyAlignment="1">
      <alignment horizontal="center" vertical="center"/>
    </xf>
    <xf numFmtId="0" fontId="0" fillId="0" borderId="4" xfId="0" applyBorder="1" applyAlignment="1">
      <alignment horizontal="center" vertical="center"/>
    </xf>
    <xf numFmtId="164" fontId="6" fillId="0" borderId="4" xfId="0" applyNumberFormat="1" applyFont="1" applyBorder="1" applyAlignment="1">
      <alignment horizontal="center" vertical="center"/>
    </xf>
    <xf numFmtId="49" fontId="6" fillId="0" borderId="4" xfId="0" applyNumberFormat="1" applyFont="1" applyBorder="1" applyAlignment="1">
      <alignment horizontal="center" vertical="center"/>
    </xf>
    <xf numFmtId="0" fontId="6" fillId="0" borderId="71" xfId="0" applyFont="1" applyBorder="1" applyAlignment="1">
      <alignment horizontal="center" vertical="center"/>
    </xf>
    <xf numFmtId="0" fontId="0" fillId="0" borderId="102" xfId="0" applyBorder="1" applyAlignment="1">
      <alignment horizontal="center"/>
    </xf>
    <xf numFmtId="0" fontId="0" fillId="0" borderId="4" xfId="0" applyBorder="1" applyAlignment="1">
      <alignment horizontal="center"/>
    </xf>
    <xf numFmtId="0" fontId="31" fillId="3" borderId="1" xfId="0" applyFont="1" applyFill="1" applyBorder="1" applyAlignment="1">
      <alignment horizontal="left" vertical="center"/>
    </xf>
    <xf numFmtId="17" fontId="0" fillId="0" borderId="37" xfId="0" applyNumberFormat="1" applyBorder="1" applyAlignment="1">
      <alignment horizontal="center" vertical="center"/>
    </xf>
    <xf numFmtId="164" fontId="21" fillId="0" borderId="0" xfId="0" applyNumberFormat="1" applyFont="1" applyAlignment="1">
      <alignment horizontal="center"/>
    </xf>
    <xf numFmtId="0" fontId="41" fillId="0" borderId="0" xfId="0" applyFont="1"/>
    <xf numFmtId="0" fontId="41" fillId="0" borderId="0" xfId="0" applyFont="1" applyAlignment="1">
      <alignment horizontal="center"/>
    </xf>
    <xf numFmtId="0" fontId="9" fillId="0" borderId="127" xfId="0" applyFont="1" applyBorder="1" applyAlignment="1">
      <alignment horizontal="left"/>
    </xf>
    <xf numFmtId="0" fontId="9" fillId="0" borderId="92" xfId="0" applyFont="1" applyBorder="1" applyAlignment="1">
      <alignment horizontal="left"/>
    </xf>
    <xf numFmtId="0" fontId="0" fillId="16" borderId="128" xfId="0" applyFill="1" applyBorder="1" applyAlignment="1">
      <alignment horizontal="left"/>
    </xf>
    <xf numFmtId="0" fontId="0" fillId="0" borderId="129" xfId="0" applyBorder="1" applyAlignment="1">
      <alignment horizontal="left"/>
    </xf>
    <xf numFmtId="0" fontId="1" fillId="16" borderId="129" xfId="0" applyFont="1" applyFill="1" applyBorder="1" applyAlignment="1">
      <alignment horizontal="left"/>
    </xf>
    <xf numFmtId="8" fontId="0" fillId="16" borderId="129" xfId="0" applyNumberFormat="1" applyFill="1" applyBorder="1" applyAlignment="1">
      <alignment horizontal="left"/>
    </xf>
    <xf numFmtId="0" fontId="0" fillId="16" borderId="130" xfId="0" applyFill="1" applyBorder="1" applyAlignment="1">
      <alignment horizontal="left"/>
    </xf>
    <xf numFmtId="0" fontId="1" fillId="0" borderId="130" xfId="0" applyFont="1" applyBorder="1" applyAlignment="1">
      <alignment horizontal="left"/>
    </xf>
    <xf numFmtId="0" fontId="0" fillId="0" borderId="131" xfId="0" applyBorder="1"/>
    <xf numFmtId="0" fontId="7" fillId="0" borderId="130" xfId="0" applyFont="1" applyBorder="1"/>
    <xf numFmtId="0" fontId="34" fillId="0" borderId="130" xfId="0" applyFont="1" applyBorder="1"/>
    <xf numFmtId="0" fontId="0" fillId="0" borderId="130" xfId="0" applyBorder="1" applyAlignment="1">
      <alignment horizontal="left"/>
    </xf>
    <xf numFmtId="8" fontId="0" fillId="16" borderId="132" xfId="0" applyNumberFormat="1" applyFill="1" applyBorder="1" applyAlignment="1">
      <alignment horizontal="left"/>
    </xf>
    <xf numFmtId="8" fontId="0" fillId="0" borderId="127" xfId="0" applyNumberFormat="1" applyBorder="1" applyAlignment="1">
      <alignment horizontal="left"/>
    </xf>
    <xf numFmtId="8" fontId="0" fillId="16" borderId="113" xfId="0" applyNumberFormat="1" applyFill="1" applyBorder="1" applyAlignment="1">
      <alignment horizontal="left"/>
    </xf>
    <xf numFmtId="8" fontId="0" fillId="16" borderId="130" xfId="0" applyNumberFormat="1" applyFill="1" applyBorder="1" applyAlignment="1">
      <alignment horizontal="left"/>
    </xf>
    <xf numFmtId="0" fontId="31" fillId="3" borderId="8" xfId="0" applyFont="1" applyFill="1" applyBorder="1" applyAlignment="1">
      <alignment horizontal="center"/>
    </xf>
    <xf numFmtId="0" fontId="0" fillId="16" borderId="133" xfId="0" applyFill="1" applyBorder="1" applyAlignment="1">
      <alignment horizontal="center"/>
    </xf>
    <xf numFmtId="0" fontId="7" fillId="16" borderId="133" xfId="0" applyFont="1" applyFill="1" applyBorder="1" applyAlignment="1">
      <alignment horizontal="center"/>
    </xf>
    <xf numFmtId="0" fontId="7" fillId="16" borderId="134" xfId="0" applyFont="1" applyFill="1" applyBorder="1" applyAlignment="1">
      <alignment horizontal="center"/>
    </xf>
    <xf numFmtId="0" fontId="7" fillId="0" borderId="135" xfId="0" applyFont="1" applyBorder="1" applyAlignment="1">
      <alignment horizontal="center"/>
    </xf>
    <xf numFmtId="0" fontId="9" fillId="16" borderId="119" xfId="0" applyFont="1" applyFill="1" applyBorder="1" applyAlignment="1">
      <alignment horizontal="center"/>
    </xf>
    <xf numFmtId="0" fontId="47" fillId="0" borderId="0" xfId="0" applyFont="1"/>
    <xf numFmtId="1" fontId="8" fillId="32" borderId="137" xfId="0" applyNumberFormat="1" applyFont="1" applyFill="1" applyBorder="1" applyAlignment="1">
      <alignment horizontal="center" vertical="center" wrapText="1"/>
    </xf>
    <xf numFmtId="0" fontId="8" fillId="32" borderId="137" xfId="0" applyFont="1" applyFill="1" applyBorder="1" applyAlignment="1">
      <alignment horizontal="center" vertical="center" wrapText="1"/>
    </xf>
    <xf numFmtId="0" fontId="8" fillId="0" borderId="137" xfId="0" applyFont="1" applyBorder="1" applyAlignment="1">
      <alignment horizontal="center" vertical="center" wrapText="1"/>
    </xf>
    <xf numFmtId="14" fontId="8" fillId="32" borderId="137" xfId="0" applyNumberFormat="1" applyFont="1" applyFill="1" applyBorder="1" applyAlignment="1">
      <alignment horizontal="center" vertical="center" wrapText="1"/>
    </xf>
    <xf numFmtId="1" fontId="6" fillId="0" borderId="0" xfId="0" applyNumberFormat="1" applyFont="1" applyAlignment="1">
      <alignment horizontal="center" vertical="center"/>
    </xf>
    <xf numFmtId="3" fontId="6" fillId="0" borderId="0" xfId="0" applyNumberFormat="1" applyFont="1" applyAlignment="1">
      <alignment horizontal="center" vertical="center"/>
    </xf>
    <xf numFmtId="3" fontId="6" fillId="0" borderId="0" xfId="0" applyNumberFormat="1" applyFont="1" applyAlignment="1">
      <alignment horizontal="center" vertical="center" wrapText="1"/>
    </xf>
    <xf numFmtId="14" fontId="6" fillId="0" borderId="0" xfId="0" applyNumberFormat="1" applyFont="1" applyAlignment="1">
      <alignment horizontal="center" vertical="center"/>
    </xf>
    <xf numFmtId="0" fontId="8" fillId="0" borderId="0" xfId="0" applyFont="1" applyAlignment="1">
      <alignment horizontal="center" vertical="center"/>
    </xf>
    <xf numFmtId="0" fontId="6" fillId="7" borderId="0" xfId="0" applyFont="1" applyFill="1" applyAlignment="1">
      <alignment horizontal="center" vertical="center"/>
    </xf>
    <xf numFmtId="0" fontId="6" fillId="15" borderId="0" xfId="0" applyFont="1" applyFill="1" applyAlignment="1">
      <alignment horizontal="center" vertical="center"/>
    </xf>
    <xf numFmtId="1" fontId="6" fillId="0" borderId="0" xfId="0" applyNumberFormat="1" applyFont="1" applyAlignment="1">
      <alignment horizontal="center" vertical="center" wrapText="1"/>
    </xf>
    <xf numFmtId="14" fontId="6" fillId="0" borderId="0" xfId="0" applyNumberFormat="1" applyFont="1" applyAlignment="1">
      <alignment horizontal="center"/>
    </xf>
    <xf numFmtId="0" fontId="6" fillId="6" borderId="0" xfId="0" applyFont="1" applyFill="1" applyAlignment="1">
      <alignment horizontal="center" vertical="center"/>
    </xf>
    <xf numFmtId="0" fontId="6" fillId="18" borderId="0" xfId="0" applyFont="1" applyFill="1" applyAlignment="1">
      <alignment horizontal="center" vertical="center"/>
    </xf>
    <xf numFmtId="0" fontId="6" fillId="10" borderId="0" xfId="0" applyFont="1" applyFill="1" applyAlignment="1">
      <alignment horizontal="center" vertical="center"/>
    </xf>
    <xf numFmtId="0" fontId="6" fillId="17" borderId="0" xfId="0" applyFont="1" applyFill="1" applyAlignment="1">
      <alignment horizontal="center" vertical="center"/>
    </xf>
    <xf numFmtId="0" fontId="8" fillId="12" borderId="0" xfId="0" applyFont="1" applyFill="1" applyAlignment="1">
      <alignment horizontal="center" vertical="center"/>
    </xf>
    <xf numFmtId="14" fontId="6" fillId="16" borderId="0" xfId="0" applyNumberFormat="1" applyFont="1" applyFill="1" applyAlignment="1">
      <alignment horizontal="center" vertical="center"/>
    </xf>
    <xf numFmtId="14" fontId="6" fillId="31" borderId="0" xfId="0" applyNumberFormat="1" applyFont="1" applyFill="1" applyAlignment="1">
      <alignment horizontal="center" vertical="center"/>
    </xf>
    <xf numFmtId="0" fontId="6" fillId="4" borderId="0" xfId="0" applyFont="1" applyFill="1" applyAlignment="1">
      <alignment horizontal="center" vertical="center"/>
    </xf>
    <xf numFmtId="0" fontId="6" fillId="20" borderId="0" xfId="0" applyFont="1" applyFill="1" applyAlignment="1">
      <alignment horizontal="center" vertical="center"/>
    </xf>
    <xf numFmtId="0" fontId="6" fillId="21" borderId="0" xfId="0" applyFont="1" applyFill="1" applyAlignment="1">
      <alignment horizontal="center" vertical="center"/>
    </xf>
    <xf numFmtId="0" fontId="6" fillId="22" borderId="0" xfId="0" applyFont="1" applyFill="1" applyAlignment="1">
      <alignment horizontal="center" vertical="center"/>
    </xf>
    <xf numFmtId="0" fontId="6" fillId="12" borderId="0" xfId="0" applyFont="1" applyFill="1" applyAlignment="1">
      <alignment horizontal="center" vertical="center"/>
    </xf>
    <xf numFmtId="0" fontId="8" fillId="0" borderId="0" xfId="0" applyFont="1" applyAlignment="1">
      <alignment horizontal="center"/>
    </xf>
    <xf numFmtId="0" fontId="6" fillId="5" borderId="0" xfId="0" applyFont="1" applyFill="1" applyAlignment="1">
      <alignment horizontal="center" vertical="center"/>
    </xf>
    <xf numFmtId="0" fontId="8" fillId="0" borderId="0" xfId="0" applyFont="1" applyAlignment="1">
      <alignment horizontal="center" vertical="center" wrapText="1"/>
    </xf>
    <xf numFmtId="0" fontId="6" fillId="7" borderId="0" xfId="0" applyFont="1" applyFill="1" applyAlignment="1">
      <alignment horizontal="center" vertical="center" wrapText="1"/>
    </xf>
    <xf numFmtId="0" fontId="6" fillId="9" borderId="0" xfId="0" applyFont="1" applyFill="1" applyAlignment="1">
      <alignment horizontal="center" vertical="center"/>
    </xf>
    <xf numFmtId="0" fontId="6" fillId="20" borderId="0" xfId="0" applyFont="1" applyFill="1" applyAlignment="1">
      <alignment horizontal="center"/>
    </xf>
    <xf numFmtId="0" fontId="6" fillId="29" borderId="0" xfId="0" applyFont="1" applyFill="1" applyAlignment="1">
      <alignment horizontal="center"/>
    </xf>
    <xf numFmtId="0" fontId="6" fillId="34" borderId="0" xfId="0" applyFont="1" applyFill="1" applyAlignment="1">
      <alignment horizontal="center" vertical="center"/>
    </xf>
    <xf numFmtId="0" fontId="6" fillId="19" borderId="0" xfId="0" applyFont="1" applyFill="1" applyAlignment="1">
      <alignment horizontal="center" vertical="center"/>
    </xf>
    <xf numFmtId="1" fontId="6" fillId="33" borderId="0" xfId="0" applyNumberFormat="1" applyFont="1" applyFill="1" applyAlignment="1">
      <alignment horizontal="center" vertical="center"/>
    </xf>
    <xf numFmtId="1" fontId="6" fillId="30" borderId="0" xfId="0" applyNumberFormat="1" applyFont="1" applyFill="1" applyAlignment="1">
      <alignment horizontal="center" vertical="center" wrapText="1"/>
    </xf>
    <xf numFmtId="3" fontId="6" fillId="30" borderId="0" xfId="0" applyNumberFormat="1" applyFont="1" applyFill="1" applyAlignment="1">
      <alignment horizontal="center" vertical="center"/>
    </xf>
    <xf numFmtId="14" fontId="6" fillId="33" borderId="0" xfId="0" applyNumberFormat="1" applyFont="1" applyFill="1" applyAlignment="1">
      <alignment horizontal="center" vertical="center"/>
    </xf>
    <xf numFmtId="3" fontId="6" fillId="30" borderId="0" xfId="0" applyNumberFormat="1" applyFont="1" applyFill="1" applyAlignment="1">
      <alignment horizontal="center" vertical="center" wrapText="1"/>
    </xf>
    <xf numFmtId="0" fontId="8" fillId="30" borderId="0" xfId="0" applyFont="1" applyFill="1" applyAlignment="1">
      <alignment horizontal="center" vertical="center"/>
    </xf>
    <xf numFmtId="0" fontId="6" fillId="30" borderId="0" xfId="0" applyFont="1" applyFill="1" applyAlignment="1">
      <alignment horizontal="center" vertical="center"/>
    </xf>
    <xf numFmtId="0" fontId="6" fillId="33" borderId="0" xfId="0" applyFont="1" applyFill="1" applyAlignment="1">
      <alignment horizontal="center" vertical="center"/>
    </xf>
    <xf numFmtId="3" fontId="6" fillId="33" borderId="0" xfId="0" applyNumberFormat="1" applyFont="1" applyFill="1" applyAlignment="1">
      <alignment horizontal="center" vertical="center"/>
    </xf>
    <xf numFmtId="14" fontId="6" fillId="30" borderId="0" xfId="0" applyNumberFormat="1" applyFont="1" applyFill="1" applyAlignment="1">
      <alignment horizontal="center" vertical="center"/>
    </xf>
    <xf numFmtId="3" fontId="8" fillId="0" borderId="0" xfId="0" applyNumberFormat="1" applyFont="1" applyAlignment="1">
      <alignment horizontal="center" vertical="center" wrapText="1"/>
    </xf>
    <xf numFmtId="3" fontId="8" fillId="0" borderId="0" xfId="0" applyNumberFormat="1" applyFont="1" applyAlignment="1">
      <alignment horizontal="center" vertical="center"/>
    </xf>
    <xf numFmtId="0" fontId="6" fillId="29" borderId="0" xfId="0" applyFont="1" applyFill="1" applyAlignment="1">
      <alignment horizontal="center" vertical="center"/>
    </xf>
    <xf numFmtId="3" fontId="5" fillId="0" borderId="0" xfId="0" applyNumberFormat="1" applyFont="1" applyAlignment="1">
      <alignment horizontal="center" vertical="center" wrapText="1"/>
    </xf>
    <xf numFmtId="17" fontId="0" fillId="0" borderId="45" xfId="0" applyNumberFormat="1" applyBorder="1" applyAlignment="1">
      <alignment horizontal="center" vertical="center"/>
    </xf>
    <xf numFmtId="14" fontId="6" fillId="0" borderId="0" xfId="0" applyNumberFormat="1" applyFont="1" applyAlignment="1">
      <alignment horizontal="center" vertical="center" wrapText="1"/>
    </xf>
    <xf numFmtId="0" fontId="13" fillId="0" borderId="0" xfId="0" applyFont="1" applyAlignment="1">
      <alignment horizontal="center"/>
    </xf>
    <xf numFmtId="0" fontId="29" fillId="25" borderId="9" xfId="0" applyFont="1" applyFill="1" applyBorder="1" applyAlignment="1">
      <alignment horizontal="center"/>
    </xf>
    <xf numFmtId="0" fontId="29" fillId="25" borderId="10" xfId="0" applyFont="1" applyFill="1" applyBorder="1" applyAlignment="1">
      <alignment horizontal="center"/>
    </xf>
    <xf numFmtId="0" fontId="1" fillId="3" borderId="2" xfId="0" applyFont="1" applyFill="1" applyBorder="1" applyAlignment="1">
      <alignment horizontal="center"/>
    </xf>
    <xf numFmtId="0" fontId="0" fillId="0" borderId="3" xfId="0" applyBorder="1" applyAlignment="1">
      <alignment horizontal="center"/>
    </xf>
    <xf numFmtId="0" fontId="0" fillId="0" borderId="136" xfId="0" applyBorder="1" applyAlignment="1">
      <alignment horizontal="center"/>
    </xf>
    <xf numFmtId="1" fontId="0" fillId="0" borderId="0" xfId="0" applyNumberFormat="1" applyAlignment="1">
      <alignment horizontal="center"/>
    </xf>
    <xf numFmtId="0" fontId="12" fillId="0" borderId="0" xfId="0" applyFont="1" applyAlignment="1">
      <alignment horizontal="center" vertical="center"/>
    </xf>
    <xf numFmtId="1" fontId="8" fillId="2" borderId="2" xfId="0" applyNumberFormat="1" applyFont="1" applyFill="1" applyBorder="1" applyAlignment="1">
      <alignment horizontal="center" vertical="center"/>
    </xf>
    <xf numFmtId="1" fontId="8" fillId="2" borderId="3" xfId="0" applyNumberFormat="1" applyFont="1" applyFill="1" applyBorder="1" applyAlignment="1">
      <alignment horizontal="center" vertical="center"/>
    </xf>
    <xf numFmtId="1" fontId="8" fillId="2" borderId="6" xfId="0" applyNumberFormat="1" applyFont="1" applyFill="1" applyBorder="1" applyAlignment="1">
      <alignment horizontal="center" vertical="center"/>
    </xf>
    <xf numFmtId="3" fontId="3" fillId="0" borderId="1" xfId="0" applyNumberFormat="1" applyFont="1" applyBorder="1" applyAlignment="1">
      <alignment horizontal="center" vertical="center"/>
    </xf>
    <xf numFmtId="3" fontId="3" fillId="0" borderId="5" xfId="0" applyNumberFormat="1" applyFont="1" applyBorder="1" applyAlignment="1">
      <alignment horizontal="center" vertical="center"/>
    </xf>
    <xf numFmtId="3" fontId="3" fillId="0" borderId="2" xfId="0" applyNumberFormat="1" applyFont="1" applyBorder="1" applyAlignment="1">
      <alignment horizontal="center" vertical="center"/>
    </xf>
    <xf numFmtId="3" fontId="3" fillId="0" borderId="6" xfId="0" applyNumberFormat="1" applyFont="1" applyBorder="1" applyAlignment="1">
      <alignment horizontal="center" vertical="center"/>
    </xf>
    <xf numFmtId="0" fontId="46" fillId="0" borderId="63" xfId="0" applyFont="1" applyBorder="1" applyAlignment="1">
      <alignment horizontal="center" vertical="center"/>
    </xf>
    <xf numFmtId="0" fontId="46" fillId="0" borderId="20" xfId="0" applyFont="1" applyBorder="1" applyAlignment="1">
      <alignment horizontal="center" vertical="center"/>
    </xf>
    <xf numFmtId="0" fontId="46" fillId="0" borderId="68" xfId="0" applyFont="1" applyBorder="1" applyAlignment="1">
      <alignment horizontal="center" vertical="center"/>
    </xf>
    <xf numFmtId="0" fontId="46" fillId="0" borderId="76" xfId="0" applyFont="1" applyBorder="1" applyAlignment="1">
      <alignment horizontal="center" vertical="center"/>
    </xf>
    <xf numFmtId="0" fontId="46" fillId="0" borderId="47" xfId="0" applyFont="1" applyBorder="1" applyAlignment="1">
      <alignment horizontal="center" vertical="center"/>
    </xf>
    <xf numFmtId="0" fontId="46" fillId="0" borderId="56" xfId="0" applyFont="1" applyBorder="1" applyAlignment="1">
      <alignment horizontal="center" vertical="center"/>
    </xf>
    <xf numFmtId="0" fontId="24" fillId="25" borderId="9" xfId="0" applyFont="1" applyFill="1" applyBorder="1" applyAlignment="1">
      <alignment horizontal="center"/>
    </xf>
    <xf numFmtId="0" fontId="24" fillId="25" borderId="10" xfId="0" applyFont="1" applyFill="1" applyBorder="1" applyAlignment="1">
      <alignment horizontal="center"/>
    </xf>
    <xf numFmtId="0" fontId="24" fillId="25" borderId="3" xfId="0" applyFont="1" applyFill="1" applyBorder="1" applyAlignment="1">
      <alignment horizontal="center"/>
    </xf>
    <xf numFmtId="0" fontId="38" fillId="25" borderId="0" xfId="0" applyFont="1" applyFill="1" applyAlignment="1">
      <alignment horizontal="center" vertical="center" wrapText="1"/>
    </xf>
    <xf numFmtId="0" fontId="38" fillId="16" borderId="0" xfId="0" applyFont="1" applyFill="1" applyAlignment="1">
      <alignment horizontal="center" vertical="center" wrapText="1"/>
    </xf>
    <xf numFmtId="3" fontId="1" fillId="23" borderId="2" xfId="0" applyNumberFormat="1" applyFont="1" applyFill="1" applyBorder="1" applyAlignment="1">
      <alignment horizontal="center" vertical="center" wrapText="1"/>
    </xf>
    <xf numFmtId="3" fontId="1" fillId="23" borderId="3" xfId="0" applyNumberFormat="1" applyFont="1" applyFill="1" applyBorder="1" applyAlignment="1">
      <alignment horizontal="center" vertical="center" wrapText="1"/>
    </xf>
    <xf numFmtId="3" fontId="1" fillId="23" borderId="6" xfId="0" applyNumberFormat="1" applyFont="1" applyFill="1" applyBorder="1" applyAlignment="1">
      <alignment horizontal="center" vertical="center" wrapText="1"/>
    </xf>
    <xf numFmtId="0" fontId="28" fillId="0" borderId="63" xfId="0" applyFont="1" applyBorder="1" applyAlignment="1">
      <alignment horizontal="center"/>
    </xf>
    <xf numFmtId="0" fontId="28" fillId="0" borderId="69" xfId="0" applyFont="1" applyBorder="1" applyAlignment="1">
      <alignment horizontal="center"/>
    </xf>
    <xf numFmtId="0" fontId="28" fillId="0" borderId="75" xfId="0" applyFont="1" applyBorder="1" applyAlignment="1">
      <alignment horizontal="center"/>
    </xf>
    <xf numFmtId="0" fontId="28" fillId="0" borderId="11" xfId="0" applyFont="1" applyBorder="1" applyAlignment="1">
      <alignment horizontal="center"/>
    </xf>
    <xf numFmtId="0" fontId="1" fillId="23" borderId="51" xfId="0" applyFont="1" applyFill="1" applyBorder="1" applyAlignment="1">
      <alignment horizontal="center" vertical="center" wrapText="1"/>
    </xf>
    <xf numFmtId="0" fontId="1" fillId="23" borderId="21" xfId="0" applyFont="1" applyFill="1" applyBorder="1" applyAlignment="1">
      <alignment horizontal="center" vertical="center" wrapText="1"/>
    </xf>
    <xf numFmtId="0" fontId="1" fillId="23" borderId="12" xfId="0" applyFont="1" applyFill="1" applyBorder="1" applyAlignment="1">
      <alignment horizontal="center" vertical="center" wrapText="1"/>
    </xf>
    <xf numFmtId="0" fontId="1" fillId="23" borderId="8" xfId="0" applyFont="1" applyFill="1" applyBorder="1" applyAlignment="1">
      <alignment horizontal="center" vertical="center" wrapText="1"/>
    </xf>
    <xf numFmtId="0" fontId="1" fillId="23" borderId="9" xfId="0" applyFont="1" applyFill="1" applyBorder="1" applyAlignment="1">
      <alignment horizontal="center" vertical="center" wrapText="1"/>
    </xf>
    <xf numFmtId="0" fontId="1" fillId="23" borderId="11" xfId="0" applyFont="1" applyFill="1" applyBorder="1" applyAlignment="1">
      <alignment horizontal="center" vertical="center" wrapText="1"/>
    </xf>
    <xf numFmtId="0" fontId="1" fillId="23" borderId="4" xfId="0" applyFont="1" applyFill="1" applyBorder="1" applyAlignment="1">
      <alignment horizontal="center" vertical="center" wrapText="1"/>
    </xf>
    <xf numFmtId="0" fontId="1" fillId="23" borderId="5" xfId="0" applyFont="1" applyFill="1" applyBorder="1" applyAlignment="1">
      <alignment horizontal="center" vertical="center" wrapText="1"/>
    </xf>
    <xf numFmtId="0" fontId="27" fillId="0" borderId="74" xfId="0" applyFont="1" applyBorder="1" applyAlignment="1">
      <alignment horizontal="center" vertical="center" wrapText="1"/>
    </xf>
    <xf numFmtId="0" fontId="27" fillId="0" borderId="46" xfId="0" applyFont="1" applyBorder="1" applyAlignment="1">
      <alignment horizontal="center" vertical="center" wrapText="1"/>
    </xf>
    <xf numFmtId="0" fontId="27" fillId="0" borderId="58" xfId="0" applyFont="1" applyBorder="1" applyAlignment="1">
      <alignment horizontal="center" vertical="center" wrapText="1"/>
    </xf>
    <xf numFmtId="0" fontId="29" fillId="0" borderId="60" xfId="0" applyFont="1" applyBorder="1" applyAlignment="1">
      <alignment horizontal="center" vertical="center"/>
    </xf>
    <xf numFmtId="0" fontId="29" fillId="0" borderId="20" xfId="0" applyFont="1" applyBorder="1" applyAlignment="1">
      <alignment horizontal="center" vertical="center"/>
    </xf>
    <xf numFmtId="0" fontId="29" fillId="0" borderId="9" xfId="0" applyFont="1" applyBorder="1" applyAlignment="1">
      <alignment horizontal="center" vertical="center"/>
    </xf>
    <xf numFmtId="0" fontId="29" fillId="0" borderId="10" xfId="0" applyFont="1" applyBorder="1" applyAlignment="1">
      <alignment horizontal="center" vertical="center"/>
    </xf>
    <xf numFmtId="44" fontId="1" fillId="23" borderId="71" xfId="1" applyFont="1" applyFill="1" applyBorder="1" applyAlignment="1">
      <alignment horizontal="center" vertical="center" wrapText="1"/>
    </xf>
    <xf numFmtId="44" fontId="1" fillId="23" borderId="30" xfId="1" applyFont="1" applyFill="1" applyBorder="1" applyAlignment="1">
      <alignment horizontal="center" vertical="center" wrapText="1"/>
    </xf>
    <xf numFmtId="165" fontId="27" fillId="0" borderId="57" xfId="0" applyNumberFormat="1" applyFont="1" applyBorder="1" applyAlignment="1">
      <alignment horizontal="center" vertical="center" wrapText="1"/>
    </xf>
    <xf numFmtId="165" fontId="27" fillId="0" borderId="72" xfId="0" applyNumberFormat="1" applyFont="1" applyBorder="1" applyAlignment="1">
      <alignment horizontal="center" vertical="center" wrapText="1"/>
    </xf>
    <xf numFmtId="165" fontId="27" fillId="0" borderId="73" xfId="0" applyNumberFormat="1" applyFont="1" applyBorder="1" applyAlignment="1">
      <alignment horizontal="center" vertical="center" wrapText="1"/>
    </xf>
    <xf numFmtId="0" fontId="26" fillId="0" borderId="17" xfId="0" applyFont="1" applyBorder="1" applyAlignment="1">
      <alignment horizontal="left" vertical="center" wrapText="1"/>
    </xf>
    <xf numFmtId="0" fontId="26" fillId="0" borderId="18" xfId="0" applyFont="1" applyBorder="1" applyAlignment="1">
      <alignment horizontal="left"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27" fillId="0" borderId="24"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26" xfId="0" applyFont="1" applyBorder="1" applyAlignment="1">
      <alignment horizontal="center" vertical="center" wrapText="1"/>
    </xf>
    <xf numFmtId="164" fontId="2" fillId="3" borderId="50" xfId="0" applyNumberFormat="1" applyFont="1" applyFill="1" applyBorder="1" applyAlignment="1">
      <alignment horizontal="center" vertical="center" wrapText="1"/>
    </xf>
    <xf numFmtId="164" fontId="2" fillId="3" borderId="42" xfId="0" applyNumberFormat="1" applyFont="1" applyFill="1" applyBorder="1" applyAlignment="1">
      <alignment horizontal="center" vertical="center" wrapText="1"/>
    </xf>
    <xf numFmtId="0" fontId="2" fillId="16" borderId="44" xfId="0" applyFont="1" applyFill="1" applyBorder="1" applyAlignment="1">
      <alignment horizontal="center" vertical="center" wrapText="1"/>
    </xf>
    <xf numFmtId="0" fontId="2" fillId="16" borderId="70" xfId="0" applyFont="1" applyFill="1" applyBorder="1" applyAlignment="1">
      <alignment horizontal="center" vertical="center" wrapText="1"/>
    </xf>
    <xf numFmtId="0" fontId="24" fillId="0" borderId="42" xfId="0" applyFont="1" applyBorder="1" applyAlignment="1">
      <alignment horizontal="center" vertical="center" wrapText="1"/>
    </xf>
    <xf numFmtId="0" fontId="24" fillId="0" borderId="49" xfId="0" applyFont="1" applyBorder="1" applyAlignment="1">
      <alignment horizontal="center" vertical="center" wrapText="1"/>
    </xf>
    <xf numFmtId="164" fontId="2" fillId="3" borderId="52" xfId="0" applyNumberFormat="1" applyFont="1" applyFill="1" applyBorder="1" applyAlignment="1">
      <alignment horizontal="center" vertical="center" wrapText="1"/>
    </xf>
    <xf numFmtId="0" fontId="2" fillId="3" borderId="66" xfId="0" applyFont="1" applyFill="1" applyBorder="1" applyAlignment="1">
      <alignment horizontal="center" vertical="center" wrapText="1"/>
    </xf>
    <xf numFmtId="0" fontId="2" fillId="3" borderId="94" xfId="0" applyFont="1" applyFill="1" applyBorder="1" applyAlignment="1">
      <alignment horizontal="center" vertical="center" wrapText="1"/>
    </xf>
    <xf numFmtId="0" fontId="2" fillId="3" borderId="42" xfId="0" applyFont="1" applyFill="1" applyBorder="1" applyAlignment="1">
      <alignment horizontal="center" vertical="center" wrapText="1"/>
    </xf>
    <xf numFmtId="0" fontId="23" fillId="0" borderId="55" xfId="0" applyFont="1" applyBorder="1" applyAlignment="1">
      <alignment horizontal="center" vertical="center" wrapText="1"/>
    </xf>
    <xf numFmtId="0" fontId="23" fillId="0" borderId="47" xfId="0" applyFont="1" applyBorder="1" applyAlignment="1">
      <alignment horizontal="center" vertical="center" wrapText="1"/>
    </xf>
    <xf numFmtId="0" fontId="23" fillId="0" borderId="56" xfId="0" applyFont="1" applyBorder="1" applyAlignment="1">
      <alignment horizontal="center" vertical="center" wrapText="1"/>
    </xf>
    <xf numFmtId="164" fontId="2" fillId="3" borderId="41" xfId="0" applyNumberFormat="1" applyFont="1" applyFill="1" applyBorder="1" applyAlignment="1">
      <alignment horizontal="center" vertical="center" wrapText="1"/>
    </xf>
    <xf numFmtId="0" fontId="2" fillId="3" borderId="43"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44" xfId="0" applyFont="1" applyFill="1" applyBorder="1" applyAlignment="1">
      <alignment horizontal="center" vertical="center" wrapText="1"/>
    </xf>
    <xf numFmtId="0" fontId="2" fillId="3" borderId="70"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31" fillId="0" borderId="55" xfId="0" applyFont="1" applyBorder="1" applyAlignment="1">
      <alignment horizontal="center" vertical="center" wrapText="1"/>
    </xf>
    <xf numFmtId="0" fontId="31" fillId="0" borderId="47" xfId="0" applyFont="1" applyBorder="1" applyAlignment="1">
      <alignment horizontal="center" vertical="center" wrapText="1"/>
    </xf>
    <xf numFmtId="0" fontId="31" fillId="0" borderId="56" xfId="0" applyFont="1" applyBorder="1" applyAlignment="1">
      <alignment horizontal="center" vertical="center" wrapText="1"/>
    </xf>
    <xf numFmtId="0" fontId="2" fillId="3" borderId="65" xfId="0" applyFont="1" applyFill="1" applyBorder="1" applyAlignment="1">
      <alignment horizontal="center" vertical="center" wrapText="1"/>
    </xf>
    <xf numFmtId="0" fontId="2" fillId="16" borderId="67" xfId="0" applyFont="1" applyFill="1" applyBorder="1" applyAlignment="1">
      <alignment horizontal="center" vertical="center" wrapText="1"/>
    </xf>
  </cellXfs>
  <cellStyles count="2">
    <cellStyle name="Moeda" xfId="1" builtinId="4"/>
    <cellStyle name="Normal" xfId="0" builtinId="0"/>
  </cellStyles>
  <dxfs count="113">
    <dxf>
      <font>
        <b/>
        <i val="0"/>
      </font>
      <fill>
        <gradientFill degree="90">
          <stop position="0">
            <color rgb="FFFF0066"/>
          </stop>
          <stop position="1">
            <color rgb="FFFF0000"/>
          </stop>
        </gradientFill>
      </fill>
    </dxf>
    <dxf>
      <font>
        <color theme="0"/>
      </font>
    </dxf>
    <dxf>
      <font>
        <color theme="0"/>
      </font>
    </dxf>
    <dxf>
      <font>
        <color theme="0"/>
      </font>
      <fill>
        <patternFill>
          <bgColor theme="0"/>
        </patternFill>
      </fill>
    </dxf>
    <dxf>
      <font>
        <color theme="0"/>
      </font>
    </dxf>
    <dxf>
      <font>
        <color theme="0"/>
      </font>
      <fill>
        <patternFill>
          <bgColor theme="0"/>
        </patternFill>
      </fill>
    </dxf>
    <dxf>
      <font>
        <color theme="0"/>
      </font>
    </dxf>
    <dxf>
      <font>
        <color theme="0"/>
      </font>
      <fill>
        <patternFill>
          <bgColor theme="0"/>
        </patternFill>
      </fill>
    </dxf>
    <dxf>
      <font>
        <color theme="0"/>
      </font>
    </dxf>
    <dxf>
      <font>
        <color theme="0"/>
      </font>
      <fill>
        <patternFill>
          <bgColor theme="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dxf>
    <dxf>
      <fill>
        <patternFill>
          <bgColor theme="9" tint="0.59996337778862885"/>
        </patternFill>
      </fill>
    </dxf>
    <dxf>
      <font>
        <color theme="0"/>
      </font>
    </dxf>
    <dxf>
      <fill>
        <patternFill>
          <bgColor theme="9" tint="0.59996337778862885"/>
        </patternFill>
      </fill>
    </dxf>
    <dxf>
      <fill>
        <patternFill>
          <bgColor theme="9" tint="0.59996337778862885"/>
        </patternFill>
      </fill>
    </dxf>
    <dxf>
      <font>
        <color theme="0"/>
      </font>
    </dxf>
    <dxf>
      <fill>
        <patternFill>
          <bgColor rgb="FFFF6565"/>
        </patternFill>
      </fill>
    </dxf>
    <dxf>
      <font>
        <color theme="0"/>
      </font>
    </dxf>
    <dxf>
      <font>
        <color theme="0"/>
      </font>
    </dxf>
    <dxf>
      <fill>
        <patternFill>
          <bgColor theme="9" tint="0.59996337778862885"/>
        </patternFill>
      </fill>
    </dxf>
    <dxf>
      <fill>
        <gradientFill degree="90">
          <stop position="0">
            <color rgb="FFFF6600"/>
          </stop>
          <stop position="1">
            <color rgb="FFFF0000"/>
          </stop>
        </gradientFill>
      </fill>
    </dxf>
    <dxf>
      <font>
        <color theme="0"/>
      </font>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2"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dxf>
    <dxf>
      <font>
        <strike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strike val="0"/>
        <outline val="0"/>
        <shadow val="0"/>
        <u val="none"/>
        <vertAlign val="baseline"/>
        <color auto="1"/>
        <name val="Calibri"/>
        <family val="2"/>
        <scheme val="minor"/>
      </font>
      <alignment horizont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strike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minor"/>
      </font>
      <alignment horizontal="center"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alignment horizontal="lef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scheme val="minor"/>
      </font>
      <alignment horizontal="left"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3" formatCode="#,##0"/>
      <fill>
        <patternFill patternType="solid">
          <fgColor indexed="64"/>
          <bgColor theme="9"/>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3"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fill>
        <patternFill patternType="solid">
          <fgColor indexed="64"/>
          <bgColor theme="9"/>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 formatCode="0"/>
      <alignment horizontal="left" vertical="bottom" textRotation="0" wrapText="0" indent="0" justifyLastLine="0" shrinkToFit="0" readingOrder="0"/>
      <border diagonalUp="0" diagonalDown="0" outline="0">
        <left/>
        <right style="thin">
          <color indexed="64"/>
        </right>
        <top/>
        <bottom style="thin">
          <color indexed="64"/>
        </bottom>
      </border>
    </dxf>
    <dxf>
      <border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Calibri"/>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D6D"/>
      <color rgb="FF0000CC"/>
      <color rgb="FF66FF66"/>
      <color rgb="FFFF6565"/>
      <color rgb="FF66CCFF"/>
      <color rgb="FFFF8585"/>
      <color rgb="FFFF7575"/>
      <color rgb="FFFF0000"/>
      <color rgb="FFFF0066"/>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1</xdr:rowOff>
    </xdr:from>
    <xdr:to>
      <xdr:col>1</xdr:col>
      <xdr:colOff>771525</xdr:colOff>
      <xdr:row>1</xdr:row>
      <xdr:rowOff>428625</xdr:rowOff>
    </xdr:to>
    <xdr:pic>
      <xdr:nvPicPr>
        <xdr:cNvPr id="2" name="0 Imagen">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
          <a:ext cx="1381125" cy="6286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95251</xdr:colOff>
      <xdr:row>0</xdr:row>
      <xdr:rowOff>31286</xdr:rowOff>
    </xdr:from>
    <xdr:to>
      <xdr:col>2</xdr:col>
      <xdr:colOff>255075</xdr:colOff>
      <xdr:row>1</xdr:row>
      <xdr:rowOff>249331</xdr:rowOff>
    </xdr:to>
    <xdr:pic>
      <xdr:nvPicPr>
        <xdr:cNvPr id="3" name="0 Imagen">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1" y="31286"/>
          <a:ext cx="1325236" cy="486986"/>
        </a:xfrm>
        <a:prstGeom prst="rect">
          <a:avLst/>
        </a:prstGeom>
      </xdr:spPr>
    </xdr:pic>
    <xdr:clientData/>
  </xdr:twoCellAnchor>
  <xdr:oneCellAnchor>
    <xdr:from>
      <xdr:col>32</xdr:col>
      <xdr:colOff>333375</xdr:colOff>
      <xdr:row>2</xdr:row>
      <xdr:rowOff>214311</xdr:rowOff>
    </xdr:from>
    <xdr:ext cx="1857375" cy="264560"/>
    <xdr:sp macro="" textlink="">
      <xdr:nvSpPr>
        <xdr:cNvPr id="2" name="CaixaDeTexto 1">
          <a:extLst>
            <a:ext uri="{FF2B5EF4-FFF2-40B4-BE49-F238E27FC236}">
              <a16:creationId xmlns:a16="http://schemas.microsoft.com/office/drawing/2014/main" id="{1EC8AC9B-708F-C1E2-5ABD-BBDA9E551F5A}"/>
            </a:ext>
          </a:extLst>
        </xdr:cNvPr>
        <xdr:cNvSpPr txBox="1"/>
      </xdr:nvSpPr>
      <xdr:spPr>
        <a:xfrm>
          <a:off x="37635656" y="1619249"/>
          <a:ext cx="1857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29</xdr:col>
      <xdr:colOff>2222967</xdr:colOff>
      <xdr:row>0</xdr:row>
      <xdr:rowOff>157583</xdr:rowOff>
    </xdr:from>
    <xdr:ext cx="1514069" cy="311496"/>
    <xdr:sp macro="" textlink="">
      <xdr:nvSpPr>
        <xdr:cNvPr id="4" name="CaixaDeTexto 3">
          <a:extLst>
            <a:ext uri="{FF2B5EF4-FFF2-40B4-BE49-F238E27FC236}">
              <a16:creationId xmlns:a16="http://schemas.microsoft.com/office/drawing/2014/main" id="{16342C13-3DFD-95AF-2C9F-86D26CFB1A41}"/>
            </a:ext>
          </a:extLst>
        </xdr:cNvPr>
        <xdr:cNvSpPr txBox="1"/>
      </xdr:nvSpPr>
      <xdr:spPr>
        <a:xfrm>
          <a:off x="37790438" y="157583"/>
          <a:ext cx="151406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400"/>
            <a:t>CÓD.: FOR.FRO.06</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276226</xdr:colOff>
      <xdr:row>0</xdr:row>
      <xdr:rowOff>123825</xdr:rowOff>
    </xdr:from>
    <xdr:to>
      <xdr:col>2</xdr:col>
      <xdr:colOff>895350</xdr:colOff>
      <xdr:row>0</xdr:row>
      <xdr:rowOff>561975</xdr:rowOff>
    </xdr:to>
    <xdr:pic>
      <xdr:nvPicPr>
        <xdr:cNvPr id="2" name="0 Imagen">
          <a:extLst>
            <a:ext uri="{FF2B5EF4-FFF2-40B4-BE49-F238E27FC236}">
              <a16:creationId xmlns:a16="http://schemas.microsoft.com/office/drawing/2014/main" id="{6C78CAC2-C434-48D7-B4D9-69A2D97B9ED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1" y="123825"/>
          <a:ext cx="619124" cy="438150"/>
        </a:xfrm>
        <a:prstGeom prst="rect">
          <a:avLst/>
        </a:prstGeom>
      </xdr:spPr>
    </xdr:pic>
    <xdr:clientData/>
  </xdr:twoCellAnchor>
  <xdr:twoCellAnchor editAs="oneCell">
    <xdr:from>
      <xdr:col>1</xdr:col>
      <xdr:colOff>276226</xdr:colOff>
      <xdr:row>0</xdr:row>
      <xdr:rowOff>133350</xdr:rowOff>
    </xdr:from>
    <xdr:to>
      <xdr:col>1</xdr:col>
      <xdr:colOff>1019176</xdr:colOff>
      <xdr:row>0</xdr:row>
      <xdr:rowOff>542925</xdr:rowOff>
    </xdr:to>
    <xdr:pic>
      <xdr:nvPicPr>
        <xdr:cNvPr id="3" name="0 Imagen">
          <a:extLst>
            <a:ext uri="{FF2B5EF4-FFF2-40B4-BE49-F238E27FC236}">
              <a16:creationId xmlns:a16="http://schemas.microsoft.com/office/drawing/2014/main" id="{62134267-D64F-4ADD-B63B-D81F121E98A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5826" y="133350"/>
          <a:ext cx="742950" cy="409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209551</xdr:colOff>
      <xdr:row>0</xdr:row>
      <xdr:rowOff>76200</xdr:rowOff>
    </xdr:from>
    <xdr:to>
      <xdr:col>0</xdr:col>
      <xdr:colOff>1009650</xdr:colOff>
      <xdr:row>0</xdr:row>
      <xdr:rowOff>400050</xdr:rowOff>
    </xdr:to>
    <xdr:pic>
      <xdr:nvPicPr>
        <xdr:cNvPr id="2" name="0 Imagen">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1" y="76200"/>
          <a:ext cx="800099" cy="323850"/>
        </a:xfrm>
        <a:prstGeom prst="rect">
          <a:avLst/>
        </a:prstGeom>
      </xdr:spPr>
    </xdr:pic>
    <xdr:clientData/>
  </xdr:twoCellAnchor>
  <xdr:twoCellAnchor editAs="oneCell">
    <xdr:from>
      <xdr:col>0</xdr:col>
      <xdr:colOff>285751</xdr:colOff>
      <xdr:row>133</xdr:row>
      <xdr:rowOff>19050</xdr:rowOff>
    </xdr:from>
    <xdr:to>
      <xdr:col>0</xdr:col>
      <xdr:colOff>895350</xdr:colOff>
      <xdr:row>133</xdr:row>
      <xdr:rowOff>285750</xdr:rowOff>
    </xdr:to>
    <xdr:pic>
      <xdr:nvPicPr>
        <xdr:cNvPr id="4" name="0 Imagen">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1" y="12201525"/>
          <a:ext cx="609599" cy="266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203200</xdr:colOff>
      <xdr:row>0</xdr:row>
      <xdr:rowOff>165100</xdr:rowOff>
    </xdr:from>
    <xdr:to>
      <xdr:col>1</xdr:col>
      <xdr:colOff>596900</xdr:colOff>
      <xdr:row>0</xdr:row>
      <xdr:rowOff>901700</xdr:rowOff>
    </xdr:to>
    <xdr:pic>
      <xdr:nvPicPr>
        <xdr:cNvPr id="2" name="0 Imagen">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3200" y="165100"/>
          <a:ext cx="1511300" cy="736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123825</xdr:colOff>
      <xdr:row>0</xdr:row>
      <xdr:rowOff>95249</xdr:rowOff>
    </xdr:from>
    <xdr:to>
      <xdr:col>1</xdr:col>
      <xdr:colOff>873691</xdr:colOff>
      <xdr:row>1</xdr:row>
      <xdr:rowOff>180974</xdr:rowOff>
    </xdr:to>
    <xdr:pic>
      <xdr:nvPicPr>
        <xdr:cNvPr id="2" name="Imagem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23825" y="95249"/>
          <a:ext cx="1359466" cy="485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657225</xdr:colOff>
      <xdr:row>0</xdr:row>
      <xdr:rowOff>104775</xdr:rowOff>
    </xdr:from>
    <xdr:to>
      <xdr:col>12</xdr:col>
      <xdr:colOff>0</xdr:colOff>
      <xdr:row>2</xdr:row>
      <xdr:rowOff>47625</xdr:rowOff>
    </xdr:to>
    <xdr:sp macro="" textlink="">
      <xdr:nvSpPr>
        <xdr:cNvPr id="5" name="Retângulo: Cantos Arredondados 4">
          <a:extLst>
            <a:ext uri="{FF2B5EF4-FFF2-40B4-BE49-F238E27FC236}">
              <a16:creationId xmlns:a16="http://schemas.microsoft.com/office/drawing/2014/main" id="{9EA8E5A9-07AE-4095-9822-DEDA5C7E468C}"/>
            </a:ext>
          </a:extLst>
        </xdr:cNvPr>
        <xdr:cNvSpPr/>
      </xdr:nvSpPr>
      <xdr:spPr>
        <a:xfrm>
          <a:off x="4829175" y="104775"/>
          <a:ext cx="4153650" cy="34290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pt-BR" sz="1400" b="1"/>
            <a:t>CONTROLE</a:t>
          </a:r>
          <a:r>
            <a:rPr lang="pt-BR" sz="1400" b="1" baseline="0"/>
            <a:t> DE KM - 2024</a:t>
          </a:r>
          <a:endParaRPr lang="pt-BR" sz="14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1038226</xdr:colOff>
      <xdr:row>0</xdr:row>
      <xdr:rowOff>117475</xdr:rowOff>
    </xdr:from>
    <xdr:to>
      <xdr:col>9</xdr:col>
      <xdr:colOff>1130301</xdr:colOff>
      <xdr:row>2</xdr:row>
      <xdr:rowOff>98425</xdr:rowOff>
    </xdr:to>
    <xdr:sp macro="" textlink="">
      <xdr:nvSpPr>
        <xdr:cNvPr id="2" name="Retângulo: Cantos Arredondados 1">
          <a:extLst>
            <a:ext uri="{FF2B5EF4-FFF2-40B4-BE49-F238E27FC236}">
              <a16:creationId xmlns:a16="http://schemas.microsoft.com/office/drawing/2014/main" id="{00000000-0008-0000-0B00-000002000000}"/>
            </a:ext>
          </a:extLst>
        </xdr:cNvPr>
        <xdr:cNvSpPr/>
      </xdr:nvSpPr>
      <xdr:spPr>
        <a:xfrm>
          <a:off x="5048251" y="117475"/>
          <a:ext cx="3235325" cy="36195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pt-BR" sz="1400" b="1"/>
            <a:t>CONTROLE</a:t>
          </a:r>
          <a:r>
            <a:rPr lang="pt-BR" sz="1400" b="1" baseline="0"/>
            <a:t> DE KM - 2024</a:t>
          </a:r>
          <a:endParaRPr lang="pt-BR" sz="14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346075</xdr:colOff>
      <xdr:row>0</xdr:row>
      <xdr:rowOff>114300</xdr:rowOff>
    </xdr:from>
    <xdr:to>
      <xdr:col>9</xdr:col>
      <xdr:colOff>670675</xdr:colOff>
      <xdr:row>2</xdr:row>
      <xdr:rowOff>57150</xdr:rowOff>
    </xdr:to>
    <xdr:sp macro="" textlink="">
      <xdr:nvSpPr>
        <xdr:cNvPr id="2" name="Retângulo: Cantos Arredondados 1">
          <a:extLst>
            <a:ext uri="{FF2B5EF4-FFF2-40B4-BE49-F238E27FC236}">
              <a16:creationId xmlns:a16="http://schemas.microsoft.com/office/drawing/2014/main" id="{00000000-0008-0000-0C00-000002000000}"/>
            </a:ext>
          </a:extLst>
        </xdr:cNvPr>
        <xdr:cNvSpPr/>
      </xdr:nvSpPr>
      <xdr:spPr>
        <a:xfrm>
          <a:off x="4213225" y="114300"/>
          <a:ext cx="4153650" cy="34290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pt-BR" sz="1400" b="1"/>
            <a:t>CONTROLE</a:t>
          </a:r>
          <a:r>
            <a:rPr lang="pt-BR" sz="1400" b="1" baseline="0"/>
            <a:t> DE KM - 2024</a:t>
          </a:r>
          <a:endParaRPr lang="pt-BR" sz="14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0</xdr:row>
      <xdr:rowOff>69850</xdr:rowOff>
    </xdr:from>
    <xdr:to>
      <xdr:col>9</xdr:col>
      <xdr:colOff>280150</xdr:colOff>
      <xdr:row>2</xdr:row>
      <xdr:rowOff>93182</xdr:rowOff>
    </xdr:to>
    <xdr:sp macro="" textlink="">
      <xdr:nvSpPr>
        <xdr:cNvPr id="3" name="Retângulo: Cantos Arredondados 2">
          <a:extLst>
            <a:ext uri="{FF2B5EF4-FFF2-40B4-BE49-F238E27FC236}">
              <a16:creationId xmlns:a16="http://schemas.microsoft.com/office/drawing/2014/main" id="{45F070A9-E1ED-43BB-A841-6E8A903B733C}"/>
            </a:ext>
          </a:extLst>
        </xdr:cNvPr>
        <xdr:cNvSpPr/>
      </xdr:nvSpPr>
      <xdr:spPr>
        <a:xfrm>
          <a:off x="4343400" y="69850"/>
          <a:ext cx="4137775" cy="404332"/>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pt-BR" sz="1400" b="1"/>
            <a:t>CONTROLE</a:t>
          </a:r>
          <a:r>
            <a:rPr lang="pt-BR" sz="1400" b="1" baseline="0"/>
            <a:t> DE KM - 2024</a:t>
          </a:r>
          <a:endParaRPr lang="pt-BR" sz="1400" b="1"/>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304800</xdr:colOff>
      <xdr:row>1</xdr:row>
      <xdr:rowOff>114300</xdr:rowOff>
    </xdr:to>
    <xdr:sp macro="" textlink="">
      <xdr:nvSpPr>
        <xdr:cNvPr id="2" name="AutoShape 1">
          <a:extLst>
            <a:ext uri="{FF2B5EF4-FFF2-40B4-BE49-F238E27FC236}">
              <a16:creationId xmlns:a16="http://schemas.microsoft.com/office/drawing/2014/main" id="{00000000-0008-0000-0F00-000002000000}"/>
            </a:ext>
          </a:extLst>
        </xdr:cNvPr>
        <xdr:cNvSpPr>
          <a:spLocks noChangeAspect="1" noChangeArrowheads="1"/>
        </xdr:cNvSpPr>
      </xdr:nvSpPr>
      <xdr:spPr bwMode="auto">
        <a:xfrm>
          <a:off x="1685925" y="322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0</xdr:row>
      <xdr:rowOff>0</xdr:rowOff>
    </xdr:from>
    <xdr:ext cx="304800" cy="304800"/>
    <xdr:sp macro="" textlink="">
      <xdr:nvSpPr>
        <xdr:cNvPr id="3" name="AutoShape 1">
          <a:extLst>
            <a:ext uri="{FF2B5EF4-FFF2-40B4-BE49-F238E27FC236}">
              <a16:creationId xmlns:a16="http://schemas.microsoft.com/office/drawing/2014/main" id="{00000000-0008-0000-0F00-000003000000}"/>
            </a:ext>
          </a:extLst>
        </xdr:cNvPr>
        <xdr:cNvSpPr>
          <a:spLocks noChangeAspect="1" noChangeArrowheads="1"/>
        </xdr:cNvSpPr>
      </xdr:nvSpPr>
      <xdr:spPr bwMode="auto">
        <a:xfrm>
          <a:off x="6667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 name="AutoShape 1">
          <a:extLst>
            <a:ext uri="{FF2B5EF4-FFF2-40B4-BE49-F238E27FC236}">
              <a16:creationId xmlns:a16="http://schemas.microsoft.com/office/drawing/2014/main" id="{00000000-0008-0000-0F00-000004000000}"/>
            </a:ext>
          </a:extLst>
        </xdr:cNvPr>
        <xdr:cNvSpPr>
          <a:spLocks noChangeAspect="1" noChangeArrowheads="1"/>
        </xdr:cNvSpPr>
      </xdr:nvSpPr>
      <xdr:spPr bwMode="auto">
        <a:xfrm>
          <a:off x="6667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5" name="AutoShape 1">
          <a:extLst>
            <a:ext uri="{FF2B5EF4-FFF2-40B4-BE49-F238E27FC236}">
              <a16:creationId xmlns:a16="http://schemas.microsoft.com/office/drawing/2014/main" id="{00000000-0008-0000-0F00-000005000000}"/>
            </a:ext>
          </a:extLst>
        </xdr:cNvPr>
        <xdr:cNvSpPr>
          <a:spLocks noChangeAspect="1" noChangeArrowheads="1"/>
        </xdr:cNvSpPr>
      </xdr:nvSpPr>
      <xdr:spPr bwMode="auto">
        <a:xfrm>
          <a:off x="6667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6" name="AutoShape 1">
          <a:extLst>
            <a:ext uri="{FF2B5EF4-FFF2-40B4-BE49-F238E27FC236}">
              <a16:creationId xmlns:a16="http://schemas.microsoft.com/office/drawing/2014/main" id="{00000000-0008-0000-0F00-000006000000}"/>
            </a:ext>
          </a:extLst>
        </xdr:cNvPr>
        <xdr:cNvSpPr>
          <a:spLocks noChangeAspect="1" noChangeArrowheads="1"/>
        </xdr:cNvSpPr>
      </xdr:nvSpPr>
      <xdr:spPr bwMode="auto">
        <a:xfrm>
          <a:off x="6667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7" name="AutoShape 1">
          <a:extLst>
            <a:ext uri="{FF2B5EF4-FFF2-40B4-BE49-F238E27FC236}">
              <a16:creationId xmlns:a16="http://schemas.microsoft.com/office/drawing/2014/main" id="{00000000-0008-0000-0F00-000007000000}"/>
            </a:ext>
          </a:extLst>
        </xdr:cNvPr>
        <xdr:cNvSpPr>
          <a:spLocks noChangeAspect="1" noChangeArrowheads="1"/>
        </xdr:cNvSpPr>
      </xdr:nvSpPr>
      <xdr:spPr bwMode="auto">
        <a:xfrm>
          <a:off x="6667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8" name="AutoShape 1">
          <a:extLst>
            <a:ext uri="{FF2B5EF4-FFF2-40B4-BE49-F238E27FC236}">
              <a16:creationId xmlns:a16="http://schemas.microsoft.com/office/drawing/2014/main" id="{00000000-0008-0000-0F00-000008000000}"/>
            </a:ext>
          </a:extLst>
        </xdr:cNvPr>
        <xdr:cNvSpPr>
          <a:spLocks noChangeAspect="1" noChangeArrowheads="1"/>
        </xdr:cNvSpPr>
      </xdr:nvSpPr>
      <xdr:spPr bwMode="auto">
        <a:xfrm>
          <a:off x="66675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9" name="AutoShape 1">
          <a:extLst>
            <a:ext uri="{FF2B5EF4-FFF2-40B4-BE49-F238E27FC236}">
              <a16:creationId xmlns:a16="http://schemas.microsoft.com/office/drawing/2014/main" id="{00000000-0008-0000-0F00-000009000000}"/>
            </a:ext>
          </a:extLst>
        </xdr:cNvPr>
        <xdr:cNvSpPr>
          <a:spLocks noChangeAspect="1" noChangeArrowheads="1"/>
        </xdr:cNvSpPr>
      </xdr:nvSpPr>
      <xdr:spPr bwMode="auto">
        <a:xfrm>
          <a:off x="66675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0" name="AutoShape 1">
          <a:extLst>
            <a:ext uri="{FF2B5EF4-FFF2-40B4-BE49-F238E27FC236}">
              <a16:creationId xmlns:a16="http://schemas.microsoft.com/office/drawing/2014/main" id="{00000000-0008-0000-0F00-00000A000000}"/>
            </a:ext>
          </a:extLst>
        </xdr:cNvPr>
        <xdr:cNvSpPr>
          <a:spLocks noChangeAspect="1" noChangeArrowheads="1"/>
        </xdr:cNvSpPr>
      </xdr:nvSpPr>
      <xdr:spPr bwMode="auto">
        <a:xfrm>
          <a:off x="9715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1" name="AutoShape 1">
          <a:extLst>
            <a:ext uri="{FF2B5EF4-FFF2-40B4-BE49-F238E27FC236}">
              <a16:creationId xmlns:a16="http://schemas.microsoft.com/office/drawing/2014/main" id="{00000000-0008-0000-0F00-00000B000000}"/>
            </a:ext>
          </a:extLst>
        </xdr:cNvPr>
        <xdr:cNvSpPr>
          <a:spLocks noChangeAspect="1" noChangeArrowheads="1"/>
        </xdr:cNvSpPr>
      </xdr:nvSpPr>
      <xdr:spPr bwMode="auto">
        <a:xfrm>
          <a:off x="9715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2" name="AutoShape 1">
          <a:extLst>
            <a:ext uri="{FF2B5EF4-FFF2-40B4-BE49-F238E27FC236}">
              <a16:creationId xmlns:a16="http://schemas.microsoft.com/office/drawing/2014/main" id="{00000000-0008-0000-0F00-00000C000000}"/>
            </a:ext>
          </a:extLst>
        </xdr:cNvPr>
        <xdr:cNvSpPr>
          <a:spLocks noChangeAspect="1" noChangeArrowheads="1"/>
        </xdr:cNvSpPr>
      </xdr:nvSpPr>
      <xdr:spPr bwMode="auto">
        <a:xfrm>
          <a:off x="9715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3" name="AutoShape 1">
          <a:extLst>
            <a:ext uri="{FF2B5EF4-FFF2-40B4-BE49-F238E27FC236}">
              <a16:creationId xmlns:a16="http://schemas.microsoft.com/office/drawing/2014/main" id="{00000000-0008-0000-0F00-00000D000000}"/>
            </a:ext>
          </a:extLst>
        </xdr:cNvPr>
        <xdr:cNvSpPr>
          <a:spLocks noChangeAspect="1" noChangeArrowheads="1"/>
        </xdr:cNvSpPr>
      </xdr:nvSpPr>
      <xdr:spPr bwMode="auto">
        <a:xfrm>
          <a:off x="97155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4" name="AutoShape 1">
          <a:extLst>
            <a:ext uri="{FF2B5EF4-FFF2-40B4-BE49-F238E27FC236}">
              <a16:creationId xmlns:a16="http://schemas.microsoft.com/office/drawing/2014/main" id="{00000000-0008-0000-0F00-00000E000000}"/>
            </a:ext>
          </a:extLst>
        </xdr:cNvPr>
        <xdr:cNvSpPr>
          <a:spLocks noChangeAspect="1" noChangeArrowheads="1"/>
        </xdr:cNvSpPr>
      </xdr:nvSpPr>
      <xdr:spPr bwMode="auto">
        <a:xfrm>
          <a:off x="97155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5" name="AutoShape 1">
          <a:extLst>
            <a:ext uri="{FF2B5EF4-FFF2-40B4-BE49-F238E27FC236}">
              <a16:creationId xmlns:a16="http://schemas.microsoft.com/office/drawing/2014/main" id="{00000000-0008-0000-0F00-00000F000000}"/>
            </a:ext>
          </a:extLst>
        </xdr:cNvPr>
        <xdr:cNvSpPr>
          <a:spLocks noChangeAspect="1" noChangeArrowheads="1"/>
        </xdr:cNvSpPr>
      </xdr:nvSpPr>
      <xdr:spPr bwMode="auto">
        <a:xfrm>
          <a:off x="97155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6" name="AutoShape 1">
          <a:extLst>
            <a:ext uri="{FF2B5EF4-FFF2-40B4-BE49-F238E27FC236}">
              <a16:creationId xmlns:a16="http://schemas.microsoft.com/office/drawing/2014/main" id="{00000000-0008-0000-0F00-000010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7" name="AutoShape 1">
          <a:extLst>
            <a:ext uri="{FF2B5EF4-FFF2-40B4-BE49-F238E27FC236}">
              <a16:creationId xmlns:a16="http://schemas.microsoft.com/office/drawing/2014/main" id="{00000000-0008-0000-0F00-000011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8" name="AutoShape 1">
          <a:extLst>
            <a:ext uri="{FF2B5EF4-FFF2-40B4-BE49-F238E27FC236}">
              <a16:creationId xmlns:a16="http://schemas.microsoft.com/office/drawing/2014/main" id="{00000000-0008-0000-0F00-000012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19" name="AutoShape 1">
          <a:extLst>
            <a:ext uri="{FF2B5EF4-FFF2-40B4-BE49-F238E27FC236}">
              <a16:creationId xmlns:a16="http://schemas.microsoft.com/office/drawing/2014/main" id="{00000000-0008-0000-0F00-000013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0" name="AutoShape 1">
          <a:extLst>
            <a:ext uri="{FF2B5EF4-FFF2-40B4-BE49-F238E27FC236}">
              <a16:creationId xmlns:a16="http://schemas.microsoft.com/office/drawing/2014/main" id="{00000000-0008-0000-0F00-000014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1" name="AutoShape 1">
          <a:extLst>
            <a:ext uri="{FF2B5EF4-FFF2-40B4-BE49-F238E27FC236}">
              <a16:creationId xmlns:a16="http://schemas.microsoft.com/office/drawing/2014/main" id="{00000000-0008-0000-0F00-000015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2" name="AutoShape 1">
          <a:extLst>
            <a:ext uri="{FF2B5EF4-FFF2-40B4-BE49-F238E27FC236}">
              <a16:creationId xmlns:a16="http://schemas.microsoft.com/office/drawing/2014/main" id="{00000000-0008-0000-0F00-000016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3" name="AutoShape 1">
          <a:extLst>
            <a:ext uri="{FF2B5EF4-FFF2-40B4-BE49-F238E27FC236}">
              <a16:creationId xmlns:a16="http://schemas.microsoft.com/office/drawing/2014/main" id="{00000000-0008-0000-0F00-000017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4" name="AutoShape 1">
          <a:extLst>
            <a:ext uri="{FF2B5EF4-FFF2-40B4-BE49-F238E27FC236}">
              <a16:creationId xmlns:a16="http://schemas.microsoft.com/office/drawing/2014/main" id="{00000000-0008-0000-0F00-000018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5" name="AutoShape 1">
          <a:extLst>
            <a:ext uri="{FF2B5EF4-FFF2-40B4-BE49-F238E27FC236}">
              <a16:creationId xmlns:a16="http://schemas.microsoft.com/office/drawing/2014/main" id="{00000000-0008-0000-0F00-000019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6" name="AutoShape 1">
          <a:extLst>
            <a:ext uri="{FF2B5EF4-FFF2-40B4-BE49-F238E27FC236}">
              <a16:creationId xmlns:a16="http://schemas.microsoft.com/office/drawing/2014/main" id="{00000000-0008-0000-0F00-00001A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7" name="AutoShape 1">
          <a:extLst>
            <a:ext uri="{FF2B5EF4-FFF2-40B4-BE49-F238E27FC236}">
              <a16:creationId xmlns:a16="http://schemas.microsoft.com/office/drawing/2014/main" id="{00000000-0008-0000-0F00-00001B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8" name="AutoShape 1">
          <a:extLst>
            <a:ext uri="{FF2B5EF4-FFF2-40B4-BE49-F238E27FC236}">
              <a16:creationId xmlns:a16="http://schemas.microsoft.com/office/drawing/2014/main" id="{00000000-0008-0000-0F00-00001C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29" name="AutoShape 1">
          <a:extLst>
            <a:ext uri="{FF2B5EF4-FFF2-40B4-BE49-F238E27FC236}">
              <a16:creationId xmlns:a16="http://schemas.microsoft.com/office/drawing/2014/main" id="{00000000-0008-0000-0F00-00001D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0" name="AutoShape 1">
          <a:extLst>
            <a:ext uri="{FF2B5EF4-FFF2-40B4-BE49-F238E27FC236}">
              <a16:creationId xmlns:a16="http://schemas.microsoft.com/office/drawing/2014/main" id="{00000000-0008-0000-0F00-00001E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1" name="AutoShape 1">
          <a:extLst>
            <a:ext uri="{FF2B5EF4-FFF2-40B4-BE49-F238E27FC236}">
              <a16:creationId xmlns:a16="http://schemas.microsoft.com/office/drawing/2014/main" id="{00000000-0008-0000-0F00-00001F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2" name="AutoShape 1">
          <a:extLst>
            <a:ext uri="{FF2B5EF4-FFF2-40B4-BE49-F238E27FC236}">
              <a16:creationId xmlns:a16="http://schemas.microsoft.com/office/drawing/2014/main" id="{00000000-0008-0000-0F00-000020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3" name="AutoShape 1">
          <a:extLst>
            <a:ext uri="{FF2B5EF4-FFF2-40B4-BE49-F238E27FC236}">
              <a16:creationId xmlns:a16="http://schemas.microsoft.com/office/drawing/2014/main" id="{00000000-0008-0000-0F00-000021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4" name="AutoShape 1">
          <a:extLst>
            <a:ext uri="{FF2B5EF4-FFF2-40B4-BE49-F238E27FC236}">
              <a16:creationId xmlns:a16="http://schemas.microsoft.com/office/drawing/2014/main" id="{00000000-0008-0000-0F00-000022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5" name="AutoShape 1">
          <a:extLst>
            <a:ext uri="{FF2B5EF4-FFF2-40B4-BE49-F238E27FC236}">
              <a16:creationId xmlns:a16="http://schemas.microsoft.com/office/drawing/2014/main" id="{00000000-0008-0000-0F00-000023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6" name="AutoShape 1">
          <a:extLst>
            <a:ext uri="{FF2B5EF4-FFF2-40B4-BE49-F238E27FC236}">
              <a16:creationId xmlns:a16="http://schemas.microsoft.com/office/drawing/2014/main" id="{00000000-0008-0000-0F00-000024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7" name="AutoShape 1">
          <a:extLst>
            <a:ext uri="{FF2B5EF4-FFF2-40B4-BE49-F238E27FC236}">
              <a16:creationId xmlns:a16="http://schemas.microsoft.com/office/drawing/2014/main" id="{00000000-0008-0000-0F00-000025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8" name="AutoShape 1">
          <a:extLst>
            <a:ext uri="{FF2B5EF4-FFF2-40B4-BE49-F238E27FC236}">
              <a16:creationId xmlns:a16="http://schemas.microsoft.com/office/drawing/2014/main" id="{00000000-0008-0000-0F00-000026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39" name="AutoShape 1">
          <a:extLst>
            <a:ext uri="{FF2B5EF4-FFF2-40B4-BE49-F238E27FC236}">
              <a16:creationId xmlns:a16="http://schemas.microsoft.com/office/drawing/2014/main" id="{00000000-0008-0000-0F00-000027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0" name="AutoShape 1">
          <a:extLst>
            <a:ext uri="{FF2B5EF4-FFF2-40B4-BE49-F238E27FC236}">
              <a16:creationId xmlns:a16="http://schemas.microsoft.com/office/drawing/2014/main" id="{00000000-0008-0000-0F00-000028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1" name="AutoShape 1">
          <a:extLst>
            <a:ext uri="{FF2B5EF4-FFF2-40B4-BE49-F238E27FC236}">
              <a16:creationId xmlns:a16="http://schemas.microsoft.com/office/drawing/2014/main" id="{00000000-0008-0000-0F00-000029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2" name="AutoShape 1">
          <a:extLst>
            <a:ext uri="{FF2B5EF4-FFF2-40B4-BE49-F238E27FC236}">
              <a16:creationId xmlns:a16="http://schemas.microsoft.com/office/drawing/2014/main" id="{00000000-0008-0000-0F00-00002A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3" name="AutoShape 1">
          <a:extLst>
            <a:ext uri="{FF2B5EF4-FFF2-40B4-BE49-F238E27FC236}">
              <a16:creationId xmlns:a16="http://schemas.microsoft.com/office/drawing/2014/main" id="{00000000-0008-0000-0F00-00002B000000}"/>
            </a:ext>
          </a:extLst>
        </xdr:cNvPr>
        <xdr:cNvSpPr>
          <a:spLocks noChangeAspect="1" noChangeArrowheads="1"/>
        </xdr:cNvSpPr>
      </xdr:nvSpPr>
      <xdr:spPr bwMode="auto">
        <a:xfrm>
          <a:off x="971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4" name="AutoShape 1">
          <a:extLst>
            <a:ext uri="{FF2B5EF4-FFF2-40B4-BE49-F238E27FC236}">
              <a16:creationId xmlns:a16="http://schemas.microsoft.com/office/drawing/2014/main" id="{00000000-0008-0000-0F00-00002C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5" name="AutoShape 1">
          <a:extLst>
            <a:ext uri="{FF2B5EF4-FFF2-40B4-BE49-F238E27FC236}">
              <a16:creationId xmlns:a16="http://schemas.microsoft.com/office/drawing/2014/main" id="{00000000-0008-0000-0F00-00002D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6" name="AutoShape 1">
          <a:extLst>
            <a:ext uri="{FF2B5EF4-FFF2-40B4-BE49-F238E27FC236}">
              <a16:creationId xmlns:a16="http://schemas.microsoft.com/office/drawing/2014/main" id="{00000000-0008-0000-0F00-00002E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7" name="AutoShape 1">
          <a:extLst>
            <a:ext uri="{FF2B5EF4-FFF2-40B4-BE49-F238E27FC236}">
              <a16:creationId xmlns:a16="http://schemas.microsoft.com/office/drawing/2014/main" id="{00000000-0008-0000-0F00-00002F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8" name="AutoShape 1">
          <a:extLst>
            <a:ext uri="{FF2B5EF4-FFF2-40B4-BE49-F238E27FC236}">
              <a16:creationId xmlns:a16="http://schemas.microsoft.com/office/drawing/2014/main" id="{00000000-0008-0000-0F00-000030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49" name="AutoShape 1">
          <a:extLst>
            <a:ext uri="{FF2B5EF4-FFF2-40B4-BE49-F238E27FC236}">
              <a16:creationId xmlns:a16="http://schemas.microsoft.com/office/drawing/2014/main" id="{00000000-0008-0000-0F00-000031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50" name="AutoShape 1">
          <a:extLst>
            <a:ext uri="{FF2B5EF4-FFF2-40B4-BE49-F238E27FC236}">
              <a16:creationId xmlns:a16="http://schemas.microsoft.com/office/drawing/2014/main" id="{00000000-0008-0000-0F00-000032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51" name="AutoShape 1">
          <a:extLst>
            <a:ext uri="{FF2B5EF4-FFF2-40B4-BE49-F238E27FC236}">
              <a16:creationId xmlns:a16="http://schemas.microsoft.com/office/drawing/2014/main" id="{00000000-0008-0000-0F00-000033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304800" cy="304800"/>
    <xdr:sp macro="" textlink="">
      <xdr:nvSpPr>
        <xdr:cNvPr id="52" name="AutoShape 1">
          <a:extLst>
            <a:ext uri="{FF2B5EF4-FFF2-40B4-BE49-F238E27FC236}">
              <a16:creationId xmlns:a16="http://schemas.microsoft.com/office/drawing/2014/main" id="{00000000-0008-0000-0F00-000034000000}"/>
            </a:ext>
          </a:extLst>
        </xdr:cNvPr>
        <xdr:cNvSpPr>
          <a:spLocks noChangeAspect="1" noChangeArrowheads="1"/>
        </xdr:cNvSpPr>
      </xdr:nvSpPr>
      <xdr:spPr bwMode="auto">
        <a:xfrm>
          <a:off x="97155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942975</xdr:colOff>
      <xdr:row>0</xdr:row>
      <xdr:rowOff>0</xdr:rowOff>
    </xdr:from>
    <xdr:ext cx="304800" cy="304800"/>
    <xdr:sp macro="" textlink="">
      <xdr:nvSpPr>
        <xdr:cNvPr id="53" name="AutoShape 1">
          <a:extLst>
            <a:ext uri="{FF2B5EF4-FFF2-40B4-BE49-F238E27FC236}">
              <a16:creationId xmlns:a16="http://schemas.microsoft.com/office/drawing/2014/main" id="{00000000-0008-0000-0F00-000035000000}"/>
            </a:ext>
          </a:extLst>
        </xdr:cNvPr>
        <xdr:cNvSpPr>
          <a:spLocks noChangeAspect="1" noChangeArrowheads="1"/>
        </xdr:cNvSpPr>
      </xdr:nvSpPr>
      <xdr:spPr bwMode="auto">
        <a:xfrm>
          <a:off x="942975" y="211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 name="AutoShape 1">
          <a:extLst>
            <a:ext uri="{FF2B5EF4-FFF2-40B4-BE49-F238E27FC236}">
              <a16:creationId xmlns:a16="http://schemas.microsoft.com/office/drawing/2014/main" id="{00000000-0008-0000-0F00-000039000000}"/>
            </a:ext>
          </a:extLst>
        </xdr:cNvPr>
        <xdr:cNvSpPr>
          <a:spLocks noChangeAspect="1" noChangeArrowheads="1"/>
        </xdr:cNvSpPr>
      </xdr:nvSpPr>
      <xdr:spPr bwMode="auto">
        <a:xfrm>
          <a:off x="9715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 name="AutoShape 1">
          <a:extLst>
            <a:ext uri="{FF2B5EF4-FFF2-40B4-BE49-F238E27FC236}">
              <a16:creationId xmlns:a16="http://schemas.microsoft.com/office/drawing/2014/main" id="{00000000-0008-0000-0F00-00003A000000}"/>
            </a:ext>
          </a:extLst>
        </xdr:cNvPr>
        <xdr:cNvSpPr>
          <a:spLocks noChangeAspect="1" noChangeArrowheads="1"/>
        </xdr:cNvSpPr>
      </xdr:nvSpPr>
      <xdr:spPr bwMode="auto">
        <a:xfrm>
          <a:off x="9715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 name="AutoShape 1">
          <a:extLst>
            <a:ext uri="{FF2B5EF4-FFF2-40B4-BE49-F238E27FC236}">
              <a16:creationId xmlns:a16="http://schemas.microsoft.com/office/drawing/2014/main" id="{00000000-0008-0000-0F00-00003B000000}"/>
            </a:ext>
          </a:extLst>
        </xdr:cNvPr>
        <xdr:cNvSpPr>
          <a:spLocks noChangeAspect="1" noChangeArrowheads="1"/>
        </xdr:cNvSpPr>
      </xdr:nvSpPr>
      <xdr:spPr bwMode="auto">
        <a:xfrm>
          <a:off x="9715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 name="AutoShape 1">
          <a:extLst>
            <a:ext uri="{FF2B5EF4-FFF2-40B4-BE49-F238E27FC236}">
              <a16:creationId xmlns:a16="http://schemas.microsoft.com/office/drawing/2014/main" id="{00000000-0008-0000-0F00-00003C000000}"/>
            </a:ext>
          </a:extLst>
        </xdr:cNvPr>
        <xdr:cNvSpPr>
          <a:spLocks noChangeAspect="1" noChangeArrowheads="1"/>
        </xdr:cNvSpPr>
      </xdr:nvSpPr>
      <xdr:spPr bwMode="auto">
        <a:xfrm>
          <a:off x="9715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 name="AutoShape 1">
          <a:extLst>
            <a:ext uri="{FF2B5EF4-FFF2-40B4-BE49-F238E27FC236}">
              <a16:creationId xmlns:a16="http://schemas.microsoft.com/office/drawing/2014/main" id="{00000000-0008-0000-0F00-00003D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 name="AutoShape 1">
          <a:extLst>
            <a:ext uri="{FF2B5EF4-FFF2-40B4-BE49-F238E27FC236}">
              <a16:creationId xmlns:a16="http://schemas.microsoft.com/office/drawing/2014/main" id="{00000000-0008-0000-0F00-00003E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 name="AutoShape 1">
          <a:extLst>
            <a:ext uri="{FF2B5EF4-FFF2-40B4-BE49-F238E27FC236}">
              <a16:creationId xmlns:a16="http://schemas.microsoft.com/office/drawing/2014/main" id="{00000000-0008-0000-0F00-00003F000000}"/>
            </a:ext>
          </a:extLst>
        </xdr:cNvPr>
        <xdr:cNvSpPr>
          <a:spLocks noChangeAspect="1" noChangeArrowheads="1"/>
        </xdr:cNvSpPr>
      </xdr:nvSpPr>
      <xdr:spPr bwMode="auto">
        <a:xfrm>
          <a:off x="9715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 name="AutoShape 1">
          <a:extLst>
            <a:ext uri="{FF2B5EF4-FFF2-40B4-BE49-F238E27FC236}">
              <a16:creationId xmlns:a16="http://schemas.microsoft.com/office/drawing/2014/main" id="{00000000-0008-0000-0F00-000040000000}"/>
            </a:ext>
          </a:extLst>
        </xdr:cNvPr>
        <xdr:cNvSpPr>
          <a:spLocks noChangeAspect="1" noChangeArrowheads="1"/>
        </xdr:cNvSpPr>
      </xdr:nvSpPr>
      <xdr:spPr bwMode="auto">
        <a:xfrm>
          <a:off x="9715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 name="AutoShape 1">
          <a:extLst>
            <a:ext uri="{FF2B5EF4-FFF2-40B4-BE49-F238E27FC236}">
              <a16:creationId xmlns:a16="http://schemas.microsoft.com/office/drawing/2014/main" id="{00000000-0008-0000-0F00-000041000000}"/>
            </a:ext>
          </a:extLst>
        </xdr:cNvPr>
        <xdr:cNvSpPr>
          <a:spLocks noChangeAspect="1" noChangeArrowheads="1"/>
        </xdr:cNvSpPr>
      </xdr:nvSpPr>
      <xdr:spPr bwMode="auto">
        <a:xfrm>
          <a:off x="9715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 name="AutoShape 1">
          <a:extLst>
            <a:ext uri="{FF2B5EF4-FFF2-40B4-BE49-F238E27FC236}">
              <a16:creationId xmlns:a16="http://schemas.microsoft.com/office/drawing/2014/main" id="{00000000-0008-0000-0F00-000042000000}"/>
            </a:ext>
          </a:extLst>
        </xdr:cNvPr>
        <xdr:cNvSpPr>
          <a:spLocks noChangeAspect="1" noChangeArrowheads="1"/>
        </xdr:cNvSpPr>
      </xdr:nvSpPr>
      <xdr:spPr bwMode="auto">
        <a:xfrm>
          <a:off x="9715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 name="AutoShape 1">
          <a:extLst>
            <a:ext uri="{FF2B5EF4-FFF2-40B4-BE49-F238E27FC236}">
              <a16:creationId xmlns:a16="http://schemas.microsoft.com/office/drawing/2014/main" id="{00000000-0008-0000-0F00-000043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 name="AutoShape 1">
          <a:extLst>
            <a:ext uri="{FF2B5EF4-FFF2-40B4-BE49-F238E27FC236}">
              <a16:creationId xmlns:a16="http://schemas.microsoft.com/office/drawing/2014/main" id="{00000000-0008-0000-0F00-000044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 name="AutoShape 1">
          <a:extLst>
            <a:ext uri="{FF2B5EF4-FFF2-40B4-BE49-F238E27FC236}">
              <a16:creationId xmlns:a16="http://schemas.microsoft.com/office/drawing/2014/main" id="{00000000-0008-0000-0F00-000045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 name="AutoShape 1">
          <a:extLst>
            <a:ext uri="{FF2B5EF4-FFF2-40B4-BE49-F238E27FC236}">
              <a16:creationId xmlns:a16="http://schemas.microsoft.com/office/drawing/2014/main" id="{00000000-0008-0000-0F00-000046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 name="AutoShape 1">
          <a:extLst>
            <a:ext uri="{FF2B5EF4-FFF2-40B4-BE49-F238E27FC236}">
              <a16:creationId xmlns:a16="http://schemas.microsoft.com/office/drawing/2014/main" id="{00000000-0008-0000-0F00-000047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 name="AutoShape 1">
          <a:extLst>
            <a:ext uri="{FF2B5EF4-FFF2-40B4-BE49-F238E27FC236}">
              <a16:creationId xmlns:a16="http://schemas.microsoft.com/office/drawing/2014/main" id="{00000000-0008-0000-0F00-000048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 name="AutoShape 1">
          <a:extLst>
            <a:ext uri="{FF2B5EF4-FFF2-40B4-BE49-F238E27FC236}">
              <a16:creationId xmlns:a16="http://schemas.microsoft.com/office/drawing/2014/main" id="{00000000-0008-0000-0F00-000049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 name="AutoShape 1">
          <a:extLst>
            <a:ext uri="{FF2B5EF4-FFF2-40B4-BE49-F238E27FC236}">
              <a16:creationId xmlns:a16="http://schemas.microsoft.com/office/drawing/2014/main" id="{00000000-0008-0000-0F00-00004A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 name="AutoShape 1">
          <a:extLst>
            <a:ext uri="{FF2B5EF4-FFF2-40B4-BE49-F238E27FC236}">
              <a16:creationId xmlns:a16="http://schemas.microsoft.com/office/drawing/2014/main" id="{00000000-0008-0000-0F00-00004B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 name="AutoShape 1">
          <a:extLst>
            <a:ext uri="{FF2B5EF4-FFF2-40B4-BE49-F238E27FC236}">
              <a16:creationId xmlns:a16="http://schemas.microsoft.com/office/drawing/2014/main" id="{00000000-0008-0000-0F00-00004C000000}"/>
            </a:ext>
          </a:extLst>
        </xdr:cNvPr>
        <xdr:cNvSpPr>
          <a:spLocks noChangeAspect="1" noChangeArrowheads="1"/>
        </xdr:cNvSpPr>
      </xdr:nvSpPr>
      <xdr:spPr bwMode="auto">
        <a:xfrm>
          <a:off x="97155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 name="AutoShape 1">
          <a:extLst>
            <a:ext uri="{FF2B5EF4-FFF2-40B4-BE49-F238E27FC236}">
              <a16:creationId xmlns:a16="http://schemas.microsoft.com/office/drawing/2014/main" id="{00000000-0008-0000-0F00-00004D000000}"/>
            </a:ext>
          </a:extLst>
        </xdr:cNvPr>
        <xdr:cNvSpPr>
          <a:spLocks noChangeAspect="1" noChangeArrowheads="1"/>
        </xdr:cNvSpPr>
      </xdr:nvSpPr>
      <xdr:spPr bwMode="auto">
        <a:xfrm>
          <a:off x="971550"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 name="AutoShape 1">
          <a:extLst>
            <a:ext uri="{FF2B5EF4-FFF2-40B4-BE49-F238E27FC236}">
              <a16:creationId xmlns:a16="http://schemas.microsoft.com/office/drawing/2014/main" id="{00000000-0008-0000-0F00-00004E000000}"/>
            </a:ext>
          </a:extLst>
        </xdr:cNvPr>
        <xdr:cNvSpPr>
          <a:spLocks noChangeAspect="1" noChangeArrowheads="1"/>
        </xdr:cNvSpPr>
      </xdr:nvSpPr>
      <xdr:spPr bwMode="auto">
        <a:xfrm>
          <a:off x="971550"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 name="AutoShape 1">
          <a:extLst>
            <a:ext uri="{FF2B5EF4-FFF2-40B4-BE49-F238E27FC236}">
              <a16:creationId xmlns:a16="http://schemas.microsoft.com/office/drawing/2014/main" id="{00000000-0008-0000-0F00-00004F000000}"/>
            </a:ext>
          </a:extLst>
        </xdr:cNvPr>
        <xdr:cNvSpPr>
          <a:spLocks noChangeAspect="1" noChangeArrowheads="1"/>
        </xdr:cNvSpPr>
      </xdr:nvSpPr>
      <xdr:spPr bwMode="auto">
        <a:xfrm>
          <a:off x="971550"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 name="AutoShape 1">
          <a:extLst>
            <a:ext uri="{FF2B5EF4-FFF2-40B4-BE49-F238E27FC236}">
              <a16:creationId xmlns:a16="http://schemas.microsoft.com/office/drawing/2014/main" id="{00000000-0008-0000-0F00-000050000000}"/>
            </a:ext>
          </a:extLst>
        </xdr:cNvPr>
        <xdr:cNvSpPr>
          <a:spLocks noChangeAspect="1" noChangeArrowheads="1"/>
        </xdr:cNvSpPr>
      </xdr:nvSpPr>
      <xdr:spPr bwMode="auto">
        <a:xfrm>
          <a:off x="971550"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 name="AutoShape 1">
          <a:extLst>
            <a:ext uri="{FF2B5EF4-FFF2-40B4-BE49-F238E27FC236}">
              <a16:creationId xmlns:a16="http://schemas.microsoft.com/office/drawing/2014/main" id="{00000000-0008-0000-0F00-000051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 name="AutoShape 1">
          <a:extLst>
            <a:ext uri="{FF2B5EF4-FFF2-40B4-BE49-F238E27FC236}">
              <a16:creationId xmlns:a16="http://schemas.microsoft.com/office/drawing/2014/main" id="{00000000-0008-0000-0F00-000052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 name="AutoShape 1">
          <a:extLst>
            <a:ext uri="{FF2B5EF4-FFF2-40B4-BE49-F238E27FC236}">
              <a16:creationId xmlns:a16="http://schemas.microsoft.com/office/drawing/2014/main" id="{00000000-0008-0000-0F00-000053000000}"/>
            </a:ext>
          </a:extLst>
        </xdr:cNvPr>
        <xdr:cNvSpPr>
          <a:spLocks noChangeAspect="1" noChangeArrowheads="1"/>
        </xdr:cNvSpPr>
      </xdr:nvSpPr>
      <xdr:spPr bwMode="auto">
        <a:xfrm>
          <a:off x="971550"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 name="AutoShape 1">
          <a:extLst>
            <a:ext uri="{FF2B5EF4-FFF2-40B4-BE49-F238E27FC236}">
              <a16:creationId xmlns:a16="http://schemas.microsoft.com/office/drawing/2014/main" id="{00000000-0008-0000-0F00-000054000000}"/>
            </a:ext>
          </a:extLst>
        </xdr:cNvPr>
        <xdr:cNvSpPr>
          <a:spLocks noChangeAspect="1" noChangeArrowheads="1"/>
        </xdr:cNvSpPr>
      </xdr:nvSpPr>
      <xdr:spPr bwMode="auto">
        <a:xfrm>
          <a:off x="971550"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 name="AutoShape 1">
          <a:extLst>
            <a:ext uri="{FF2B5EF4-FFF2-40B4-BE49-F238E27FC236}">
              <a16:creationId xmlns:a16="http://schemas.microsoft.com/office/drawing/2014/main" id="{00000000-0008-0000-0F00-000055000000}"/>
            </a:ext>
          </a:extLst>
        </xdr:cNvPr>
        <xdr:cNvSpPr>
          <a:spLocks noChangeAspect="1" noChangeArrowheads="1"/>
        </xdr:cNvSpPr>
      </xdr:nvSpPr>
      <xdr:spPr bwMode="auto">
        <a:xfrm>
          <a:off x="971550"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 name="AutoShape 1">
          <a:extLst>
            <a:ext uri="{FF2B5EF4-FFF2-40B4-BE49-F238E27FC236}">
              <a16:creationId xmlns:a16="http://schemas.microsoft.com/office/drawing/2014/main" id="{00000000-0008-0000-0F00-000056000000}"/>
            </a:ext>
          </a:extLst>
        </xdr:cNvPr>
        <xdr:cNvSpPr>
          <a:spLocks noChangeAspect="1" noChangeArrowheads="1"/>
        </xdr:cNvSpPr>
      </xdr:nvSpPr>
      <xdr:spPr bwMode="auto">
        <a:xfrm>
          <a:off x="971550"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 name="AutoShape 1">
          <a:extLst>
            <a:ext uri="{FF2B5EF4-FFF2-40B4-BE49-F238E27FC236}">
              <a16:creationId xmlns:a16="http://schemas.microsoft.com/office/drawing/2014/main" id="{00000000-0008-0000-0F00-000057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 name="AutoShape 1">
          <a:extLst>
            <a:ext uri="{FF2B5EF4-FFF2-40B4-BE49-F238E27FC236}">
              <a16:creationId xmlns:a16="http://schemas.microsoft.com/office/drawing/2014/main" id="{00000000-0008-0000-0F00-000058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 name="AutoShape 1">
          <a:extLst>
            <a:ext uri="{FF2B5EF4-FFF2-40B4-BE49-F238E27FC236}">
              <a16:creationId xmlns:a16="http://schemas.microsoft.com/office/drawing/2014/main" id="{00000000-0008-0000-0F00-000059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 name="AutoShape 1">
          <a:extLst>
            <a:ext uri="{FF2B5EF4-FFF2-40B4-BE49-F238E27FC236}">
              <a16:creationId xmlns:a16="http://schemas.microsoft.com/office/drawing/2014/main" id="{00000000-0008-0000-0F00-00005A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 name="AutoShape 1">
          <a:extLst>
            <a:ext uri="{FF2B5EF4-FFF2-40B4-BE49-F238E27FC236}">
              <a16:creationId xmlns:a16="http://schemas.microsoft.com/office/drawing/2014/main" id="{00000000-0008-0000-0F00-00005B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 name="AutoShape 1">
          <a:extLst>
            <a:ext uri="{FF2B5EF4-FFF2-40B4-BE49-F238E27FC236}">
              <a16:creationId xmlns:a16="http://schemas.microsoft.com/office/drawing/2014/main" id="{00000000-0008-0000-0F00-00005C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 name="AutoShape 1">
          <a:extLst>
            <a:ext uri="{FF2B5EF4-FFF2-40B4-BE49-F238E27FC236}">
              <a16:creationId xmlns:a16="http://schemas.microsoft.com/office/drawing/2014/main" id="{00000000-0008-0000-0F00-00005D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 name="AutoShape 1">
          <a:extLst>
            <a:ext uri="{FF2B5EF4-FFF2-40B4-BE49-F238E27FC236}">
              <a16:creationId xmlns:a16="http://schemas.microsoft.com/office/drawing/2014/main" id="{00000000-0008-0000-0F00-00005E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 name="AutoShape 1">
          <a:extLst>
            <a:ext uri="{FF2B5EF4-FFF2-40B4-BE49-F238E27FC236}">
              <a16:creationId xmlns:a16="http://schemas.microsoft.com/office/drawing/2014/main" id="{00000000-0008-0000-0F00-00005F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 name="AutoShape 1">
          <a:extLst>
            <a:ext uri="{FF2B5EF4-FFF2-40B4-BE49-F238E27FC236}">
              <a16:creationId xmlns:a16="http://schemas.microsoft.com/office/drawing/2014/main" id="{00000000-0008-0000-0F00-000060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 name="AutoShape 1">
          <a:extLst>
            <a:ext uri="{FF2B5EF4-FFF2-40B4-BE49-F238E27FC236}">
              <a16:creationId xmlns:a16="http://schemas.microsoft.com/office/drawing/2014/main" id="{00000000-0008-0000-0F00-000061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 name="AutoShape 1">
          <a:extLst>
            <a:ext uri="{FF2B5EF4-FFF2-40B4-BE49-F238E27FC236}">
              <a16:creationId xmlns:a16="http://schemas.microsoft.com/office/drawing/2014/main" id="{00000000-0008-0000-0F00-000062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 name="AutoShape 1">
          <a:extLst>
            <a:ext uri="{FF2B5EF4-FFF2-40B4-BE49-F238E27FC236}">
              <a16:creationId xmlns:a16="http://schemas.microsoft.com/office/drawing/2014/main" id="{00000000-0008-0000-0F00-000063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 name="AutoShape 1">
          <a:extLst>
            <a:ext uri="{FF2B5EF4-FFF2-40B4-BE49-F238E27FC236}">
              <a16:creationId xmlns:a16="http://schemas.microsoft.com/office/drawing/2014/main" id="{00000000-0008-0000-0F00-000064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 name="AutoShape 1">
          <a:extLst>
            <a:ext uri="{FF2B5EF4-FFF2-40B4-BE49-F238E27FC236}">
              <a16:creationId xmlns:a16="http://schemas.microsoft.com/office/drawing/2014/main" id="{00000000-0008-0000-0F00-000065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 name="AutoShape 1">
          <a:extLst>
            <a:ext uri="{FF2B5EF4-FFF2-40B4-BE49-F238E27FC236}">
              <a16:creationId xmlns:a16="http://schemas.microsoft.com/office/drawing/2014/main" id="{00000000-0008-0000-0F00-000066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 name="AutoShape 1">
          <a:extLst>
            <a:ext uri="{FF2B5EF4-FFF2-40B4-BE49-F238E27FC236}">
              <a16:creationId xmlns:a16="http://schemas.microsoft.com/office/drawing/2014/main" id="{00000000-0008-0000-0F00-000067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 name="AutoShape 1">
          <a:extLst>
            <a:ext uri="{FF2B5EF4-FFF2-40B4-BE49-F238E27FC236}">
              <a16:creationId xmlns:a16="http://schemas.microsoft.com/office/drawing/2014/main" id="{00000000-0008-0000-0F00-000068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 name="AutoShape 1">
          <a:extLst>
            <a:ext uri="{FF2B5EF4-FFF2-40B4-BE49-F238E27FC236}">
              <a16:creationId xmlns:a16="http://schemas.microsoft.com/office/drawing/2014/main" id="{00000000-0008-0000-0F00-000069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 name="AutoShape 1">
          <a:extLst>
            <a:ext uri="{FF2B5EF4-FFF2-40B4-BE49-F238E27FC236}">
              <a16:creationId xmlns:a16="http://schemas.microsoft.com/office/drawing/2014/main" id="{00000000-0008-0000-0F00-00006A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 name="AutoShape 1">
          <a:extLst>
            <a:ext uri="{FF2B5EF4-FFF2-40B4-BE49-F238E27FC236}">
              <a16:creationId xmlns:a16="http://schemas.microsoft.com/office/drawing/2014/main" id="{00000000-0008-0000-0F00-00006B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 name="AutoShape 1">
          <a:extLst>
            <a:ext uri="{FF2B5EF4-FFF2-40B4-BE49-F238E27FC236}">
              <a16:creationId xmlns:a16="http://schemas.microsoft.com/office/drawing/2014/main" id="{00000000-0008-0000-0F00-00006C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 name="AutoShape 1">
          <a:extLst>
            <a:ext uri="{FF2B5EF4-FFF2-40B4-BE49-F238E27FC236}">
              <a16:creationId xmlns:a16="http://schemas.microsoft.com/office/drawing/2014/main" id="{00000000-0008-0000-0F00-00006D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 name="AutoShape 1">
          <a:extLst>
            <a:ext uri="{FF2B5EF4-FFF2-40B4-BE49-F238E27FC236}">
              <a16:creationId xmlns:a16="http://schemas.microsoft.com/office/drawing/2014/main" id="{00000000-0008-0000-0F00-00006E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 name="AutoShape 1">
          <a:extLst>
            <a:ext uri="{FF2B5EF4-FFF2-40B4-BE49-F238E27FC236}">
              <a16:creationId xmlns:a16="http://schemas.microsoft.com/office/drawing/2014/main" id="{00000000-0008-0000-0F00-00006F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 name="AutoShape 1">
          <a:extLst>
            <a:ext uri="{FF2B5EF4-FFF2-40B4-BE49-F238E27FC236}">
              <a16:creationId xmlns:a16="http://schemas.microsoft.com/office/drawing/2014/main" id="{00000000-0008-0000-0F00-000070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 name="AutoShape 1">
          <a:extLst>
            <a:ext uri="{FF2B5EF4-FFF2-40B4-BE49-F238E27FC236}">
              <a16:creationId xmlns:a16="http://schemas.microsoft.com/office/drawing/2014/main" id="{00000000-0008-0000-0F00-000071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 name="AutoShape 1">
          <a:extLst>
            <a:ext uri="{FF2B5EF4-FFF2-40B4-BE49-F238E27FC236}">
              <a16:creationId xmlns:a16="http://schemas.microsoft.com/office/drawing/2014/main" id="{00000000-0008-0000-0F00-000072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 name="AutoShape 1">
          <a:extLst>
            <a:ext uri="{FF2B5EF4-FFF2-40B4-BE49-F238E27FC236}">
              <a16:creationId xmlns:a16="http://schemas.microsoft.com/office/drawing/2014/main" id="{00000000-0008-0000-0F00-000073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 name="AutoShape 1">
          <a:extLst>
            <a:ext uri="{FF2B5EF4-FFF2-40B4-BE49-F238E27FC236}">
              <a16:creationId xmlns:a16="http://schemas.microsoft.com/office/drawing/2014/main" id="{00000000-0008-0000-0F00-000074000000}"/>
            </a:ext>
          </a:extLst>
        </xdr:cNvPr>
        <xdr:cNvSpPr>
          <a:spLocks noChangeAspect="1" noChangeArrowheads="1"/>
        </xdr:cNvSpPr>
      </xdr:nvSpPr>
      <xdr:spPr bwMode="auto">
        <a:xfrm>
          <a:off x="971550"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 name="AutoShape 1">
          <a:extLst>
            <a:ext uri="{FF2B5EF4-FFF2-40B4-BE49-F238E27FC236}">
              <a16:creationId xmlns:a16="http://schemas.microsoft.com/office/drawing/2014/main" id="{00000000-0008-0000-0F00-000077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 name="AutoShape 1">
          <a:extLst>
            <a:ext uri="{FF2B5EF4-FFF2-40B4-BE49-F238E27FC236}">
              <a16:creationId xmlns:a16="http://schemas.microsoft.com/office/drawing/2014/main" id="{00000000-0008-0000-0F00-000078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 name="AutoShape 1">
          <a:extLst>
            <a:ext uri="{FF2B5EF4-FFF2-40B4-BE49-F238E27FC236}">
              <a16:creationId xmlns:a16="http://schemas.microsoft.com/office/drawing/2014/main" id="{00000000-0008-0000-0F00-000079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 name="AutoShape 1">
          <a:extLst>
            <a:ext uri="{FF2B5EF4-FFF2-40B4-BE49-F238E27FC236}">
              <a16:creationId xmlns:a16="http://schemas.microsoft.com/office/drawing/2014/main" id="{00000000-0008-0000-0F00-00007A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 name="AutoShape 1">
          <a:extLst>
            <a:ext uri="{FF2B5EF4-FFF2-40B4-BE49-F238E27FC236}">
              <a16:creationId xmlns:a16="http://schemas.microsoft.com/office/drawing/2014/main" id="{00000000-0008-0000-0F00-00007B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 name="AutoShape 1">
          <a:extLst>
            <a:ext uri="{FF2B5EF4-FFF2-40B4-BE49-F238E27FC236}">
              <a16:creationId xmlns:a16="http://schemas.microsoft.com/office/drawing/2014/main" id="{00000000-0008-0000-0F00-00007C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 name="AutoShape 1">
          <a:extLst>
            <a:ext uri="{FF2B5EF4-FFF2-40B4-BE49-F238E27FC236}">
              <a16:creationId xmlns:a16="http://schemas.microsoft.com/office/drawing/2014/main" id="{00000000-0008-0000-0F00-00007D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 name="AutoShape 1">
          <a:extLst>
            <a:ext uri="{FF2B5EF4-FFF2-40B4-BE49-F238E27FC236}">
              <a16:creationId xmlns:a16="http://schemas.microsoft.com/office/drawing/2014/main" id="{00000000-0008-0000-0F00-00007E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 name="AutoShape 1">
          <a:extLst>
            <a:ext uri="{FF2B5EF4-FFF2-40B4-BE49-F238E27FC236}">
              <a16:creationId xmlns:a16="http://schemas.microsoft.com/office/drawing/2014/main" id="{00000000-0008-0000-0F00-00007F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 name="AutoShape 1">
          <a:extLst>
            <a:ext uri="{FF2B5EF4-FFF2-40B4-BE49-F238E27FC236}">
              <a16:creationId xmlns:a16="http://schemas.microsoft.com/office/drawing/2014/main" id="{00000000-0008-0000-0F00-000080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 name="AutoShape 1">
          <a:extLst>
            <a:ext uri="{FF2B5EF4-FFF2-40B4-BE49-F238E27FC236}">
              <a16:creationId xmlns:a16="http://schemas.microsoft.com/office/drawing/2014/main" id="{00000000-0008-0000-0F00-000081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 name="AutoShape 1">
          <a:extLst>
            <a:ext uri="{FF2B5EF4-FFF2-40B4-BE49-F238E27FC236}">
              <a16:creationId xmlns:a16="http://schemas.microsoft.com/office/drawing/2014/main" id="{00000000-0008-0000-0F00-000082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 name="AutoShape 1">
          <a:extLst>
            <a:ext uri="{FF2B5EF4-FFF2-40B4-BE49-F238E27FC236}">
              <a16:creationId xmlns:a16="http://schemas.microsoft.com/office/drawing/2014/main" id="{00000000-0008-0000-0F00-000083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 name="AutoShape 1">
          <a:extLst>
            <a:ext uri="{FF2B5EF4-FFF2-40B4-BE49-F238E27FC236}">
              <a16:creationId xmlns:a16="http://schemas.microsoft.com/office/drawing/2014/main" id="{00000000-0008-0000-0F00-000084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 name="AutoShape 1">
          <a:extLst>
            <a:ext uri="{FF2B5EF4-FFF2-40B4-BE49-F238E27FC236}">
              <a16:creationId xmlns:a16="http://schemas.microsoft.com/office/drawing/2014/main" id="{00000000-0008-0000-0F00-000085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 name="AutoShape 1">
          <a:extLst>
            <a:ext uri="{FF2B5EF4-FFF2-40B4-BE49-F238E27FC236}">
              <a16:creationId xmlns:a16="http://schemas.microsoft.com/office/drawing/2014/main" id="{00000000-0008-0000-0F00-000086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 name="AutoShape 1">
          <a:extLst>
            <a:ext uri="{FF2B5EF4-FFF2-40B4-BE49-F238E27FC236}">
              <a16:creationId xmlns:a16="http://schemas.microsoft.com/office/drawing/2014/main" id="{00000000-0008-0000-0F00-000087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 name="AutoShape 1">
          <a:extLst>
            <a:ext uri="{FF2B5EF4-FFF2-40B4-BE49-F238E27FC236}">
              <a16:creationId xmlns:a16="http://schemas.microsoft.com/office/drawing/2014/main" id="{00000000-0008-0000-0F00-000088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 name="AutoShape 1">
          <a:extLst>
            <a:ext uri="{FF2B5EF4-FFF2-40B4-BE49-F238E27FC236}">
              <a16:creationId xmlns:a16="http://schemas.microsoft.com/office/drawing/2014/main" id="{00000000-0008-0000-0F00-000089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 name="AutoShape 1">
          <a:extLst>
            <a:ext uri="{FF2B5EF4-FFF2-40B4-BE49-F238E27FC236}">
              <a16:creationId xmlns:a16="http://schemas.microsoft.com/office/drawing/2014/main" id="{00000000-0008-0000-0F00-00008A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 name="AutoShape 1">
          <a:extLst>
            <a:ext uri="{FF2B5EF4-FFF2-40B4-BE49-F238E27FC236}">
              <a16:creationId xmlns:a16="http://schemas.microsoft.com/office/drawing/2014/main" id="{00000000-0008-0000-0F00-00008B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 name="AutoShape 1">
          <a:extLst>
            <a:ext uri="{FF2B5EF4-FFF2-40B4-BE49-F238E27FC236}">
              <a16:creationId xmlns:a16="http://schemas.microsoft.com/office/drawing/2014/main" id="{00000000-0008-0000-0F00-00008C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 name="AutoShape 1">
          <a:extLst>
            <a:ext uri="{FF2B5EF4-FFF2-40B4-BE49-F238E27FC236}">
              <a16:creationId xmlns:a16="http://schemas.microsoft.com/office/drawing/2014/main" id="{00000000-0008-0000-0F00-00008D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 name="AutoShape 1">
          <a:extLst>
            <a:ext uri="{FF2B5EF4-FFF2-40B4-BE49-F238E27FC236}">
              <a16:creationId xmlns:a16="http://schemas.microsoft.com/office/drawing/2014/main" id="{00000000-0008-0000-0F00-00008E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 name="AutoShape 1">
          <a:extLst>
            <a:ext uri="{FF2B5EF4-FFF2-40B4-BE49-F238E27FC236}">
              <a16:creationId xmlns:a16="http://schemas.microsoft.com/office/drawing/2014/main" id="{00000000-0008-0000-0F00-00008F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 name="AutoShape 1">
          <a:extLst>
            <a:ext uri="{FF2B5EF4-FFF2-40B4-BE49-F238E27FC236}">
              <a16:creationId xmlns:a16="http://schemas.microsoft.com/office/drawing/2014/main" id="{00000000-0008-0000-0F00-000090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 name="AutoShape 1">
          <a:extLst>
            <a:ext uri="{FF2B5EF4-FFF2-40B4-BE49-F238E27FC236}">
              <a16:creationId xmlns:a16="http://schemas.microsoft.com/office/drawing/2014/main" id="{00000000-0008-0000-0F00-000091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 name="AutoShape 1">
          <a:extLst>
            <a:ext uri="{FF2B5EF4-FFF2-40B4-BE49-F238E27FC236}">
              <a16:creationId xmlns:a16="http://schemas.microsoft.com/office/drawing/2014/main" id="{00000000-0008-0000-0F00-000092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 name="AutoShape 1">
          <a:extLst>
            <a:ext uri="{FF2B5EF4-FFF2-40B4-BE49-F238E27FC236}">
              <a16:creationId xmlns:a16="http://schemas.microsoft.com/office/drawing/2014/main" id="{00000000-0008-0000-0F00-000093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 name="AutoShape 1">
          <a:extLst>
            <a:ext uri="{FF2B5EF4-FFF2-40B4-BE49-F238E27FC236}">
              <a16:creationId xmlns:a16="http://schemas.microsoft.com/office/drawing/2014/main" id="{00000000-0008-0000-0F00-000094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 name="AutoShape 1">
          <a:extLst>
            <a:ext uri="{FF2B5EF4-FFF2-40B4-BE49-F238E27FC236}">
              <a16:creationId xmlns:a16="http://schemas.microsoft.com/office/drawing/2014/main" id="{00000000-0008-0000-0F00-000095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 name="AutoShape 1">
          <a:extLst>
            <a:ext uri="{FF2B5EF4-FFF2-40B4-BE49-F238E27FC236}">
              <a16:creationId xmlns:a16="http://schemas.microsoft.com/office/drawing/2014/main" id="{00000000-0008-0000-0F00-000096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 name="AutoShape 1">
          <a:extLst>
            <a:ext uri="{FF2B5EF4-FFF2-40B4-BE49-F238E27FC236}">
              <a16:creationId xmlns:a16="http://schemas.microsoft.com/office/drawing/2014/main" id="{00000000-0008-0000-0F00-000097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 name="AutoShape 1">
          <a:extLst>
            <a:ext uri="{FF2B5EF4-FFF2-40B4-BE49-F238E27FC236}">
              <a16:creationId xmlns:a16="http://schemas.microsoft.com/office/drawing/2014/main" id="{00000000-0008-0000-0F00-000098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 name="AutoShape 1">
          <a:extLst>
            <a:ext uri="{FF2B5EF4-FFF2-40B4-BE49-F238E27FC236}">
              <a16:creationId xmlns:a16="http://schemas.microsoft.com/office/drawing/2014/main" id="{00000000-0008-0000-0F00-000099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 name="AutoShape 1">
          <a:extLst>
            <a:ext uri="{FF2B5EF4-FFF2-40B4-BE49-F238E27FC236}">
              <a16:creationId xmlns:a16="http://schemas.microsoft.com/office/drawing/2014/main" id="{00000000-0008-0000-0F00-00009A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 name="AutoShape 1">
          <a:extLst>
            <a:ext uri="{FF2B5EF4-FFF2-40B4-BE49-F238E27FC236}">
              <a16:creationId xmlns:a16="http://schemas.microsoft.com/office/drawing/2014/main" id="{00000000-0008-0000-0F00-00009B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 name="AutoShape 1">
          <a:extLst>
            <a:ext uri="{FF2B5EF4-FFF2-40B4-BE49-F238E27FC236}">
              <a16:creationId xmlns:a16="http://schemas.microsoft.com/office/drawing/2014/main" id="{00000000-0008-0000-0F00-00009C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 name="AutoShape 1">
          <a:extLst>
            <a:ext uri="{FF2B5EF4-FFF2-40B4-BE49-F238E27FC236}">
              <a16:creationId xmlns:a16="http://schemas.microsoft.com/office/drawing/2014/main" id="{00000000-0008-0000-0F00-00009D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 name="AutoShape 1">
          <a:extLst>
            <a:ext uri="{FF2B5EF4-FFF2-40B4-BE49-F238E27FC236}">
              <a16:creationId xmlns:a16="http://schemas.microsoft.com/office/drawing/2014/main" id="{00000000-0008-0000-0F00-00009E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 name="AutoShape 1">
          <a:extLst>
            <a:ext uri="{FF2B5EF4-FFF2-40B4-BE49-F238E27FC236}">
              <a16:creationId xmlns:a16="http://schemas.microsoft.com/office/drawing/2014/main" id="{00000000-0008-0000-0F00-00009F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 name="AutoShape 1">
          <a:extLst>
            <a:ext uri="{FF2B5EF4-FFF2-40B4-BE49-F238E27FC236}">
              <a16:creationId xmlns:a16="http://schemas.microsoft.com/office/drawing/2014/main" id="{00000000-0008-0000-0F00-0000A0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 name="AutoShape 1">
          <a:extLst>
            <a:ext uri="{FF2B5EF4-FFF2-40B4-BE49-F238E27FC236}">
              <a16:creationId xmlns:a16="http://schemas.microsoft.com/office/drawing/2014/main" id="{00000000-0008-0000-0F00-0000A1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 name="AutoShape 1">
          <a:extLst>
            <a:ext uri="{FF2B5EF4-FFF2-40B4-BE49-F238E27FC236}">
              <a16:creationId xmlns:a16="http://schemas.microsoft.com/office/drawing/2014/main" id="{00000000-0008-0000-0F00-0000A3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 name="AutoShape 1">
          <a:extLst>
            <a:ext uri="{FF2B5EF4-FFF2-40B4-BE49-F238E27FC236}">
              <a16:creationId xmlns:a16="http://schemas.microsoft.com/office/drawing/2014/main" id="{00000000-0008-0000-0F00-0000A4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 name="AutoShape 1">
          <a:extLst>
            <a:ext uri="{FF2B5EF4-FFF2-40B4-BE49-F238E27FC236}">
              <a16:creationId xmlns:a16="http://schemas.microsoft.com/office/drawing/2014/main" id="{00000000-0008-0000-0F00-0000A5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 name="AutoShape 1">
          <a:extLst>
            <a:ext uri="{FF2B5EF4-FFF2-40B4-BE49-F238E27FC236}">
              <a16:creationId xmlns:a16="http://schemas.microsoft.com/office/drawing/2014/main" id="{00000000-0008-0000-0F00-0000A6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 name="AutoShape 1">
          <a:extLst>
            <a:ext uri="{FF2B5EF4-FFF2-40B4-BE49-F238E27FC236}">
              <a16:creationId xmlns:a16="http://schemas.microsoft.com/office/drawing/2014/main" id="{00000000-0008-0000-0F00-0000A7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 name="AutoShape 1">
          <a:extLst>
            <a:ext uri="{FF2B5EF4-FFF2-40B4-BE49-F238E27FC236}">
              <a16:creationId xmlns:a16="http://schemas.microsoft.com/office/drawing/2014/main" id="{00000000-0008-0000-0F00-0000A8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 name="AutoShape 1">
          <a:extLst>
            <a:ext uri="{FF2B5EF4-FFF2-40B4-BE49-F238E27FC236}">
              <a16:creationId xmlns:a16="http://schemas.microsoft.com/office/drawing/2014/main" id="{00000000-0008-0000-0F00-0000A9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 name="AutoShape 1">
          <a:extLst>
            <a:ext uri="{FF2B5EF4-FFF2-40B4-BE49-F238E27FC236}">
              <a16:creationId xmlns:a16="http://schemas.microsoft.com/office/drawing/2014/main" id="{00000000-0008-0000-0F00-0000AA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 name="AutoShape 1">
          <a:extLst>
            <a:ext uri="{FF2B5EF4-FFF2-40B4-BE49-F238E27FC236}">
              <a16:creationId xmlns:a16="http://schemas.microsoft.com/office/drawing/2014/main" id="{00000000-0008-0000-0F00-0000AB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 name="AutoShape 1">
          <a:extLst>
            <a:ext uri="{FF2B5EF4-FFF2-40B4-BE49-F238E27FC236}">
              <a16:creationId xmlns:a16="http://schemas.microsoft.com/office/drawing/2014/main" id="{00000000-0008-0000-0F00-0000AC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 name="AutoShape 1">
          <a:extLst>
            <a:ext uri="{FF2B5EF4-FFF2-40B4-BE49-F238E27FC236}">
              <a16:creationId xmlns:a16="http://schemas.microsoft.com/office/drawing/2014/main" id="{00000000-0008-0000-0F00-0000AD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 name="AutoShape 1">
          <a:extLst>
            <a:ext uri="{FF2B5EF4-FFF2-40B4-BE49-F238E27FC236}">
              <a16:creationId xmlns:a16="http://schemas.microsoft.com/office/drawing/2014/main" id="{00000000-0008-0000-0F00-0000AE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 name="AutoShape 1">
          <a:extLst>
            <a:ext uri="{FF2B5EF4-FFF2-40B4-BE49-F238E27FC236}">
              <a16:creationId xmlns:a16="http://schemas.microsoft.com/office/drawing/2014/main" id="{00000000-0008-0000-0F00-0000AF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 name="AutoShape 1">
          <a:extLst>
            <a:ext uri="{FF2B5EF4-FFF2-40B4-BE49-F238E27FC236}">
              <a16:creationId xmlns:a16="http://schemas.microsoft.com/office/drawing/2014/main" id="{00000000-0008-0000-0F00-0000B0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 name="AutoShape 1">
          <a:extLst>
            <a:ext uri="{FF2B5EF4-FFF2-40B4-BE49-F238E27FC236}">
              <a16:creationId xmlns:a16="http://schemas.microsoft.com/office/drawing/2014/main" id="{00000000-0008-0000-0F00-0000B1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 name="AutoShape 1">
          <a:extLst>
            <a:ext uri="{FF2B5EF4-FFF2-40B4-BE49-F238E27FC236}">
              <a16:creationId xmlns:a16="http://schemas.microsoft.com/office/drawing/2014/main" id="{00000000-0008-0000-0F00-0000B2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 name="AutoShape 1">
          <a:extLst>
            <a:ext uri="{FF2B5EF4-FFF2-40B4-BE49-F238E27FC236}">
              <a16:creationId xmlns:a16="http://schemas.microsoft.com/office/drawing/2014/main" id="{00000000-0008-0000-0F00-0000B3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 name="AutoShape 1">
          <a:extLst>
            <a:ext uri="{FF2B5EF4-FFF2-40B4-BE49-F238E27FC236}">
              <a16:creationId xmlns:a16="http://schemas.microsoft.com/office/drawing/2014/main" id="{00000000-0008-0000-0F00-0000B4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 name="AutoShape 1">
          <a:extLst>
            <a:ext uri="{FF2B5EF4-FFF2-40B4-BE49-F238E27FC236}">
              <a16:creationId xmlns:a16="http://schemas.microsoft.com/office/drawing/2014/main" id="{00000000-0008-0000-0F00-0000B5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 name="AutoShape 1">
          <a:extLst>
            <a:ext uri="{FF2B5EF4-FFF2-40B4-BE49-F238E27FC236}">
              <a16:creationId xmlns:a16="http://schemas.microsoft.com/office/drawing/2014/main" id="{00000000-0008-0000-0F00-0000B6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 name="AutoShape 1">
          <a:extLst>
            <a:ext uri="{FF2B5EF4-FFF2-40B4-BE49-F238E27FC236}">
              <a16:creationId xmlns:a16="http://schemas.microsoft.com/office/drawing/2014/main" id="{00000000-0008-0000-0F00-0000B7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 name="AutoShape 1">
          <a:extLst>
            <a:ext uri="{FF2B5EF4-FFF2-40B4-BE49-F238E27FC236}">
              <a16:creationId xmlns:a16="http://schemas.microsoft.com/office/drawing/2014/main" id="{00000000-0008-0000-0F00-0000B8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 name="AutoShape 1">
          <a:extLst>
            <a:ext uri="{FF2B5EF4-FFF2-40B4-BE49-F238E27FC236}">
              <a16:creationId xmlns:a16="http://schemas.microsoft.com/office/drawing/2014/main" id="{00000000-0008-0000-0F00-0000B9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 name="AutoShape 1">
          <a:extLst>
            <a:ext uri="{FF2B5EF4-FFF2-40B4-BE49-F238E27FC236}">
              <a16:creationId xmlns:a16="http://schemas.microsoft.com/office/drawing/2014/main" id="{00000000-0008-0000-0F00-0000BA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 name="AutoShape 1">
          <a:extLst>
            <a:ext uri="{FF2B5EF4-FFF2-40B4-BE49-F238E27FC236}">
              <a16:creationId xmlns:a16="http://schemas.microsoft.com/office/drawing/2014/main" id="{00000000-0008-0000-0F00-0000BB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8" name="AutoShape 1">
          <a:extLst>
            <a:ext uri="{FF2B5EF4-FFF2-40B4-BE49-F238E27FC236}">
              <a16:creationId xmlns:a16="http://schemas.microsoft.com/office/drawing/2014/main" id="{00000000-0008-0000-0F00-0000BC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9" name="AutoShape 1">
          <a:extLst>
            <a:ext uri="{FF2B5EF4-FFF2-40B4-BE49-F238E27FC236}">
              <a16:creationId xmlns:a16="http://schemas.microsoft.com/office/drawing/2014/main" id="{00000000-0008-0000-0F00-0000BD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0" name="AutoShape 1">
          <a:extLst>
            <a:ext uri="{FF2B5EF4-FFF2-40B4-BE49-F238E27FC236}">
              <a16:creationId xmlns:a16="http://schemas.microsoft.com/office/drawing/2014/main" id="{00000000-0008-0000-0F00-0000BE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1" name="AutoShape 1">
          <a:extLst>
            <a:ext uri="{FF2B5EF4-FFF2-40B4-BE49-F238E27FC236}">
              <a16:creationId xmlns:a16="http://schemas.microsoft.com/office/drawing/2014/main" id="{00000000-0008-0000-0F00-0000BF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2" name="AutoShape 1">
          <a:extLst>
            <a:ext uri="{FF2B5EF4-FFF2-40B4-BE49-F238E27FC236}">
              <a16:creationId xmlns:a16="http://schemas.microsoft.com/office/drawing/2014/main" id="{00000000-0008-0000-0F00-0000C0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3" name="AutoShape 1">
          <a:extLst>
            <a:ext uri="{FF2B5EF4-FFF2-40B4-BE49-F238E27FC236}">
              <a16:creationId xmlns:a16="http://schemas.microsoft.com/office/drawing/2014/main" id="{00000000-0008-0000-0F00-0000C1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4" name="AutoShape 1">
          <a:extLst>
            <a:ext uri="{FF2B5EF4-FFF2-40B4-BE49-F238E27FC236}">
              <a16:creationId xmlns:a16="http://schemas.microsoft.com/office/drawing/2014/main" id="{00000000-0008-0000-0F00-0000C2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5" name="AutoShape 1">
          <a:extLst>
            <a:ext uri="{FF2B5EF4-FFF2-40B4-BE49-F238E27FC236}">
              <a16:creationId xmlns:a16="http://schemas.microsoft.com/office/drawing/2014/main" id="{00000000-0008-0000-0F00-0000C3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6" name="AutoShape 1">
          <a:extLst>
            <a:ext uri="{FF2B5EF4-FFF2-40B4-BE49-F238E27FC236}">
              <a16:creationId xmlns:a16="http://schemas.microsoft.com/office/drawing/2014/main" id="{00000000-0008-0000-0F00-0000C4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7" name="AutoShape 1">
          <a:extLst>
            <a:ext uri="{FF2B5EF4-FFF2-40B4-BE49-F238E27FC236}">
              <a16:creationId xmlns:a16="http://schemas.microsoft.com/office/drawing/2014/main" id="{00000000-0008-0000-0F00-0000C5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8" name="AutoShape 1">
          <a:extLst>
            <a:ext uri="{FF2B5EF4-FFF2-40B4-BE49-F238E27FC236}">
              <a16:creationId xmlns:a16="http://schemas.microsoft.com/office/drawing/2014/main" id="{00000000-0008-0000-0F00-0000C6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99" name="AutoShape 1">
          <a:extLst>
            <a:ext uri="{FF2B5EF4-FFF2-40B4-BE49-F238E27FC236}">
              <a16:creationId xmlns:a16="http://schemas.microsoft.com/office/drawing/2014/main" id="{00000000-0008-0000-0F00-0000C7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0" name="AutoShape 1">
          <a:extLst>
            <a:ext uri="{FF2B5EF4-FFF2-40B4-BE49-F238E27FC236}">
              <a16:creationId xmlns:a16="http://schemas.microsoft.com/office/drawing/2014/main" id="{00000000-0008-0000-0F00-0000C8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1" name="AutoShape 1">
          <a:extLst>
            <a:ext uri="{FF2B5EF4-FFF2-40B4-BE49-F238E27FC236}">
              <a16:creationId xmlns:a16="http://schemas.microsoft.com/office/drawing/2014/main" id="{00000000-0008-0000-0F00-0000C9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2" name="AutoShape 1">
          <a:extLst>
            <a:ext uri="{FF2B5EF4-FFF2-40B4-BE49-F238E27FC236}">
              <a16:creationId xmlns:a16="http://schemas.microsoft.com/office/drawing/2014/main" id="{00000000-0008-0000-0F00-0000CA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3" name="AutoShape 1">
          <a:extLst>
            <a:ext uri="{FF2B5EF4-FFF2-40B4-BE49-F238E27FC236}">
              <a16:creationId xmlns:a16="http://schemas.microsoft.com/office/drawing/2014/main" id="{00000000-0008-0000-0F00-0000CB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4" name="AutoShape 1">
          <a:extLst>
            <a:ext uri="{FF2B5EF4-FFF2-40B4-BE49-F238E27FC236}">
              <a16:creationId xmlns:a16="http://schemas.microsoft.com/office/drawing/2014/main" id="{00000000-0008-0000-0F00-0000CC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5" name="AutoShape 1">
          <a:extLst>
            <a:ext uri="{FF2B5EF4-FFF2-40B4-BE49-F238E27FC236}">
              <a16:creationId xmlns:a16="http://schemas.microsoft.com/office/drawing/2014/main" id="{00000000-0008-0000-0F00-0000CD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6" name="AutoShape 1">
          <a:extLst>
            <a:ext uri="{FF2B5EF4-FFF2-40B4-BE49-F238E27FC236}">
              <a16:creationId xmlns:a16="http://schemas.microsoft.com/office/drawing/2014/main" id="{00000000-0008-0000-0F00-0000CE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7" name="AutoShape 1">
          <a:extLst>
            <a:ext uri="{FF2B5EF4-FFF2-40B4-BE49-F238E27FC236}">
              <a16:creationId xmlns:a16="http://schemas.microsoft.com/office/drawing/2014/main" id="{00000000-0008-0000-0F00-0000CF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8" name="AutoShape 1">
          <a:extLst>
            <a:ext uri="{FF2B5EF4-FFF2-40B4-BE49-F238E27FC236}">
              <a16:creationId xmlns:a16="http://schemas.microsoft.com/office/drawing/2014/main" id="{00000000-0008-0000-0F00-0000D0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09" name="AutoShape 1">
          <a:extLst>
            <a:ext uri="{FF2B5EF4-FFF2-40B4-BE49-F238E27FC236}">
              <a16:creationId xmlns:a16="http://schemas.microsoft.com/office/drawing/2014/main" id="{00000000-0008-0000-0F00-0000D1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0" name="AutoShape 1">
          <a:extLst>
            <a:ext uri="{FF2B5EF4-FFF2-40B4-BE49-F238E27FC236}">
              <a16:creationId xmlns:a16="http://schemas.microsoft.com/office/drawing/2014/main" id="{00000000-0008-0000-0F00-0000D2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1" name="AutoShape 1">
          <a:extLst>
            <a:ext uri="{FF2B5EF4-FFF2-40B4-BE49-F238E27FC236}">
              <a16:creationId xmlns:a16="http://schemas.microsoft.com/office/drawing/2014/main" id="{00000000-0008-0000-0F00-0000D3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2" name="AutoShape 1">
          <a:extLst>
            <a:ext uri="{FF2B5EF4-FFF2-40B4-BE49-F238E27FC236}">
              <a16:creationId xmlns:a16="http://schemas.microsoft.com/office/drawing/2014/main" id="{00000000-0008-0000-0F00-0000D4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3" name="AutoShape 1">
          <a:extLst>
            <a:ext uri="{FF2B5EF4-FFF2-40B4-BE49-F238E27FC236}">
              <a16:creationId xmlns:a16="http://schemas.microsoft.com/office/drawing/2014/main" id="{00000000-0008-0000-0F00-0000D5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4" name="AutoShape 1">
          <a:extLst>
            <a:ext uri="{FF2B5EF4-FFF2-40B4-BE49-F238E27FC236}">
              <a16:creationId xmlns:a16="http://schemas.microsoft.com/office/drawing/2014/main" id="{00000000-0008-0000-0F00-0000D6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5" name="AutoShape 1">
          <a:extLst>
            <a:ext uri="{FF2B5EF4-FFF2-40B4-BE49-F238E27FC236}">
              <a16:creationId xmlns:a16="http://schemas.microsoft.com/office/drawing/2014/main" id="{00000000-0008-0000-0F00-0000D7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6" name="AutoShape 1">
          <a:extLst>
            <a:ext uri="{FF2B5EF4-FFF2-40B4-BE49-F238E27FC236}">
              <a16:creationId xmlns:a16="http://schemas.microsoft.com/office/drawing/2014/main" id="{00000000-0008-0000-0F00-0000D8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7" name="AutoShape 1">
          <a:extLst>
            <a:ext uri="{FF2B5EF4-FFF2-40B4-BE49-F238E27FC236}">
              <a16:creationId xmlns:a16="http://schemas.microsoft.com/office/drawing/2014/main" id="{00000000-0008-0000-0F00-0000D9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8" name="AutoShape 1">
          <a:extLst>
            <a:ext uri="{FF2B5EF4-FFF2-40B4-BE49-F238E27FC236}">
              <a16:creationId xmlns:a16="http://schemas.microsoft.com/office/drawing/2014/main" id="{00000000-0008-0000-0F00-0000DA00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19" name="AutoShape 1">
          <a:extLst>
            <a:ext uri="{FF2B5EF4-FFF2-40B4-BE49-F238E27FC236}">
              <a16:creationId xmlns:a16="http://schemas.microsoft.com/office/drawing/2014/main" id="{00000000-0008-0000-0F00-0000DB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0" name="AutoShape 1">
          <a:extLst>
            <a:ext uri="{FF2B5EF4-FFF2-40B4-BE49-F238E27FC236}">
              <a16:creationId xmlns:a16="http://schemas.microsoft.com/office/drawing/2014/main" id="{00000000-0008-0000-0F00-0000DC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1" name="AutoShape 1">
          <a:extLst>
            <a:ext uri="{FF2B5EF4-FFF2-40B4-BE49-F238E27FC236}">
              <a16:creationId xmlns:a16="http://schemas.microsoft.com/office/drawing/2014/main" id="{00000000-0008-0000-0F00-0000DD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2" name="AutoShape 1">
          <a:extLst>
            <a:ext uri="{FF2B5EF4-FFF2-40B4-BE49-F238E27FC236}">
              <a16:creationId xmlns:a16="http://schemas.microsoft.com/office/drawing/2014/main" id="{00000000-0008-0000-0F00-0000DE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3" name="AutoShape 1">
          <a:extLst>
            <a:ext uri="{FF2B5EF4-FFF2-40B4-BE49-F238E27FC236}">
              <a16:creationId xmlns:a16="http://schemas.microsoft.com/office/drawing/2014/main" id="{00000000-0008-0000-0F00-0000DF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4" name="AutoShape 1">
          <a:extLst>
            <a:ext uri="{FF2B5EF4-FFF2-40B4-BE49-F238E27FC236}">
              <a16:creationId xmlns:a16="http://schemas.microsoft.com/office/drawing/2014/main" id="{00000000-0008-0000-0F00-0000E0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5" name="AutoShape 1">
          <a:extLst>
            <a:ext uri="{FF2B5EF4-FFF2-40B4-BE49-F238E27FC236}">
              <a16:creationId xmlns:a16="http://schemas.microsoft.com/office/drawing/2014/main" id="{00000000-0008-0000-0F00-0000E1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6" name="AutoShape 1">
          <a:extLst>
            <a:ext uri="{FF2B5EF4-FFF2-40B4-BE49-F238E27FC236}">
              <a16:creationId xmlns:a16="http://schemas.microsoft.com/office/drawing/2014/main" id="{00000000-0008-0000-0F00-0000E2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7" name="AutoShape 1">
          <a:extLst>
            <a:ext uri="{FF2B5EF4-FFF2-40B4-BE49-F238E27FC236}">
              <a16:creationId xmlns:a16="http://schemas.microsoft.com/office/drawing/2014/main" id="{00000000-0008-0000-0F00-0000E3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8" name="AutoShape 1">
          <a:extLst>
            <a:ext uri="{FF2B5EF4-FFF2-40B4-BE49-F238E27FC236}">
              <a16:creationId xmlns:a16="http://schemas.microsoft.com/office/drawing/2014/main" id="{00000000-0008-0000-0F00-0000E400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29" name="AutoShape 1">
          <a:extLst>
            <a:ext uri="{FF2B5EF4-FFF2-40B4-BE49-F238E27FC236}">
              <a16:creationId xmlns:a16="http://schemas.microsoft.com/office/drawing/2014/main" id="{00000000-0008-0000-0F00-0000E5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0" name="AutoShape 1">
          <a:extLst>
            <a:ext uri="{FF2B5EF4-FFF2-40B4-BE49-F238E27FC236}">
              <a16:creationId xmlns:a16="http://schemas.microsoft.com/office/drawing/2014/main" id="{00000000-0008-0000-0F00-0000E6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1" name="AutoShape 1">
          <a:extLst>
            <a:ext uri="{FF2B5EF4-FFF2-40B4-BE49-F238E27FC236}">
              <a16:creationId xmlns:a16="http://schemas.microsoft.com/office/drawing/2014/main" id="{00000000-0008-0000-0F00-0000E7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2" name="AutoShape 1">
          <a:extLst>
            <a:ext uri="{FF2B5EF4-FFF2-40B4-BE49-F238E27FC236}">
              <a16:creationId xmlns:a16="http://schemas.microsoft.com/office/drawing/2014/main" id="{00000000-0008-0000-0F00-0000E8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3" name="AutoShape 1">
          <a:extLst>
            <a:ext uri="{FF2B5EF4-FFF2-40B4-BE49-F238E27FC236}">
              <a16:creationId xmlns:a16="http://schemas.microsoft.com/office/drawing/2014/main" id="{00000000-0008-0000-0F00-0000E9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4" name="AutoShape 1">
          <a:extLst>
            <a:ext uri="{FF2B5EF4-FFF2-40B4-BE49-F238E27FC236}">
              <a16:creationId xmlns:a16="http://schemas.microsoft.com/office/drawing/2014/main" id="{00000000-0008-0000-0F00-0000EA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5" name="AutoShape 1">
          <a:extLst>
            <a:ext uri="{FF2B5EF4-FFF2-40B4-BE49-F238E27FC236}">
              <a16:creationId xmlns:a16="http://schemas.microsoft.com/office/drawing/2014/main" id="{00000000-0008-0000-0F00-0000EB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6" name="AutoShape 1">
          <a:extLst>
            <a:ext uri="{FF2B5EF4-FFF2-40B4-BE49-F238E27FC236}">
              <a16:creationId xmlns:a16="http://schemas.microsoft.com/office/drawing/2014/main" id="{00000000-0008-0000-0F00-0000EC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7" name="AutoShape 1">
          <a:extLst>
            <a:ext uri="{FF2B5EF4-FFF2-40B4-BE49-F238E27FC236}">
              <a16:creationId xmlns:a16="http://schemas.microsoft.com/office/drawing/2014/main" id="{00000000-0008-0000-0F00-0000ED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8" name="AutoShape 1">
          <a:extLst>
            <a:ext uri="{FF2B5EF4-FFF2-40B4-BE49-F238E27FC236}">
              <a16:creationId xmlns:a16="http://schemas.microsoft.com/office/drawing/2014/main" id="{00000000-0008-0000-0F00-0000EE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39" name="AutoShape 1">
          <a:extLst>
            <a:ext uri="{FF2B5EF4-FFF2-40B4-BE49-F238E27FC236}">
              <a16:creationId xmlns:a16="http://schemas.microsoft.com/office/drawing/2014/main" id="{00000000-0008-0000-0F00-0000EF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0" name="AutoShape 1">
          <a:extLst>
            <a:ext uri="{FF2B5EF4-FFF2-40B4-BE49-F238E27FC236}">
              <a16:creationId xmlns:a16="http://schemas.microsoft.com/office/drawing/2014/main" id="{00000000-0008-0000-0F00-0000F0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1" name="AutoShape 1">
          <a:extLst>
            <a:ext uri="{FF2B5EF4-FFF2-40B4-BE49-F238E27FC236}">
              <a16:creationId xmlns:a16="http://schemas.microsoft.com/office/drawing/2014/main" id="{00000000-0008-0000-0F00-0000F1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2" name="AutoShape 1">
          <a:extLst>
            <a:ext uri="{FF2B5EF4-FFF2-40B4-BE49-F238E27FC236}">
              <a16:creationId xmlns:a16="http://schemas.microsoft.com/office/drawing/2014/main" id="{00000000-0008-0000-0F00-0000F2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3" name="AutoShape 1">
          <a:extLst>
            <a:ext uri="{FF2B5EF4-FFF2-40B4-BE49-F238E27FC236}">
              <a16:creationId xmlns:a16="http://schemas.microsoft.com/office/drawing/2014/main" id="{00000000-0008-0000-0F00-0000F3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4" name="AutoShape 1">
          <a:extLst>
            <a:ext uri="{FF2B5EF4-FFF2-40B4-BE49-F238E27FC236}">
              <a16:creationId xmlns:a16="http://schemas.microsoft.com/office/drawing/2014/main" id="{00000000-0008-0000-0F00-0000F4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5" name="AutoShape 1">
          <a:extLst>
            <a:ext uri="{FF2B5EF4-FFF2-40B4-BE49-F238E27FC236}">
              <a16:creationId xmlns:a16="http://schemas.microsoft.com/office/drawing/2014/main" id="{00000000-0008-0000-0F00-0000F5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6" name="AutoShape 1">
          <a:extLst>
            <a:ext uri="{FF2B5EF4-FFF2-40B4-BE49-F238E27FC236}">
              <a16:creationId xmlns:a16="http://schemas.microsoft.com/office/drawing/2014/main" id="{00000000-0008-0000-0F00-0000F6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7" name="AutoShape 1">
          <a:extLst>
            <a:ext uri="{FF2B5EF4-FFF2-40B4-BE49-F238E27FC236}">
              <a16:creationId xmlns:a16="http://schemas.microsoft.com/office/drawing/2014/main" id="{00000000-0008-0000-0F00-0000F7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8" name="AutoShape 1">
          <a:extLst>
            <a:ext uri="{FF2B5EF4-FFF2-40B4-BE49-F238E27FC236}">
              <a16:creationId xmlns:a16="http://schemas.microsoft.com/office/drawing/2014/main" id="{00000000-0008-0000-0F00-0000F8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49" name="AutoShape 1">
          <a:extLst>
            <a:ext uri="{FF2B5EF4-FFF2-40B4-BE49-F238E27FC236}">
              <a16:creationId xmlns:a16="http://schemas.microsoft.com/office/drawing/2014/main" id="{00000000-0008-0000-0F00-0000F9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0" name="AutoShape 1">
          <a:extLst>
            <a:ext uri="{FF2B5EF4-FFF2-40B4-BE49-F238E27FC236}">
              <a16:creationId xmlns:a16="http://schemas.microsoft.com/office/drawing/2014/main" id="{00000000-0008-0000-0F00-0000FA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1" name="AutoShape 1">
          <a:extLst>
            <a:ext uri="{FF2B5EF4-FFF2-40B4-BE49-F238E27FC236}">
              <a16:creationId xmlns:a16="http://schemas.microsoft.com/office/drawing/2014/main" id="{00000000-0008-0000-0F00-0000FB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2" name="AutoShape 1">
          <a:extLst>
            <a:ext uri="{FF2B5EF4-FFF2-40B4-BE49-F238E27FC236}">
              <a16:creationId xmlns:a16="http://schemas.microsoft.com/office/drawing/2014/main" id="{00000000-0008-0000-0F00-0000FC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3" name="AutoShape 1">
          <a:extLst>
            <a:ext uri="{FF2B5EF4-FFF2-40B4-BE49-F238E27FC236}">
              <a16:creationId xmlns:a16="http://schemas.microsoft.com/office/drawing/2014/main" id="{00000000-0008-0000-0F00-0000FD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4" name="AutoShape 1">
          <a:extLst>
            <a:ext uri="{FF2B5EF4-FFF2-40B4-BE49-F238E27FC236}">
              <a16:creationId xmlns:a16="http://schemas.microsoft.com/office/drawing/2014/main" id="{00000000-0008-0000-0F00-0000FE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5" name="AutoShape 1">
          <a:extLst>
            <a:ext uri="{FF2B5EF4-FFF2-40B4-BE49-F238E27FC236}">
              <a16:creationId xmlns:a16="http://schemas.microsoft.com/office/drawing/2014/main" id="{00000000-0008-0000-0F00-0000FF00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6" name="AutoShape 1">
          <a:extLst>
            <a:ext uri="{FF2B5EF4-FFF2-40B4-BE49-F238E27FC236}">
              <a16:creationId xmlns:a16="http://schemas.microsoft.com/office/drawing/2014/main" id="{00000000-0008-0000-0F00-00000001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7" name="AutoShape 1">
          <a:extLst>
            <a:ext uri="{FF2B5EF4-FFF2-40B4-BE49-F238E27FC236}">
              <a16:creationId xmlns:a16="http://schemas.microsoft.com/office/drawing/2014/main" id="{00000000-0008-0000-0F00-000001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8" name="AutoShape 1">
          <a:extLst>
            <a:ext uri="{FF2B5EF4-FFF2-40B4-BE49-F238E27FC236}">
              <a16:creationId xmlns:a16="http://schemas.microsoft.com/office/drawing/2014/main" id="{00000000-0008-0000-0F00-000002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59" name="AutoShape 1">
          <a:extLst>
            <a:ext uri="{FF2B5EF4-FFF2-40B4-BE49-F238E27FC236}">
              <a16:creationId xmlns:a16="http://schemas.microsoft.com/office/drawing/2014/main" id="{00000000-0008-0000-0F00-000003010000}"/>
            </a:ext>
          </a:extLst>
        </xdr:cNvPr>
        <xdr:cNvSpPr>
          <a:spLocks noChangeAspect="1" noChangeArrowheads="1"/>
        </xdr:cNvSpPr>
      </xdr:nvSpPr>
      <xdr:spPr bwMode="auto">
        <a:xfrm>
          <a:off x="97155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3" name="AutoShape 1">
          <a:extLst>
            <a:ext uri="{FF2B5EF4-FFF2-40B4-BE49-F238E27FC236}">
              <a16:creationId xmlns:a16="http://schemas.microsoft.com/office/drawing/2014/main" id="{00000000-0008-0000-0F00-000007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4" name="AutoShape 1">
          <a:extLst>
            <a:ext uri="{FF2B5EF4-FFF2-40B4-BE49-F238E27FC236}">
              <a16:creationId xmlns:a16="http://schemas.microsoft.com/office/drawing/2014/main" id="{00000000-0008-0000-0F00-000008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5" name="AutoShape 1">
          <a:extLst>
            <a:ext uri="{FF2B5EF4-FFF2-40B4-BE49-F238E27FC236}">
              <a16:creationId xmlns:a16="http://schemas.microsoft.com/office/drawing/2014/main" id="{00000000-0008-0000-0F00-000009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6" name="AutoShape 1">
          <a:extLst>
            <a:ext uri="{FF2B5EF4-FFF2-40B4-BE49-F238E27FC236}">
              <a16:creationId xmlns:a16="http://schemas.microsoft.com/office/drawing/2014/main" id="{00000000-0008-0000-0F00-00000A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7" name="AutoShape 1">
          <a:extLst>
            <a:ext uri="{FF2B5EF4-FFF2-40B4-BE49-F238E27FC236}">
              <a16:creationId xmlns:a16="http://schemas.microsoft.com/office/drawing/2014/main" id="{00000000-0008-0000-0F00-00000B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8" name="AutoShape 1">
          <a:extLst>
            <a:ext uri="{FF2B5EF4-FFF2-40B4-BE49-F238E27FC236}">
              <a16:creationId xmlns:a16="http://schemas.microsoft.com/office/drawing/2014/main" id="{00000000-0008-0000-0F00-00000C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9" name="AutoShape 1">
          <a:extLst>
            <a:ext uri="{FF2B5EF4-FFF2-40B4-BE49-F238E27FC236}">
              <a16:creationId xmlns:a16="http://schemas.microsoft.com/office/drawing/2014/main" id="{00000000-0008-0000-0F00-00000D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0" name="AutoShape 1">
          <a:extLst>
            <a:ext uri="{FF2B5EF4-FFF2-40B4-BE49-F238E27FC236}">
              <a16:creationId xmlns:a16="http://schemas.microsoft.com/office/drawing/2014/main" id="{00000000-0008-0000-0F00-00000E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1" name="AutoShape 1">
          <a:extLst>
            <a:ext uri="{FF2B5EF4-FFF2-40B4-BE49-F238E27FC236}">
              <a16:creationId xmlns:a16="http://schemas.microsoft.com/office/drawing/2014/main" id="{00000000-0008-0000-0F00-00000F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2" name="AutoShape 1">
          <a:extLst>
            <a:ext uri="{FF2B5EF4-FFF2-40B4-BE49-F238E27FC236}">
              <a16:creationId xmlns:a16="http://schemas.microsoft.com/office/drawing/2014/main" id="{00000000-0008-0000-0F00-000010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3" name="AutoShape 1">
          <a:extLst>
            <a:ext uri="{FF2B5EF4-FFF2-40B4-BE49-F238E27FC236}">
              <a16:creationId xmlns:a16="http://schemas.microsoft.com/office/drawing/2014/main" id="{00000000-0008-0000-0F00-000011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4" name="AutoShape 1">
          <a:extLst>
            <a:ext uri="{FF2B5EF4-FFF2-40B4-BE49-F238E27FC236}">
              <a16:creationId xmlns:a16="http://schemas.microsoft.com/office/drawing/2014/main" id="{00000000-0008-0000-0F00-000012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5" name="AutoShape 1">
          <a:extLst>
            <a:ext uri="{FF2B5EF4-FFF2-40B4-BE49-F238E27FC236}">
              <a16:creationId xmlns:a16="http://schemas.microsoft.com/office/drawing/2014/main" id="{00000000-0008-0000-0F00-000013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6" name="AutoShape 1">
          <a:extLst>
            <a:ext uri="{FF2B5EF4-FFF2-40B4-BE49-F238E27FC236}">
              <a16:creationId xmlns:a16="http://schemas.microsoft.com/office/drawing/2014/main" id="{00000000-0008-0000-0F00-000014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7" name="AutoShape 1">
          <a:extLst>
            <a:ext uri="{FF2B5EF4-FFF2-40B4-BE49-F238E27FC236}">
              <a16:creationId xmlns:a16="http://schemas.microsoft.com/office/drawing/2014/main" id="{00000000-0008-0000-0F00-000015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8" name="AutoShape 1">
          <a:extLst>
            <a:ext uri="{FF2B5EF4-FFF2-40B4-BE49-F238E27FC236}">
              <a16:creationId xmlns:a16="http://schemas.microsoft.com/office/drawing/2014/main" id="{00000000-0008-0000-0F00-000016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79" name="AutoShape 1">
          <a:extLst>
            <a:ext uri="{FF2B5EF4-FFF2-40B4-BE49-F238E27FC236}">
              <a16:creationId xmlns:a16="http://schemas.microsoft.com/office/drawing/2014/main" id="{00000000-0008-0000-0F00-000017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0" name="AutoShape 1">
          <a:extLst>
            <a:ext uri="{FF2B5EF4-FFF2-40B4-BE49-F238E27FC236}">
              <a16:creationId xmlns:a16="http://schemas.microsoft.com/office/drawing/2014/main" id="{00000000-0008-0000-0F00-000018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 name="AutoShape 1">
          <a:extLst>
            <a:ext uri="{FF2B5EF4-FFF2-40B4-BE49-F238E27FC236}">
              <a16:creationId xmlns:a16="http://schemas.microsoft.com/office/drawing/2014/main" id="{00000000-0008-0000-0F00-000019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 name="AutoShape 1">
          <a:extLst>
            <a:ext uri="{FF2B5EF4-FFF2-40B4-BE49-F238E27FC236}">
              <a16:creationId xmlns:a16="http://schemas.microsoft.com/office/drawing/2014/main" id="{00000000-0008-0000-0F00-00001A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 name="AutoShape 1">
          <a:extLst>
            <a:ext uri="{FF2B5EF4-FFF2-40B4-BE49-F238E27FC236}">
              <a16:creationId xmlns:a16="http://schemas.microsoft.com/office/drawing/2014/main" id="{00000000-0008-0000-0F00-00001B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 name="AutoShape 1">
          <a:extLst>
            <a:ext uri="{FF2B5EF4-FFF2-40B4-BE49-F238E27FC236}">
              <a16:creationId xmlns:a16="http://schemas.microsoft.com/office/drawing/2014/main" id="{00000000-0008-0000-0F00-00001C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 name="AutoShape 1">
          <a:extLst>
            <a:ext uri="{FF2B5EF4-FFF2-40B4-BE49-F238E27FC236}">
              <a16:creationId xmlns:a16="http://schemas.microsoft.com/office/drawing/2014/main" id="{00000000-0008-0000-0F00-00001D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 name="AutoShape 1">
          <a:extLst>
            <a:ext uri="{FF2B5EF4-FFF2-40B4-BE49-F238E27FC236}">
              <a16:creationId xmlns:a16="http://schemas.microsoft.com/office/drawing/2014/main" id="{00000000-0008-0000-0F00-00001E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 name="AutoShape 1">
          <a:extLst>
            <a:ext uri="{FF2B5EF4-FFF2-40B4-BE49-F238E27FC236}">
              <a16:creationId xmlns:a16="http://schemas.microsoft.com/office/drawing/2014/main" id="{00000000-0008-0000-0F00-00001F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 name="AutoShape 1">
          <a:extLst>
            <a:ext uri="{FF2B5EF4-FFF2-40B4-BE49-F238E27FC236}">
              <a16:creationId xmlns:a16="http://schemas.microsoft.com/office/drawing/2014/main" id="{00000000-0008-0000-0F00-000020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 name="AutoShape 1">
          <a:extLst>
            <a:ext uri="{FF2B5EF4-FFF2-40B4-BE49-F238E27FC236}">
              <a16:creationId xmlns:a16="http://schemas.microsoft.com/office/drawing/2014/main" id="{00000000-0008-0000-0F00-000021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 name="AutoShape 1">
          <a:extLst>
            <a:ext uri="{FF2B5EF4-FFF2-40B4-BE49-F238E27FC236}">
              <a16:creationId xmlns:a16="http://schemas.microsoft.com/office/drawing/2014/main" id="{00000000-0008-0000-0F00-000022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 name="AutoShape 1">
          <a:extLst>
            <a:ext uri="{FF2B5EF4-FFF2-40B4-BE49-F238E27FC236}">
              <a16:creationId xmlns:a16="http://schemas.microsoft.com/office/drawing/2014/main" id="{00000000-0008-0000-0F00-000023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 name="AutoShape 1">
          <a:extLst>
            <a:ext uri="{FF2B5EF4-FFF2-40B4-BE49-F238E27FC236}">
              <a16:creationId xmlns:a16="http://schemas.microsoft.com/office/drawing/2014/main" id="{00000000-0008-0000-0F00-000024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 name="AutoShape 1">
          <a:extLst>
            <a:ext uri="{FF2B5EF4-FFF2-40B4-BE49-F238E27FC236}">
              <a16:creationId xmlns:a16="http://schemas.microsoft.com/office/drawing/2014/main" id="{00000000-0008-0000-0F00-000025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 name="AutoShape 1">
          <a:extLst>
            <a:ext uri="{FF2B5EF4-FFF2-40B4-BE49-F238E27FC236}">
              <a16:creationId xmlns:a16="http://schemas.microsoft.com/office/drawing/2014/main" id="{00000000-0008-0000-0F00-000026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 name="AutoShape 1">
          <a:extLst>
            <a:ext uri="{FF2B5EF4-FFF2-40B4-BE49-F238E27FC236}">
              <a16:creationId xmlns:a16="http://schemas.microsoft.com/office/drawing/2014/main" id="{00000000-0008-0000-0F00-000027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 name="AutoShape 1">
          <a:extLst>
            <a:ext uri="{FF2B5EF4-FFF2-40B4-BE49-F238E27FC236}">
              <a16:creationId xmlns:a16="http://schemas.microsoft.com/office/drawing/2014/main" id="{00000000-0008-0000-0F00-000028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 name="AutoShape 1">
          <a:extLst>
            <a:ext uri="{FF2B5EF4-FFF2-40B4-BE49-F238E27FC236}">
              <a16:creationId xmlns:a16="http://schemas.microsoft.com/office/drawing/2014/main" id="{00000000-0008-0000-0F00-000029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 name="AutoShape 1">
          <a:extLst>
            <a:ext uri="{FF2B5EF4-FFF2-40B4-BE49-F238E27FC236}">
              <a16:creationId xmlns:a16="http://schemas.microsoft.com/office/drawing/2014/main" id="{00000000-0008-0000-0F00-00002A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 name="AutoShape 1">
          <a:extLst>
            <a:ext uri="{FF2B5EF4-FFF2-40B4-BE49-F238E27FC236}">
              <a16:creationId xmlns:a16="http://schemas.microsoft.com/office/drawing/2014/main" id="{00000000-0008-0000-0F00-00002B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 name="AutoShape 1">
          <a:extLst>
            <a:ext uri="{FF2B5EF4-FFF2-40B4-BE49-F238E27FC236}">
              <a16:creationId xmlns:a16="http://schemas.microsoft.com/office/drawing/2014/main" id="{00000000-0008-0000-0F00-00002C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 name="AutoShape 1">
          <a:extLst>
            <a:ext uri="{FF2B5EF4-FFF2-40B4-BE49-F238E27FC236}">
              <a16:creationId xmlns:a16="http://schemas.microsoft.com/office/drawing/2014/main" id="{00000000-0008-0000-0F00-00002D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 name="AutoShape 1">
          <a:extLst>
            <a:ext uri="{FF2B5EF4-FFF2-40B4-BE49-F238E27FC236}">
              <a16:creationId xmlns:a16="http://schemas.microsoft.com/office/drawing/2014/main" id="{00000000-0008-0000-0F00-00002E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 name="AutoShape 1">
          <a:extLst>
            <a:ext uri="{FF2B5EF4-FFF2-40B4-BE49-F238E27FC236}">
              <a16:creationId xmlns:a16="http://schemas.microsoft.com/office/drawing/2014/main" id="{00000000-0008-0000-0F00-00002F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 name="AutoShape 1">
          <a:extLst>
            <a:ext uri="{FF2B5EF4-FFF2-40B4-BE49-F238E27FC236}">
              <a16:creationId xmlns:a16="http://schemas.microsoft.com/office/drawing/2014/main" id="{00000000-0008-0000-0F00-000030010000}"/>
            </a:ext>
          </a:extLst>
        </xdr:cNvPr>
        <xdr:cNvSpPr>
          <a:spLocks noChangeAspect="1" noChangeArrowheads="1"/>
        </xdr:cNvSpPr>
      </xdr:nvSpPr>
      <xdr:spPr bwMode="auto">
        <a:xfrm>
          <a:off x="971550" y="534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 name="AutoShape 1">
          <a:extLst>
            <a:ext uri="{FF2B5EF4-FFF2-40B4-BE49-F238E27FC236}">
              <a16:creationId xmlns:a16="http://schemas.microsoft.com/office/drawing/2014/main" id="{00000000-0008-0000-0F00-000031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 name="AutoShape 1">
          <a:extLst>
            <a:ext uri="{FF2B5EF4-FFF2-40B4-BE49-F238E27FC236}">
              <a16:creationId xmlns:a16="http://schemas.microsoft.com/office/drawing/2014/main" id="{00000000-0008-0000-0F00-000032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 name="AutoShape 1">
          <a:extLst>
            <a:ext uri="{FF2B5EF4-FFF2-40B4-BE49-F238E27FC236}">
              <a16:creationId xmlns:a16="http://schemas.microsoft.com/office/drawing/2014/main" id="{00000000-0008-0000-0F00-000033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 name="AutoShape 1">
          <a:extLst>
            <a:ext uri="{FF2B5EF4-FFF2-40B4-BE49-F238E27FC236}">
              <a16:creationId xmlns:a16="http://schemas.microsoft.com/office/drawing/2014/main" id="{00000000-0008-0000-0F00-000034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 name="AutoShape 1">
          <a:extLst>
            <a:ext uri="{FF2B5EF4-FFF2-40B4-BE49-F238E27FC236}">
              <a16:creationId xmlns:a16="http://schemas.microsoft.com/office/drawing/2014/main" id="{00000000-0008-0000-0F00-000035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 name="AutoShape 1">
          <a:extLst>
            <a:ext uri="{FF2B5EF4-FFF2-40B4-BE49-F238E27FC236}">
              <a16:creationId xmlns:a16="http://schemas.microsoft.com/office/drawing/2014/main" id="{00000000-0008-0000-0F00-000036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 name="AutoShape 1">
          <a:extLst>
            <a:ext uri="{FF2B5EF4-FFF2-40B4-BE49-F238E27FC236}">
              <a16:creationId xmlns:a16="http://schemas.microsoft.com/office/drawing/2014/main" id="{00000000-0008-0000-0F00-000037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 name="AutoShape 1">
          <a:extLst>
            <a:ext uri="{FF2B5EF4-FFF2-40B4-BE49-F238E27FC236}">
              <a16:creationId xmlns:a16="http://schemas.microsoft.com/office/drawing/2014/main" id="{00000000-0008-0000-0F00-000038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 name="AutoShape 1">
          <a:extLst>
            <a:ext uri="{FF2B5EF4-FFF2-40B4-BE49-F238E27FC236}">
              <a16:creationId xmlns:a16="http://schemas.microsoft.com/office/drawing/2014/main" id="{00000000-0008-0000-0F00-000039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 name="AutoShape 1">
          <a:extLst>
            <a:ext uri="{FF2B5EF4-FFF2-40B4-BE49-F238E27FC236}">
              <a16:creationId xmlns:a16="http://schemas.microsoft.com/office/drawing/2014/main" id="{00000000-0008-0000-0F00-00003A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 name="AutoShape 1">
          <a:extLst>
            <a:ext uri="{FF2B5EF4-FFF2-40B4-BE49-F238E27FC236}">
              <a16:creationId xmlns:a16="http://schemas.microsoft.com/office/drawing/2014/main" id="{00000000-0008-0000-0F00-00003B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 name="AutoShape 1">
          <a:extLst>
            <a:ext uri="{FF2B5EF4-FFF2-40B4-BE49-F238E27FC236}">
              <a16:creationId xmlns:a16="http://schemas.microsoft.com/office/drawing/2014/main" id="{00000000-0008-0000-0F00-00003C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 name="AutoShape 1">
          <a:extLst>
            <a:ext uri="{FF2B5EF4-FFF2-40B4-BE49-F238E27FC236}">
              <a16:creationId xmlns:a16="http://schemas.microsoft.com/office/drawing/2014/main" id="{00000000-0008-0000-0F00-00003D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 name="AutoShape 1">
          <a:extLst>
            <a:ext uri="{FF2B5EF4-FFF2-40B4-BE49-F238E27FC236}">
              <a16:creationId xmlns:a16="http://schemas.microsoft.com/office/drawing/2014/main" id="{00000000-0008-0000-0F00-00003E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 name="AutoShape 1">
          <a:extLst>
            <a:ext uri="{FF2B5EF4-FFF2-40B4-BE49-F238E27FC236}">
              <a16:creationId xmlns:a16="http://schemas.microsoft.com/office/drawing/2014/main" id="{00000000-0008-0000-0F00-00003F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 name="AutoShape 1">
          <a:extLst>
            <a:ext uri="{FF2B5EF4-FFF2-40B4-BE49-F238E27FC236}">
              <a16:creationId xmlns:a16="http://schemas.microsoft.com/office/drawing/2014/main" id="{00000000-0008-0000-0F00-000040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 name="AutoShape 1">
          <a:extLst>
            <a:ext uri="{FF2B5EF4-FFF2-40B4-BE49-F238E27FC236}">
              <a16:creationId xmlns:a16="http://schemas.microsoft.com/office/drawing/2014/main" id="{00000000-0008-0000-0F00-000041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 name="AutoShape 1">
          <a:extLst>
            <a:ext uri="{FF2B5EF4-FFF2-40B4-BE49-F238E27FC236}">
              <a16:creationId xmlns:a16="http://schemas.microsoft.com/office/drawing/2014/main" id="{00000000-0008-0000-0F00-000042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 name="AutoShape 1">
          <a:extLst>
            <a:ext uri="{FF2B5EF4-FFF2-40B4-BE49-F238E27FC236}">
              <a16:creationId xmlns:a16="http://schemas.microsoft.com/office/drawing/2014/main" id="{00000000-0008-0000-0F00-000043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 name="AutoShape 1">
          <a:extLst>
            <a:ext uri="{FF2B5EF4-FFF2-40B4-BE49-F238E27FC236}">
              <a16:creationId xmlns:a16="http://schemas.microsoft.com/office/drawing/2014/main" id="{00000000-0008-0000-0F00-000044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 name="AutoShape 1">
          <a:extLst>
            <a:ext uri="{FF2B5EF4-FFF2-40B4-BE49-F238E27FC236}">
              <a16:creationId xmlns:a16="http://schemas.microsoft.com/office/drawing/2014/main" id="{00000000-0008-0000-0F00-000045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 name="AutoShape 1">
          <a:extLst>
            <a:ext uri="{FF2B5EF4-FFF2-40B4-BE49-F238E27FC236}">
              <a16:creationId xmlns:a16="http://schemas.microsoft.com/office/drawing/2014/main" id="{00000000-0008-0000-0F00-000046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 name="AutoShape 1">
          <a:extLst>
            <a:ext uri="{FF2B5EF4-FFF2-40B4-BE49-F238E27FC236}">
              <a16:creationId xmlns:a16="http://schemas.microsoft.com/office/drawing/2014/main" id="{00000000-0008-0000-0F00-000047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 name="AutoShape 1">
          <a:extLst>
            <a:ext uri="{FF2B5EF4-FFF2-40B4-BE49-F238E27FC236}">
              <a16:creationId xmlns:a16="http://schemas.microsoft.com/office/drawing/2014/main" id="{00000000-0008-0000-0F00-000048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 name="AutoShape 1">
          <a:extLst>
            <a:ext uri="{FF2B5EF4-FFF2-40B4-BE49-F238E27FC236}">
              <a16:creationId xmlns:a16="http://schemas.microsoft.com/office/drawing/2014/main" id="{00000000-0008-0000-0F00-000049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 name="AutoShape 1">
          <a:extLst>
            <a:ext uri="{FF2B5EF4-FFF2-40B4-BE49-F238E27FC236}">
              <a16:creationId xmlns:a16="http://schemas.microsoft.com/office/drawing/2014/main" id="{00000000-0008-0000-0F00-00004A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 name="AutoShape 1">
          <a:extLst>
            <a:ext uri="{FF2B5EF4-FFF2-40B4-BE49-F238E27FC236}">
              <a16:creationId xmlns:a16="http://schemas.microsoft.com/office/drawing/2014/main" id="{00000000-0008-0000-0F00-00004B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 name="AutoShape 1">
          <a:extLst>
            <a:ext uri="{FF2B5EF4-FFF2-40B4-BE49-F238E27FC236}">
              <a16:creationId xmlns:a16="http://schemas.microsoft.com/office/drawing/2014/main" id="{00000000-0008-0000-0F00-00004C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 name="AutoShape 1">
          <a:extLst>
            <a:ext uri="{FF2B5EF4-FFF2-40B4-BE49-F238E27FC236}">
              <a16:creationId xmlns:a16="http://schemas.microsoft.com/office/drawing/2014/main" id="{00000000-0008-0000-0F00-00004D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 name="AutoShape 1">
          <a:extLst>
            <a:ext uri="{FF2B5EF4-FFF2-40B4-BE49-F238E27FC236}">
              <a16:creationId xmlns:a16="http://schemas.microsoft.com/office/drawing/2014/main" id="{00000000-0008-0000-0F00-00004E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 name="AutoShape 1">
          <a:extLst>
            <a:ext uri="{FF2B5EF4-FFF2-40B4-BE49-F238E27FC236}">
              <a16:creationId xmlns:a16="http://schemas.microsoft.com/office/drawing/2014/main" id="{00000000-0008-0000-0F00-00004F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 name="AutoShape 1">
          <a:extLst>
            <a:ext uri="{FF2B5EF4-FFF2-40B4-BE49-F238E27FC236}">
              <a16:creationId xmlns:a16="http://schemas.microsoft.com/office/drawing/2014/main" id="{00000000-0008-0000-0F00-000050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 name="AutoShape 1">
          <a:extLst>
            <a:ext uri="{FF2B5EF4-FFF2-40B4-BE49-F238E27FC236}">
              <a16:creationId xmlns:a16="http://schemas.microsoft.com/office/drawing/2014/main" id="{00000000-0008-0000-0F00-000051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 name="AutoShape 1">
          <a:extLst>
            <a:ext uri="{FF2B5EF4-FFF2-40B4-BE49-F238E27FC236}">
              <a16:creationId xmlns:a16="http://schemas.microsoft.com/office/drawing/2014/main" id="{00000000-0008-0000-0F00-000052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 name="AutoShape 1">
          <a:extLst>
            <a:ext uri="{FF2B5EF4-FFF2-40B4-BE49-F238E27FC236}">
              <a16:creationId xmlns:a16="http://schemas.microsoft.com/office/drawing/2014/main" id="{00000000-0008-0000-0F00-000053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 name="AutoShape 1">
          <a:extLst>
            <a:ext uri="{FF2B5EF4-FFF2-40B4-BE49-F238E27FC236}">
              <a16:creationId xmlns:a16="http://schemas.microsoft.com/office/drawing/2014/main" id="{00000000-0008-0000-0F00-000054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 name="AutoShape 1">
          <a:extLst>
            <a:ext uri="{FF2B5EF4-FFF2-40B4-BE49-F238E27FC236}">
              <a16:creationId xmlns:a16="http://schemas.microsoft.com/office/drawing/2014/main" id="{00000000-0008-0000-0F00-000055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 name="AutoShape 1">
          <a:extLst>
            <a:ext uri="{FF2B5EF4-FFF2-40B4-BE49-F238E27FC236}">
              <a16:creationId xmlns:a16="http://schemas.microsoft.com/office/drawing/2014/main" id="{00000000-0008-0000-0F00-000056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 name="AutoShape 1">
          <a:extLst>
            <a:ext uri="{FF2B5EF4-FFF2-40B4-BE49-F238E27FC236}">
              <a16:creationId xmlns:a16="http://schemas.microsoft.com/office/drawing/2014/main" id="{00000000-0008-0000-0F00-000057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 name="AutoShape 1">
          <a:extLst>
            <a:ext uri="{FF2B5EF4-FFF2-40B4-BE49-F238E27FC236}">
              <a16:creationId xmlns:a16="http://schemas.microsoft.com/office/drawing/2014/main" id="{00000000-0008-0000-0F00-000058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 name="AutoShape 1">
          <a:extLst>
            <a:ext uri="{FF2B5EF4-FFF2-40B4-BE49-F238E27FC236}">
              <a16:creationId xmlns:a16="http://schemas.microsoft.com/office/drawing/2014/main" id="{00000000-0008-0000-0F00-000059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 name="AutoShape 1">
          <a:extLst>
            <a:ext uri="{FF2B5EF4-FFF2-40B4-BE49-F238E27FC236}">
              <a16:creationId xmlns:a16="http://schemas.microsoft.com/office/drawing/2014/main" id="{00000000-0008-0000-0F00-00005A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 name="AutoShape 1">
          <a:extLst>
            <a:ext uri="{FF2B5EF4-FFF2-40B4-BE49-F238E27FC236}">
              <a16:creationId xmlns:a16="http://schemas.microsoft.com/office/drawing/2014/main" id="{00000000-0008-0000-0F00-00005B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 name="AutoShape 1">
          <a:extLst>
            <a:ext uri="{FF2B5EF4-FFF2-40B4-BE49-F238E27FC236}">
              <a16:creationId xmlns:a16="http://schemas.microsoft.com/office/drawing/2014/main" id="{00000000-0008-0000-0F00-00005C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 name="AutoShape 1">
          <a:extLst>
            <a:ext uri="{FF2B5EF4-FFF2-40B4-BE49-F238E27FC236}">
              <a16:creationId xmlns:a16="http://schemas.microsoft.com/office/drawing/2014/main" id="{00000000-0008-0000-0F00-00005D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 name="AutoShape 1">
          <a:extLst>
            <a:ext uri="{FF2B5EF4-FFF2-40B4-BE49-F238E27FC236}">
              <a16:creationId xmlns:a16="http://schemas.microsoft.com/office/drawing/2014/main" id="{00000000-0008-0000-0F00-00005E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 name="AutoShape 1">
          <a:extLst>
            <a:ext uri="{FF2B5EF4-FFF2-40B4-BE49-F238E27FC236}">
              <a16:creationId xmlns:a16="http://schemas.microsoft.com/office/drawing/2014/main" id="{00000000-0008-0000-0F00-00005F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 name="AutoShape 1">
          <a:extLst>
            <a:ext uri="{FF2B5EF4-FFF2-40B4-BE49-F238E27FC236}">
              <a16:creationId xmlns:a16="http://schemas.microsoft.com/office/drawing/2014/main" id="{00000000-0008-0000-0F00-000060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 name="AutoShape 1">
          <a:extLst>
            <a:ext uri="{FF2B5EF4-FFF2-40B4-BE49-F238E27FC236}">
              <a16:creationId xmlns:a16="http://schemas.microsoft.com/office/drawing/2014/main" id="{00000000-0008-0000-0F00-000061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 name="AutoShape 1">
          <a:extLst>
            <a:ext uri="{FF2B5EF4-FFF2-40B4-BE49-F238E27FC236}">
              <a16:creationId xmlns:a16="http://schemas.microsoft.com/office/drawing/2014/main" id="{00000000-0008-0000-0F00-000062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 name="AutoShape 1">
          <a:extLst>
            <a:ext uri="{FF2B5EF4-FFF2-40B4-BE49-F238E27FC236}">
              <a16:creationId xmlns:a16="http://schemas.microsoft.com/office/drawing/2014/main" id="{00000000-0008-0000-0F00-000063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 name="AutoShape 1">
          <a:extLst>
            <a:ext uri="{FF2B5EF4-FFF2-40B4-BE49-F238E27FC236}">
              <a16:creationId xmlns:a16="http://schemas.microsoft.com/office/drawing/2014/main" id="{00000000-0008-0000-0F00-000064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 name="AutoShape 1">
          <a:extLst>
            <a:ext uri="{FF2B5EF4-FFF2-40B4-BE49-F238E27FC236}">
              <a16:creationId xmlns:a16="http://schemas.microsoft.com/office/drawing/2014/main" id="{00000000-0008-0000-0F00-000065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 name="AutoShape 1">
          <a:extLst>
            <a:ext uri="{FF2B5EF4-FFF2-40B4-BE49-F238E27FC236}">
              <a16:creationId xmlns:a16="http://schemas.microsoft.com/office/drawing/2014/main" id="{00000000-0008-0000-0F00-000066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 name="AutoShape 1">
          <a:extLst>
            <a:ext uri="{FF2B5EF4-FFF2-40B4-BE49-F238E27FC236}">
              <a16:creationId xmlns:a16="http://schemas.microsoft.com/office/drawing/2014/main" id="{00000000-0008-0000-0F00-000067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 name="AutoShape 1">
          <a:extLst>
            <a:ext uri="{FF2B5EF4-FFF2-40B4-BE49-F238E27FC236}">
              <a16:creationId xmlns:a16="http://schemas.microsoft.com/office/drawing/2014/main" id="{00000000-0008-0000-0F00-000068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 name="AutoShape 1">
          <a:extLst>
            <a:ext uri="{FF2B5EF4-FFF2-40B4-BE49-F238E27FC236}">
              <a16:creationId xmlns:a16="http://schemas.microsoft.com/office/drawing/2014/main" id="{00000000-0008-0000-0F00-000069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 name="AutoShape 1">
          <a:extLst>
            <a:ext uri="{FF2B5EF4-FFF2-40B4-BE49-F238E27FC236}">
              <a16:creationId xmlns:a16="http://schemas.microsoft.com/office/drawing/2014/main" id="{00000000-0008-0000-0F00-00006A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 name="AutoShape 1">
          <a:extLst>
            <a:ext uri="{FF2B5EF4-FFF2-40B4-BE49-F238E27FC236}">
              <a16:creationId xmlns:a16="http://schemas.microsoft.com/office/drawing/2014/main" id="{00000000-0008-0000-0F00-00006B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 name="AutoShape 1">
          <a:extLst>
            <a:ext uri="{FF2B5EF4-FFF2-40B4-BE49-F238E27FC236}">
              <a16:creationId xmlns:a16="http://schemas.microsoft.com/office/drawing/2014/main" id="{00000000-0008-0000-0F00-00006C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 name="AutoShape 1">
          <a:extLst>
            <a:ext uri="{FF2B5EF4-FFF2-40B4-BE49-F238E27FC236}">
              <a16:creationId xmlns:a16="http://schemas.microsoft.com/office/drawing/2014/main" id="{00000000-0008-0000-0F00-00006D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 name="AutoShape 1">
          <a:extLst>
            <a:ext uri="{FF2B5EF4-FFF2-40B4-BE49-F238E27FC236}">
              <a16:creationId xmlns:a16="http://schemas.microsoft.com/office/drawing/2014/main" id="{00000000-0008-0000-0F00-00006E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 name="AutoShape 1">
          <a:extLst>
            <a:ext uri="{FF2B5EF4-FFF2-40B4-BE49-F238E27FC236}">
              <a16:creationId xmlns:a16="http://schemas.microsoft.com/office/drawing/2014/main" id="{00000000-0008-0000-0F00-00006F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 name="AutoShape 1">
          <a:extLst>
            <a:ext uri="{FF2B5EF4-FFF2-40B4-BE49-F238E27FC236}">
              <a16:creationId xmlns:a16="http://schemas.microsoft.com/office/drawing/2014/main" id="{00000000-0008-0000-0F00-000070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 name="AutoShape 1">
          <a:extLst>
            <a:ext uri="{FF2B5EF4-FFF2-40B4-BE49-F238E27FC236}">
              <a16:creationId xmlns:a16="http://schemas.microsoft.com/office/drawing/2014/main" id="{00000000-0008-0000-0F00-000071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 name="AutoShape 1">
          <a:extLst>
            <a:ext uri="{FF2B5EF4-FFF2-40B4-BE49-F238E27FC236}">
              <a16:creationId xmlns:a16="http://schemas.microsoft.com/office/drawing/2014/main" id="{00000000-0008-0000-0F00-000072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 name="AutoShape 1">
          <a:extLst>
            <a:ext uri="{FF2B5EF4-FFF2-40B4-BE49-F238E27FC236}">
              <a16:creationId xmlns:a16="http://schemas.microsoft.com/office/drawing/2014/main" id="{00000000-0008-0000-0F00-000073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 name="AutoShape 1">
          <a:extLst>
            <a:ext uri="{FF2B5EF4-FFF2-40B4-BE49-F238E27FC236}">
              <a16:creationId xmlns:a16="http://schemas.microsoft.com/office/drawing/2014/main" id="{00000000-0008-0000-0F00-000074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 name="AutoShape 1">
          <a:extLst>
            <a:ext uri="{FF2B5EF4-FFF2-40B4-BE49-F238E27FC236}">
              <a16:creationId xmlns:a16="http://schemas.microsoft.com/office/drawing/2014/main" id="{00000000-0008-0000-0F00-000075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 name="AutoShape 1">
          <a:extLst>
            <a:ext uri="{FF2B5EF4-FFF2-40B4-BE49-F238E27FC236}">
              <a16:creationId xmlns:a16="http://schemas.microsoft.com/office/drawing/2014/main" id="{00000000-0008-0000-0F00-000076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 name="AutoShape 1">
          <a:extLst>
            <a:ext uri="{FF2B5EF4-FFF2-40B4-BE49-F238E27FC236}">
              <a16:creationId xmlns:a16="http://schemas.microsoft.com/office/drawing/2014/main" id="{00000000-0008-0000-0F00-000077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 name="AutoShape 1">
          <a:extLst>
            <a:ext uri="{FF2B5EF4-FFF2-40B4-BE49-F238E27FC236}">
              <a16:creationId xmlns:a16="http://schemas.microsoft.com/office/drawing/2014/main" id="{00000000-0008-0000-0F00-000078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 name="AutoShape 1">
          <a:extLst>
            <a:ext uri="{FF2B5EF4-FFF2-40B4-BE49-F238E27FC236}">
              <a16:creationId xmlns:a16="http://schemas.microsoft.com/office/drawing/2014/main" id="{00000000-0008-0000-0F00-000079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 name="AutoShape 1">
          <a:extLst>
            <a:ext uri="{FF2B5EF4-FFF2-40B4-BE49-F238E27FC236}">
              <a16:creationId xmlns:a16="http://schemas.microsoft.com/office/drawing/2014/main" id="{00000000-0008-0000-0F00-00007A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 name="AutoShape 1">
          <a:extLst>
            <a:ext uri="{FF2B5EF4-FFF2-40B4-BE49-F238E27FC236}">
              <a16:creationId xmlns:a16="http://schemas.microsoft.com/office/drawing/2014/main" id="{00000000-0008-0000-0F00-00007B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 name="AutoShape 1">
          <a:extLst>
            <a:ext uri="{FF2B5EF4-FFF2-40B4-BE49-F238E27FC236}">
              <a16:creationId xmlns:a16="http://schemas.microsoft.com/office/drawing/2014/main" id="{00000000-0008-0000-0F00-00007C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 name="AutoShape 1">
          <a:extLst>
            <a:ext uri="{FF2B5EF4-FFF2-40B4-BE49-F238E27FC236}">
              <a16:creationId xmlns:a16="http://schemas.microsoft.com/office/drawing/2014/main" id="{00000000-0008-0000-0F00-00007D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 name="AutoShape 1">
          <a:extLst>
            <a:ext uri="{FF2B5EF4-FFF2-40B4-BE49-F238E27FC236}">
              <a16:creationId xmlns:a16="http://schemas.microsoft.com/office/drawing/2014/main" id="{00000000-0008-0000-0F00-00007E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 name="AutoShape 1">
          <a:extLst>
            <a:ext uri="{FF2B5EF4-FFF2-40B4-BE49-F238E27FC236}">
              <a16:creationId xmlns:a16="http://schemas.microsoft.com/office/drawing/2014/main" id="{00000000-0008-0000-0F00-00007F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 name="AutoShape 1">
          <a:extLst>
            <a:ext uri="{FF2B5EF4-FFF2-40B4-BE49-F238E27FC236}">
              <a16:creationId xmlns:a16="http://schemas.microsoft.com/office/drawing/2014/main" id="{00000000-0008-0000-0F00-000080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 name="AutoShape 1">
          <a:extLst>
            <a:ext uri="{FF2B5EF4-FFF2-40B4-BE49-F238E27FC236}">
              <a16:creationId xmlns:a16="http://schemas.microsoft.com/office/drawing/2014/main" id="{00000000-0008-0000-0F00-000081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 name="AutoShape 1">
          <a:extLst>
            <a:ext uri="{FF2B5EF4-FFF2-40B4-BE49-F238E27FC236}">
              <a16:creationId xmlns:a16="http://schemas.microsoft.com/office/drawing/2014/main" id="{00000000-0008-0000-0F00-000082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 name="AutoShape 1">
          <a:extLst>
            <a:ext uri="{FF2B5EF4-FFF2-40B4-BE49-F238E27FC236}">
              <a16:creationId xmlns:a16="http://schemas.microsoft.com/office/drawing/2014/main" id="{00000000-0008-0000-0F00-000083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 name="AutoShape 1">
          <a:extLst>
            <a:ext uri="{FF2B5EF4-FFF2-40B4-BE49-F238E27FC236}">
              <a16:creationId xmlns:a16="http://schemas.microsoft.com/office/drawing/2014/main" id="{00000000-0008-0000-0F00-000084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 name="AutoShape 1">
          <a:extLst>
            <a:ext uri="{FF2B5EF4-FFF2-40B4-BE49-F238E27FC236}">
              <a16:creationId xmlns:a16="http://schemas.microsoft.com/office/drawing/2014/main" id="{00000000-0008-0000-0F00-000085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 name="AutoShape 1">
          <a:extLst>
            <a:ext uri="{FF2B5EF4-FFF2-40B4-BE49-F238E27FC236}">
              <a16:creationId xmlns:a16="http://schemas.microsoft.com/office/drawing/2014/main" id="{00000000-0008-0000-0F00-000086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 name="AutoShape 1">
          <a:extLst>
            <a:ext uri="{FF2B5EF4-FFF2-40B4-BE49-F238E27FC236}">
              <a16:creationId xmlns:a16="http://schemas.microsoft.com/office/drawing/2014/main" id="{00000000-0008-0000-0F00-000087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 name="AutoShape 1">
          <a:extLst>
            <a:ext uri="{FF2B5EF4-FFF2-40B4-BE49-F238E27FC236}">
              <a16:creationId xmlns:a16="http://schemas.microsoft.com/office/drawing/2014/main" id="{00000000-0008-0000-0F00-000088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 name="AutoShape 1">
          <a:extLst>
            <a:ext uri="{FF2B5EF4-FFF2-40B4-BE49-F238E27FC236}">
              <a16:creationId xmlns:a16="http://schemas.microsoft.com/office/drawing/2014/main" id="{00000000-0008-0000-0F00-000089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 name="AutoShape 1">
          <a:extLst>
            <a:ext uri="{FF2B5EF4-FFF2-40B4-BE49-F238E27FC236}">
              <a16:creationId xmlns:a16="http://schemas.microsoft.com/office/drawing/2014/main" id="{00000000-0008-0000-0F00-00008A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 name="AutoShape 1">
          <a:extLst>
            <a:ext uri="{FF2B5EF4-FFF2-40B4-BE49-F238E27FC236}">
              <a16:creationId xmlns:a16="http://schemas.microsoft.com/office/drawing/2014/main" id="{00000000-0008-0000-0F00-00008B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 name="AutoShape 1">
          <a:extLst>
            <a:ext uri="{FF2B5EF4-FFF2-40B4-BE49-F238E27FC236}">
              <a16:creationId xmlns:a16="http://schemas.microsoft.com/office/drawing/2014/main" id="{00000000-0008-0000-0F00-00008C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 name="AutoShape 1">
          <a:extLst>
            <a:ext uri="{FF2B5EF4-FFF2-40B4-BE49-F238E27FC236}">
              <a16:creationId xmlns:a16="http://schemas.microsoft.com/office/drawing/2014/main" id="{00000000-0008-0000-0F00-00008D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 name="AutoShape 1">
          <a:extLst>
            <a:ext uri="{FF2B5EF4-FFF2-40B4-BE49-F238E27FC236}">
              <a16:creationId xmlns:a16="http://schemas.microsoft.com/office/drawing/2014/main" id="{00000000-0008-0000-0F00-00008E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 name="AutoShape 1">
          <a:extLst>
            <a:ext uri="{FF2B5EF4-FFF2-40B4-BE49-F238E27FC236}">
              <a16:creationId xmlns:a16="http://schemas.microsoft.com/office/drawing/2014/main" id="{00000000-0008-0000-0F00-00008F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 name="AutoShape 1">
          <a:extLst>
            <a:ext uri="{FF2B5EF4-FFF2-40B4-BE49-F238E27FC236}">
              <a16:creationId xmlns:a16="http://schemas.microsoft.com/office/drawing/2014/main" id="{00000000-0008-0000-0F00-000090010000}"/>
            </a:ext>
          </a:extLst>
        </xdr:cNvPr>
        <xdr:cNvSpPr>
          <a:spLocks noChangeAspect="1" noChangeArrowheads="1"/>
        </xdr:cNvSpPr>
      </xdr:nvSpPr>
      <xdr:spPr bwMode="auto">
        <a:xfrm>
          <a:off x="971550" y="553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 name="AutoShape 1">
          <a:extLst>
            <a:ext uri="{FF2B5EF4-FFF2-40B4-BE49-F238E27FC236}">
              <a16:creationId xmlns:a16="http://schemas.microsoft.com/office/drawing/2014/main" id="{00000000-0008-0000-0F00-000091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 name="AutoShape 1">
          <a:extLst>
            <a:ext uri="{FF2B5EF4-FFF2-40B4-BE49-F238E27FC236}">
              <a16:creationId xmlns:a16="http://schemas.microsoft.com/office/drawing/2014/main" id="{00000000-0008-0000-0F00-000092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 name="AutoShape 1">
          <a:extLst>
            <a:ext uri="{FF2B5EF4-FFF2-40B4-BE49-F238E27FC236}">
              <a16:creationId xmlns:a16="http://schemas.microsoft.com/office/drawing/2014/main" id="{00000000-0008-0000-0F00-000097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 name="AutoShape 1">
          <a:extLst>
            <a:ext uri="{FF2B5EF4-FFF2-40B4-BE49-F238E27FC236}">
              <a16:creationId xmlns:a16="http://schemas.microsoft.com/office/drawing/2014/main" id="{00000000-0008-0000-0F00-000098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 name="AutoShape 1">
          <a:extLst>
            <a:ext uri="{FF2B5EF4-FFF2-40B4-BE49-F238E27FC236}">
              <a16:creationId xmlns:a16="http://schemas.microsoft.com/office/drawing/2014/main" id="{00000000-0008-0000-0F00-000099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 name="AutoShape 1">
          <a:extLst>
            <a:ext uri="{FF2B5EF4-FFF2-40B4-BE49-F238E27FC236}">
              <a16:creationId xmlns:a16="http://schemas.microsoft.com/office/drawing/2014/main" id="{00000000-0008-0000-0F00-00009A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 name="AutoShape 1">
          <a:extLst>
            <a:ext uri="{FF2B5EF4-FFF2-40B4-BE49-F238E27FC236}">
              <a16:creationId xmlns:a16="http://schemas.microsoft.com/office/drawing/2014/main" id="{00000000-0008-0000-0F00-00009B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 name="AutoShape 1">
          <a:extLst>
            <a:ext uri="{FF2B5EF4-FFF2-40B4-BE49-F238E27FC236}">
              <a16:creationId xmlns:a16="http://schemas.microsoft.com/office/drawing/2014/main" id="{00000000-0008-0000-0F00-00009C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 name="AutoShape 1">
          <a:extLst>
            <a:ext uri="{FF2B5EF4-FFF2-40B4-BE49-F238E27FC236}">
              <a16:creationId xmlns:a16="http://schemas.microsoft.com/office/drawing/2014/main" id="{00000000-0008-0000-0F00-00009D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 name="AutoShape 1">
          <a:extLst>
            <a:ext uri="{FF2B5EF4-FFF2-40B4-BE49-F238E27FC236}">
              <a16:creationId xmlns:a16="http://schemas.microsoft.com/office/drawing/2014/main" id="{00000000-0008-0000-0F00-00009E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 name="AutoShape 1">
          <a:extLst>
            <a:ext uri="{FF2B5EF4-FFF2-40B4-BE49-F238E27FC236}">
              <a16:creationId xmlns:a16="http://schemas.microsoft.com/office/drawing/2014/main" id="{00000000-0008-0000-0F00-00009F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 name="AutoShape 1">
          <a:extLst>
            <a:ext uri="{FF2B5EF4-FFF2-40B4-BE49-F238E27FC236}">
              <a16:creationId xmlns:a16="http://schemas.microsoft.com/office/drawing/2014/main" id="{00000000-0008-0000-0F00-0000A0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 name="AutoShape 1">
          <a:extLst>
            <a:ext uri="{FF2B5EF4-FFF2-40B4-BE49-F238E27FC236}">
              <a16:creationId xmlns:a16="http://schemas.microsoft.com/office/drawing/2014/main" id="{00000000-0008-0000-0F00-0000A1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 name="AutoShape 1">
          <a:extLst>
            <a:ext uri="{FF2B5EF4-FFF2-40B4-BE49-F238E27FC236}">
              <a16:creationId xmlns:a16="http://schemas.microsoft.com/office/drawing/2014/main" id="{00000000-0008-0000-0F00-0000A2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 name="AutoShape 1">
          <a:extLst>
            <a:ext uri="{FF2B5EF4-FFF2-40B4-BE49-F238E27FC236}">
              <a16:creationId xmlns:a16="http://schemas.microsoft.com/office/drawing/2014/main" id="{00000000-0008-0000-0F00-0000A3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 name="AutoShape 1">
          <a:extLst>
            <a:ext uri="{FF2B5EF4-FFF2-40B4-BE49-F238E27FC236}">
              <a16:creationId xmlns:a16="http://schemas.microsoft.com/office/drawing/2014/main" id="{00000000-0008-0000-0F00-0000A4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 name="AutoShape 1">
          <a:extLst>
            <a:ext uri="{FF2B5EF4-FFF2-40B4-BE49-F238E27FC236}">
              <a16:creationId xmlns:a16="http://schemas.microsoft.com/office/drawing/2014/main" id="{00000000-0008-0000-0F00-0000A5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 name="AutoShape 1">
          <a:extLst>
            <a:ext uri="{FF2B5EF4-FFF2-40B4-BE49-F238E27FC236}">
              <a16:creationId xmlns:a16="http://schemas.microsoft.com/office/drawing/2014/main" id="{00000000-0008-0000-0F00-0000A6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 name="AutoShape 1">
          <a:extLst>
            <a:ext uri="{FF2B5EF4-FFF2-40B4-BE49-F238E27FC236}">
              <a16:creationId xmlns:a16="http://schemas.microsoft.com/office/drawing/2014/main" id="{00000000-0008-0000-0F00-0000A7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 name="AutoShape 1">
          <a:extLst>
            <a:ext uri="{FF2B5EF4-FFF2-40B4-BE49-F238E27FC236}">
              <a16:creationId xmlns:a16="http://schemas.microsoft.com/office/drawing/2014/main" id="{00000000-0008-0000-0F00-0000A8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 name="AutoShape 1">
          <a:extLst>
            <a:ext uri="{FF2B5EF4-FFF2-40B4-BE49-F238E27FC236}">
              <a16:creationId xmlns:a16="http://schemas.microsoft.com/office/drawing/2014/main" id="{00000000-0008-0000-0F00-0000A9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 name="AutoShape 1">
          <a:extLst>
            <a:ext uri="{FF2B5EF4-FFF2-40B4-BE49-F238E27FC236}">
              <a16:creationId xmlns:a16="http://schemas.microsoft.com/office/drawing/2014/main" id="{00000000-0008-0000-0F00-0000AA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 name="AutoShape 1">
          <a:extLst>
            <a:ext uri="{FF2B5EF4-FFF2-40B4-BE49-F238E27FC236}">
              <a16:creationId xmlns:a16="http://schemas.microsoft.com/office/drawing/2014/main" id="{00000000-0008-0000-0F00-0000AB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 name="AutoShape 1">
          <a:extLst>
            <a:ext uri="{FF2B5EF4-FFF2-40B4-BE49-F238E27FC236}">
              <a16:creationId xmlns:a16="http://schemas.microsoft.com/office/drawing/2014/main" id="{00000000-0008-0000-0F00-0000AC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 name="AutoShape 1">
          <a:extLst>
            <a:ext uri="{FF2B5EF4-FFF2-40B4-BE49-F238E27FC236}">
              <a16:creationId xmlns:a16="http://schemas.microsoft.com/office/drawing/2014/main" id="{00000000-0008-0000-0F00-0000AD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 name="AutoShape 1">
          <a:extLst>
            <a:ext uri="{FF2B5EF4-FFF2-40B4-BE49-F238E27FC236}">
              <a16:creationId xmlns:a16="http://schemas.microsoft.com/office/drawing/2014/main" id="{00000000-0008-0000-0F00-0000AE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 name="AutoShape 1">
          <a:extLst>
            <a:ext uri="{FF2B5EF4-FFF2-40B4-BE49-F238E27FC236}">
              <a16:creationId xmlns:a16="http://schemas.microsoft.com/office/drawing/2014/main" id="{00000000-0008-0000-0F00-0000AF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 name="AutoShape 1">
          <a:extLst>
            <a:ext uri="{FF2B5EF4-FFF2-40B4-BE49-F238E27FC236}">
              <a16:creationId xmlns:a16="http://schemas.microsoft.com/office/drawing/2014/main" id="{00000000-0008-0000-0F00-0000B0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 name="AutoShape 1">
          <a:extLst>
            <a:ext uri="{FF2B5EF4-FFF2-40B4-BE49-F238E27FC236}">
              <a16:creationId xmlns:a16="http://schemas.microsoft.com/office/drawing/2014/main" id="{00000000-0008-0000-0F00-0000B1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 name="AutoShape 1">
          <a:extLst>
            <a:ext uri="{FF2B5EF4-FFF2-40B4-BE49-F238E27FC236}">
              <a16:creationId xmlns:a16="http://schemas.microsoft.com/office/drawing/2014/main" id="{00000000-0008-0000-0F00-0000B2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 name="AutoShape 1">
          <a:extLst>
            <a:ext uri="{FF2B5EF4-FFF2-40B4-BE49-F238E27FC236}">
              <a16:creationId xmlns:a16="http://schemas.microsoft.com/office/drawing/2014/main" id="{00000000-0008-0000-0F00-0000B3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 name="AutoShape 1">
          <a:extLst>
            <a:ext uri="{FF2B5EF4-FFF2-40B4-BE49-F238E27FC236}">
              <a16:creationId xmlns:a16="http://schemas.microsoft.com/office/drawing/2014/main" id="{00000000-0008-0000-0F00-0000B4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 name="AutoShape 1">
          <a:extLst>
            <a:ext uri="{FF2B5EF4-FFF2-40B4-BE49-F238E27FC236}">
              <a16:creationId xmlns:a16="http://schemas.microsoft.com/office/drawing/2014/main" id="{00000000-0008-0000-0F00-0000B5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 name="AutoShape 1">
          <a:extLst>
            <a:ext uri="{FF2B5EF4-FFF2-40B4-BE49-F238E27FC236}">
              <a16:creationId xmlns:a16="http://schemas.microsoft.com/office/drawing/2014/main" id="{00000000-0008-0000-0F00-0000B6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 name="AutoShape 1">
          <a:extLst>
            <a:ext uri="{FF2B5EF4-FFF2-40B4-BE49-F238E27FC236}">
              <a16:creationId xmlns:a16="http://schemas.microsoft.com/office/drawing/2014/main" id="{00000000-0008-0000-0F00-0000B7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 name="AutoShape 1">
          <a:extLst>
            <a:ext uri="{FF2B5EF4-FFF2-40B4-BE49-F238E27FC236}">
              <a16:creationId xmlns:a16="http://schemas.microsoft.com/office/drawing/2014/main" id="{00000000-0008-0000-0F00-0000B8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 name="AutoShape 1">
          <a:extLst>
            <a:ext uri="{FF2B5EF4-FFF2-40B4-BE49-F238E27FC236}">
              <a16:creationId xmlns:a16="http://schemas.microsoft.com/office/drawing/2014/main" id="{00000000-0008-0000-0F00-0000B9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 name="AutoShape 1">
          <a:extLst>
            <a:ext uri="{FF2B5EF4-FFF2-40B4-BE49-F238E27FC236}">
              <a16:creationId xmlns:a16="http://schemas.microsoft.com/office/drawing/2014/main" id="{00000000-0008-0000-0F00-0000BA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 name="AutoShape 1">
          <a:extLst>
            <a:ext uri="{FF2B5EF4-FFF2-40B4-BE49-F238E27FC236}">
              <a16:creationId xmlns:a16="http://schemas.microsoft.com/office/drawing/2014/main" id="{00000000-0008-0000-0F00-0000BB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 name="AutoShape 1">
          <a:extLst>
            <a:ext uri="{FF2B5EF4-FFF2-40B4-BE49-F238E27FC236}">
              <a16:creationId xmlns:a16="http://schemas.microsoft.com/office/drawing/2014/main" id="{00000000-0008-0000-0F00-0000BC010000}"/>
            </a:ext>
          </a:extLst>
        </xdr:cNvPr>
        <xdr:cNvSpPr>
          <a:spLocks noChangeAspect="1" noChangeArrowheads="1"/>
        </xdr:cNvSpPr>
      </xdr:nvSpPr>
      <xdr:spPr bwMode="auto">
        <a:xfrm>
          <a:off x="971550" y="57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 name="AutoShape 1">
          <a:extLst>
            <a:ext uri="{FF2B5EF4-FFF2-40B4-BE49-F238E27FC236}">
              <a16:creationId xmlns:a16="http://schemas.microsoft.com/office/drawing/2014/main" id="{00000000-0008-0000-0F00-0000C1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 name="AutoShape 1">
          <a:extLst>
            <a:ext uri="{FF2B5EF4-FFF2-40B4-BE49-F238E27FC236}">
              <a16:creationId xmlns:a16="http://schemas.microsoft.com/office/drawing/2014/main" id="{00000000-0008-0000-0F00-0000C2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 name="AutoShape 1">
          <a:extLst>
            <a:ext uri="{FF2B5EF4-FFF2-40B4-BE49-F238E27FC236}">
              <a16:creationId xmlns:a16="http://schemas.microsoft.com/office/drawing/2014/main" id="{00000000-0008-0000-0F00-0000C3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 name="AutoShape 1">
          <a:extLst>
            <a:ext uri="{FF2B5EF4-FFF2-40B4-BE49-F238E27FC236}">
              <a16:creationId xmlns:a16="http://schemas.microsoft.com/office/drawing/2014/main" id="{00000000-0008-0000-0F00-0000C4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 name="AutoShape 1">
          <a:extLst>
            <a:ext uri="{FF2B5EF4-FFF2-40B4-BE49-F238E27FC236}">
              <a16:creationId xmlns:a16="http://schemas.microsoft.com/office/drawing/2014/main" id="{00000000-0008-0000-0F00-0000C5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 name="AutoShape 1">
          <a:extLst>
            <a:ext uri="{FF2B5EF4-FFF2-40B4-BE49-F238E27FC236}">
              <a16:creationId xmlns:a16="http://schemas.microsoft.com/office/drawing/2014/main" id="{00000000-0008-0000-0F00-0000C6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 name="AutoShape 1">
          <a:extLst>
            <a:ext uri="{FF2B5EF4-FFF2-40B4-BE49-F238E27FC236}">
              <a16:creationId xmlns:a16="http://schemas.microsoft.com/office/drawing/2014/main" id="{00000000-0008-0000-0F00-0000C7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 name="AutoShape 1">
          <a:extLst>
            <a:ext uri="{FF2B5EF4-FFF2-40B4-BE49-F238E27FC236}">
              <a16:creationId xmlns:a16="http://schemas.microsoft.com/office/drawing/2014/main" id="{00000000-0008-0000-0F00-0000C8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 name="AutoShape 1">
          <a:extLst>
            <a:ext uri="{FF2B5EF4-FFF2-40B4-BE49-F238E27FC236}">
              <a16:creationId xmlns:a16="http://schemas.microsoft.com/office/drawing/2014/main" id="{00000000-0008-0000-0F00-0000C9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 name="AutoShape 1">
          <a:extLst>
            <a:ext uri="{FF2B5EF4-FFF2-40B4-BE49-F238E27FC236}">
              <a16:creationId xmlns:a16="http://schemas.microsoft.com/office/drawing/2014/main" id="{00000000-0008-0000-0F00-0000CA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 name="AutoShape 1">
          <a:extLst>
            <a:ext uri="{FF2B5EF4-FFF2-40B4-BE49-F238E27FC236}">
              <a16:creationId xmlns:a16="http://schemas.microsoft.com/office/drawing/2014/main" id="{00000000-0008-0000-0F00-0000CB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 name="AutoShape 1">
          <a:extLst>
            <a:ext uri="{FF2B5EF4-FFF2-40B4-BE49-F238E27FC236}">
              <a16:creationId xmlns:a16="http://schemas.microsoft.com/office/drawing/2014/main" id="{00000000-0008-0000-0F00-0000CC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 name="AutoShape 1">
          <a:extLst>
            <a:ext uri="{FF2B5EF4-FFF2-40B4-BE49-F238E27FC236}">
              <a16:creationId xmlns:a16="http://schemas.microsoft.com/office/drawing/2014/main" id="{00000000-0008-0000-0F00-0000CD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 name="AutoShape 1">
          <a:extLst>
            <a:ext uri="{FF2B5EF4-FFF2-40B4-BE49-F238E27FC236}">
              <a16:creationId xmlns:a16="http://schemas.microsoft.com/office/drawing/2014/main" id="{00000000-0008-0000-0F00-0000CE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 name="AutoShape 1">
          <a:extLst>
            <a:ext uri="{FF2B5EF4-FFF2-40B4-BE49-F238E27FC236}">
              <a16:creationId xmlns:a16="http://schemas.microsoft.com/office/drawing/2014/main" id="{00000000-0008-0000-0F00-0000CF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 name="AutoShape 1">
          <a:extLst>
            <a:ext uri="{FF2B5EF4-FFF2-40B4-BE49-F238E27FC236}">
              <a16:creationId xmlns:a16="http://schemas.microsoft.com/office/drawing/2014/main" id="{00000000-0008-0000-0F00-0000D0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 name="AutoShape 1">
          <a:extLst>
            <a:ext uri="{FF2B5EF4-FFF2-40B4-BE49-F238E27FC236}">
              <a16:creationId xmlns:a16="http://schemas.microsoft.com/office/drawing/2014/main" id="{00000000-0008-0000-0F00-0000D1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 name="AutoShape 1">
          <a:extLst>
            <a:ext uri="{FF2B5EF4-FFF2-40B4-BE49-F238E27FC236}">
              <a16:creationId xmlns:a16="http://schemas.microsoft.com/office/drawing/2014/main" id="{00000000-0008-0000-0F00-0000D2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 name="AutoShape 1">
          <a:extLst>
            <a:ext uri="{FF2B5EF4-FFF2-40B4-BE49-F238E27FC236}">
              <a16:creationId xmlns:a16="http://schemas.microsoft.com/office/drawing/2014/main" id="{00000000-0008-0000-0F00-0000D3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 name="AutoShape 1">
          <a:extLst>
            <a:ext uri="{FF2B5EF4-FFF2-40B4-BE49-F238E27FC236}">
              <a16:creationId xmlns:a16="http://schemas.microsoft.com/office/drawing/2014/main" id="{00000000-0008-0000-0F00-0000D4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 name="AutoShape 1">
          <a:extLst>
            <a:ext uri="{FF2B5EF4-FFF2-40B4-BE49-F238E27FC236}">
              <a16:creationId xmlns:a16="http://schemas.microsoft.com/office/drawing/2014/main" id="{00000000-0008-0000-0F00-0000D5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 name="AutoShape 1">
          <a:extLst>
            <a:ext uri="{FF2B5EF4-FFF2-40B4-BE49-F238E27FC236}">
              <a16:creationId xmlns:a16="http://schemas.microsoft.com/office/drawing/2014/main" id="{00000000-0008-0000-0F00-0000D6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 name="AutoShape 1">
          <a:extLst>
            <a:ext uri="{FF2B5EF4-FFF2-40B4-BE49-F238E27FC236}">
              <a16:creationId xmlns:a16="http://schemas.microsoft.com/office/drawing/2014/main" id="{00000000-0008-0000-0F00-0000D7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 name="AutoShape 1">
          <a:extLst>
            <a:ext uri="{FF2B5EF4-FFF2-40B4-BE49-F238E27FC236}">
              <a16:creationId xmlns:a16="http://schemas.microsoft.com/office/drawing/2014/main" id="{00000000-0008-0000-0F00-0000D8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 name="AutoShape 1">
          <a:extLst>
            <a:ext uri="{FF2B5EF4-FFF2-40B4-BE49-F238E27FC236}">
              <a16:creationId xmlns:a16="http://schemas.microsoft.com/office/drawing/2014/main" id="{00000000-0008-0000-0F00-0000D9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 name="AutoShape 1">
          <a:extLst>
            <a:ext uri="{FF2B5EF4-FFF2-40B4-BE49-F238E27FC236}">
              <a16:creationId xmlns:a16="http://schemas.microsoft.com/office/drawing/2014/main" id="{00000000-0008-0000-0F00-0000DA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 name="AutoShape 1">
          <a:extLst>
            <a:ext uri="{FF2B5EF4-FFF2-40B4-BE49-F238E27FC236}">
              <a16:creationId xmlns:a16="http://schemas.microsoft.com/office/drawing/2014/main" id="{00000000-0008-0000-0F00-0000DB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 name="AutoShape 1">
          <a:extLst>
            <a:ext uri="{FF2B5EF4-FFF2-40B4-BE49-F238E27FC236}">
              <a16:creationId xmlns:a16="http://schemas.microsoft.com/office/drawing/2014/main" id="{00000000-0008-0000-0F00-0000DC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 name="AutoShape 1">
          <a:extLst>
            <a:ext uri="{FF2B5EF4-FFF2-40B4-BE49-F238E27FC236}">
              <a16:creationId xmlns:a16="http://schemas.microsoft.com/office/drawing/2014/main" id="{00000000-0008-0000-0F00-0000DD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 name="AutoShape 1">
          <a:extLst>
            <a:ext uri="{FF2B5EF4-FFF2-40B4-BE49-F238E27FC236}">
              <a16:creationId xmlns:a16="http://schemas.microsoft.com/office/drawing/2014/main" id="{00000000-0008-0000-0F00-0000DE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 name="AutoShape 1">
          <a:extLst>
            <a:ext uri="{FF2B5EF4-FFF2-40B4-BE49-F238E27FC236}">
              <a16:creationId xmlns:a16="http://schemas.microsoft.com/office/drawing/2014/main" id="{00000000-0008-0000-0F00-0000DF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 name="AutoShape 1">
          <a:extLst>
            <a:ext uri="{FF2B5EF4-FFF2-40B4-BE49-F238E27FC236}">
              <a16:creationId xmlns:a16="http://schemas.microsoft.com/office/drawing/2014/main" id="{00000000-0008-0000-0F00-0000E0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 name="AutoShape 1">
          <a:extLst>
            <a:ext uri="{FF2B5EF4-FFF2-40B4-BE49-F238E27FC236}">
              <a16:creationId xmlns:a16="http://schemas.microsoft.com/office/drawing/2014/main" id="{00000000-0008-0000-0F00-0000E1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 name="AutoShape 1">
          <a:extLst>
            <a:ext uri="{FF2B5EF4-FFF2-40B4-BE49-F238E27FC236}">
              <a16:creationId xmlns:a16="http://schemas.microsoft.com/office/drawing/2014/main" id="{00000000-0008-0000-0F00-0000E2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 name="AutoShape 1">
          <a:extLst>
            <a:ext uri="{FF2B5EF4-FFF2-40B4-BE49-F238E27FC236}">
              <a16:creationId xmlns:a16="http://schemas.microsoft.com/office/drawing/2014/main" id="{00000000-0008-0000-0F00-0000E3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 name="AutoShape 1">
          <a:extLst>
            <a:ext uri="{FF2B5EF4-FFF2-40B4-BE49-F238E27FC236}">
              <a16:creationId xmlns:a16="http://schemas.microsoft.com/office/drawing/2014/main" id="{00000000-0008-0000-0F00-0000E4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 name="AutoShape 1">
          <a:extLst>
            <a:ext uri="{FF2B5EF4-FFF2-40B4-BE49-F238E27FC236}">
              <a16:creationId xmlns:a16="http://schemas.microsoft.com/office/drawing/2014/main" id="{00000000-0008-0000-0F00-0000E5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 name="AutoShape 1">
          <a:extLst>
            <a:ext uri="{FF2B5EF4-FFF2-40B4-BE49-F238E27FC236}">
              <a16:creationId xmlns:a16="http://schemas.microsoft.com/office/drawing/2014/main" id="{00000000-0008-0000-0F00-0000E6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 name="AutoShape 1">
          <a:extLst>
            <a:ext uri="{FF2B5EF4-FFF2-40B4-BE49-F238E27FC236}">
              <a16:creationId xmlns:a16="http://schemas.microsoft.com/office/drawing/2014/main" id="{00000000-0008-0000-0F00-0000E7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 name="AutoShape 1">
          <a:extLst>
            <a:ext uri="{FF2B5EF4-FFF2-40B4-BE49-F238E27FC236}">
              <a16:creationId xmlns:a16="http://schemas.microsoft.com/office/drawing/2014/main" id="{00000000-0008-0000-0F00-0000E8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 name="AutoShape 1">
          <a:extLst>
            <a:ext uri="{FF2B5EF4-FFF2-40B4-BE49-F238E27FC236}">
              <a16:creationId xmlns:a16="http://schemas.microsoft.com/office/drawing/2014/main" id="{00000000-0008-0000-0F00-0000E9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 name="AutoShape 1">
          <a:extLst>
            <a:ext uri="{FF2B5EF4-FFF2-40B4-BE49-F238E27FC236}">
              <a16:creationId xmlns:a16="http://schemas.microsoft.com/office/drawing/2014/main" id="{00000000-0008-0000-0F00-0000EA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 name="AutoShape 1">
          <a:extLst>
            <a:ext uri="{FF2B5EF4-FFF2-40B4-BE49-F238E27FC236}">
              <a16:creationId xmlns:a16="http://schemas.microsoft.com/office/drawing/2014/main" id="{00000000-0008-0000-0F00-0000EB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 name="AutoShape 1">
          <a:extLst>
            <a:ext uri="{FF2B5EF4-FFF2-40B4-BE49-F238E27FC236}">
              <a16:creationId xmlns:a16="http://schemas.microsoft.com/office/drawing/2014/main" id="{00000000-0008-0000-0F00-0000EC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 name="AutoShape 1">
          <a:extLst>
            <a:ext uri="{FF2B5EF4-FFF2-40B4-BE49-F238E27FC236}">
              <a16:creationId xmlns:a16="http://schemas.microsoft.com/office/drawing/2014/main" id="{00000000-0008-0000-0F00-0000ED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 name="AutoShape 1">
          <a:extLst>
            <a:ext uri="{FF2B5EF4-FFF2-40B4-BE49-F238E27FC236}">
              <a16:creationId xmlns:a16="http://schemas.microsoft.com/office/drawing/2014/main" id="{00000000-0008-0000-0F00-0000EE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 name="AutoShape 1">
          <a:extLst>
            <a:ext uri="{FF2B5EF4-FFF2-40B4-BE49-F238E27FC236}">
              <a16:creationId xmlns:a16="http://schemas.microsoft.com/office/drawing/2014/main" id="{00000000-0008-0000-0F00-0000EF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 name="AutoShape 1">
          <a:extLst>
            <a:ext uri="{FF2B5EF4-FFF2-40B4-BE49-F238E27FC236}">
              <a16:creationId xmlns:a16="http://schemas.microsoft.com/office/drawing/2014/main" id="{00000000-0008-0000-0F00-0000F0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 name="AutoShape 1">
          <a:extLst>
            <a:ext uri="{FF2B5EF4-FFF2-40B4-BE49-F238E27FC236}">
              <a16:creationId xmlns:a16="http://schemas.microsoft.com/office/drawing/2014/main" id="{00000000-0008-0000-0F00-0000F1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 name="AutoShape 1">
          <a:extLst>
            <a:ext uri="{FF2B5EF4-FFF2-40B4-BE49-F238E27FC236}">
              <a16:creationId xmlns:a16="http://schemas.microsoft.com/office/drawing/2014/main" id="{00000000-0008-0000-0F00-0000F2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 name="AutoShape 1">
          <a:extLst>
            <a:ext uri="{FF2B5EF4-FFF2-40B4-BE49-F238E27FC236}">
              <a16:creationId xmlns:a16="http://schemas.microsoft.com/office/drawing/2014/main" id="{00000000-0008-0000-0F00-0000F3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 name="AutoShape 1">
          <a:extLst>
            <a:ext uri="{FF2B5EF4-FFF2-40B4-BE49-F238E27FC236}">
              <a16:creationId xmlns:a16="http://schemas.microsoft.com/office/drawing/2014/main" id="{00000000-0008-0000-0F00-0000F4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 name="AutoShape 1">
          <a:extLst>
            <a:ext uri="{FF2B5EF4-FFF2-40B4-BE49-F238E27FC236}">
              <a16:creationId xmlns:a16="http://schemas.microsoft.com/office/drawing/2014/main" id="{00000000-0008-0000-0F00-0000F5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 name="AutoShape 1">
          <a:extLst>
            <a:ext uri="{FF2B5EF4-FFF2-40B4-BE49-F238E27FC236}">
              <a16:creationId xmlns:a16="http://schemas.microsoft.com/office/drawing/2014/main" id="{00000000-0008-0000-0F00-0000F6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 name="AutoShape 1">
          <a:extLst>
            <a:ext uri="{FF2B5EF4-FFF2-40B4-BE49-F238E27FC236}">
              <a16:creationId xmlns:a16="http://schemas.microsoft.com/office/drawing/2014/main" id="{00000000-0008-0000-0F00-0000F7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 name="AutoShape 1">
          <a:extLst>
            <a:ext uri="{FF2B5EF4-FFF2-40B4-BE49-F238E27FC236}">
              <a16:creationId xmlns:a16="http://schemas.microsoft.com/office/drawing/2014/main" id="{00000000-0008-0000-0F00-0000F8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 name="AutoShape 1">
          <a:extLst>
            <a:ext uri="{FF2B5EF4-FFF2-40B4-BE49-F238E27FC236}">
              <a16:creationId xmlns:a16="http://schemas.microsoft.com/office/drawing/2014/main" id="{00000000-0008-0000-0F00-0000F9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 name="AutoShape 1">
          <a:extLst>
            <a:ext uri="{FF2B5EF4-FFF2-40B4-BE49-F238E27FC236}">
              <a16:creationId xmlns:a16="http://schemas.microsoft.com/office/drawing/2014/main" id="{00000000-0008-0000-0F00-0000FA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 name="AutoShape 1">
          <a:extLst>
            <a:ext uri="{FF2B5EF4-FFF2-40B4-BE49-F238E27FC236}">
              <a16:creationId xmlns:a16="http://schemas.microsoft.com/office/drawing/2014/main" id="{00000000-0008-0000-0F00-0000FB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 name="AutoShape 1">
          <a:extLst>
            <a:ext uri="{FF2B5EF4-FFF2-40B4-BE49-F238E27FC236}">
              <a16:creationId xmlns:a16="http://schemas.microsoft.com/office/drawing/2014/main" id="{00000000-0008-0000-0F00-0000FC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 name="AutoShape 1">
          <a:extLst>
            <a:ext uri="{FF2B5EF4-FFF2-40B4-BE49-F238E27FC236}">
              <a16:creationId xmlns:a16="http://schemas.microsoft.com/office/drawing/2014/main" id="{00000000-0008-0000-0F00-0000FD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 name="AutoShape 1">
          <a:extLst>
            <a:ext uri="{FF2B5EF4-FFF2-40B4-BE49-F238E27FC236}">
              <a16:creationId xmlns:a16="http://schemas.microsoft.com/office/drawing/2014/main" id="{00000000-0008-0000-0F00-0000FE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 name="AutoShape 1">
          <a:extLst>
            <a:ext uri="{FF2B5EF4-FFF2-40B4-BE49-F238E27FC236}">
              <a16:creationId xmlns:a16="http://schemas.microsoft.com/office/drawing/2014/main" id="{00000000-0008-0000-0F00-0000FF01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 name="AutoShape 1">
          <a:extLst>
            <a:ext uri="{FF2B5EF4-FFF2-40B4-BE49-F238E27FC236}">
              <a16:creationId xmlns:a16="http://schemas.microsoft.com/office/drawing/2014/main" id="{00000000-0008-0000-0F00-00000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 name="AutoShape 1">
          <a:extLst>
            <a:ext uri="{FF2B5EF4-FFF2-40B4-BE49-F238E27FC236}">
              <a16:creationId xmlns:a16="http://schemas.microsoft.com/office/drawing/2014/main" id="{00000000-0008-0000-0F00-00000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 name="AutoShape 1">
          <a:extLst>
            <a:ext uri="{FF2B5EF4-FFF2-40B4-BE49-F238E27FC236}">
              <a16:creationId xmlns:a16="http://schemas.microsoft.com/office/drawing/2014/main" id="{00000000-0008-0000-0F00-00000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 name="AutoShape 1">
          <a:extLst>
            <a:ext uri="{FF2B5EF4-FFF2-40B4-BE49-F238E27FC236}">
              <a16:creationId xmlns:a16="http://schemas.microsoft.com/office/drawing/2014/main" id="{00000000-0008-0000-0F00-00000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 name="AutoShape 1">
          <a:extLst>
            <a:ext uri="{FF2B5EF4-FFF2-40B4-BE49-F238E27FC236}">
              <a16:creationId xmlns:a16="http://schemas.microsoft.com/office/drawing/2014/main" id="{00000000-0008-0000-0F00-00000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 name="AutoShape 1">
          <a:extLst>
            <a:ext uri="{FF2B5EF4-FFF2-40B4-BE49-F238E27FC236}">
              <a16:creationId xmlns:a16="http://schemas.microsoft.com/office/drawing/2014/main" id="{00000000-0008-0000-0F00-00000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 name="AutoShape 1">
          <a:extLst>
            <a:ext uri="{FF2B5EF4-FFF2-40B4-BE49-F238E27FC236}">
              <a16:creationId xmlns:a16="http://schemas.microsoft.com/office/drawing/2014/main" id="{00000000-0008-0000-0F00-00000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 name="AutoShape 1">
          <a:extLst>
            <a:ext uri="{FF2B5EF4-FFF2-40B4-BE49-F238E27FC236}">
              <a16:creationId xmlns:a16="http://schemas.microsoft.com/office/drawing/2014/main" id="{00000000-0008-0000-0F00-00000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 name="AutoShape 1">
          <a:extLst>
            <a:ext uri="{FF2B5EF4-FFF2-40B4-BE49-F238E27FC236}">
              <a16:creationId xmlns:a16="http://schemas.microsoft.com/office/drawing/2014/main" id="{00000000-0008-0000-0F00-00000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 name="AutoShape 1">
          <a:extLst>
            <a:ext uri="{FF2B5EF4-FFF2-40B4-BE49-F238E27FC236}">
              <a16:creationId xmlns:a16="http://schemas.microsoft.com/office/drawing/2014/main" id="{00000000-0008-0000-0F00-00000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 name="AutoShape 1">
          <a:extLst>
            <a:ext uri="{FF2B5EF4-FFF2-40B4-BE49-F238E27FC236}">
              <a16:creationId xmlns:a16="http://schemas.microsoft.com/office/drawing/2014/main" id="{00000000-0008-0000-0F00-00000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 name="AutoShape 1">
          <a:extLst>
            <a:ext uri="{FF2B5EF4-FFF2-40B4-BE49-F238E27FC236}">
              <a16:creationId xmlns:a16="http://schemas.microsoft.com/office/drawing/2014/main" id="{00000000-0008-0000-0F00-00000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 name="AutoShape 1">
          <a:extLst>
            <a:ext uri="{FF2B5EF4-FFF2-40B4-BE49-F238E27FC236}">
              <a16:creationId xmlns:a16="http://schemas.microsoft.com/office/drawing/2014/main" id="{00000000-0008-0000-0F00-00000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 name="AutoShape 1">
          <a:extLst>
            <a:ext uri="{FF2B5EF4-FFF2-40B4-BE49-F238E27FC236}">
              <a16:creationId xmlns:a16="http://schemas.microsoft.com/office/drawing/2014/main" id="{00000000-0008-0000-0F00-00000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 name="AutoShape 1">
          <a:extLst>
            <a:ext uri="{FF2B5EF4-FFF2-40B4-BE49-F238E27FC236}">
              <a16:creationId xmlns:a16="http://schemas.microsoft.com/office/drawing/2014/main" id="{00000000-0008-0000-0F00-00000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 name="AutoShape 1">
          <a:extLst>
            <a:ext uri="{FF2B5EF4-FFF2-40B4-BE49-F238E27FC236}">
              <a16:creationId xmlns:a16="http://schemas.microsoft.com/office/drawing/2014/main" id="{00000000-0008-0000-0F00-00000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 name="AutoShape 1">
          <a:extLst>
            <a:ext uri="{FF2B5EF4-FFF2-40B4-BE49-F238E27FC236}">
              <a16:creationId xmlns:a16="http://schemas.microsoft.com/office/drawing/2014/main" id="{00000000-0008-0000-0F00-00001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 name="AutoShape 1">
          <a:extLst>
            <a:ext uri="{FF2B5EF4-FFF2-40B4-BE49-F238E27FC236}">
              <a16:creationId xmlns:a16="http://schemas.microsoft.com/office/drawing/2014/main" id="{00000000-0008-0000-0F00-00001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 name="AutoShape 1">
          <a:extLst>
            <a:ext uri="{FF2B5EF4-FFF2-40B4-BE49-F238E27FC236}">
              <a16:creationId xmlns:a16="http://schemas.microsoft.com/office/drawing/2014/main" id="{00000000-0008-0000-0F00-00001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 name="AutoShape 1">
          <a:extLst>
            <a:ext uri="{FF2B5EF4-FFF2-40B4-BE49-F238E27FC236}">
              <a16:creationId xmlns:a16="http://schemas.microsoft.com/office/drawing/2014/main" id="{00000000-0008-0000-0F00-00001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 name="AutoShape 1">
          <a:extLst>
            <a:ext uri="{FF2B5EF4-FFF2-40B4-BE49-F238E27FC236}">
              <a16:creationId xmlns:a16="http://schemas.microsoft.com/office/drawing/2014/main" id="{00000000-0008-0000-0F00-00001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 name="AutoShape 1">
          <a:extLst>
            <a:ext uri="{FF2B5EF4-FFF2-40B4-BE49-F238E27FC236}">
              <a16:creationId xmlns:a16="http://schemas.microsoft.com/office/drawing/2014/main" id="{00000000-0008-0000-0F00-00001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 name="AutoShape 1">
          <a:extLst>
            <a:ext uri="{FF2B5EF4-FFF2-40B4-BE49-F238E27FC236}">
              <a16:creationId xmlns:a16="http://schemas.microsoft.com/office/drawing/2014/main" id="{00000000-0008-0000-0F00-00001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 name="AutoShape 1">
          <a:extLst>
            <a:ext uri="{FF2B5EF4-FFF2-40B4-BE49-F238E27FC236}">
              <a16:creationId xmlns:a16="http://schemas.microsoft.com/office/drawing/2014/main" id="{00000000-0008-0000-0F00-00001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 name="AutoShape 1">
          <a:extLst>
            <a:ext uri="{FF2B5EF4-FFF2-40B4-BE49-F238E27FC236}">
              <a16:creationId xmlns:a16="http://schemas.microsoft.com/office/drawing/2014/main" id="{00000000-0008-0000-0F00-00001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 name="AutoShape 1">
          <a:extLst>
            <a:ext uri="{FF2B5EF4-FFF2-40B4-BE49-F238E27FC236}">
              <a16:creationId xmlns:a16="http://schemas.microsoft.com/office/drawing/2014/main" id="{00000000-0008-0000-0F00-00001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 name="AutoShape 1">
          <a:extLst>
            <a:ext uri="{FF2B5EF4-FFF2-40B4-BE49-F238E27FC236}">
              <a16:creationId xmlns:a16="http://schemas.microsoft.com/office/drawing/2014/main" id="{00000000-0008-0000-0F00-00001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 name="AutoShape 1">
          <a:extLst>
            <a:ext uri="{FF2B5EF4-FFF2-40B4-BE49-F238E27FC236}">
              <a16:creationId xmlns:a16="http://schemas.microsoft.com/office/drawing/2014/main" id="{00000000-0008-0000-0F00-00001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 name="AutoShape 1">
          <a:extLst>
            <a:ext uri="{FF2B5EF4-FFF2-40B4-BE49-F238E27FC236}">
              <a16:creationId xmlns:a16="http://schemas.microsoft.com/office/drawing/2014/main" id="{00000000-0008-0000-0F00-00001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 name="AutoShape 1">
          <a:extLst>
            <a:ext uri="{FF2B5EF4-FFF2-40B4-BE49-F238E27FC236}">
              <a16:creationId xmlns:a16="http://schemas.microsoft.com/office/drawing/2014/main" id="{00000000-0008-0000-0F00-00001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 name="AutoShape 1">
          <a:extLst>
            <a:ext uri="{FF2B5EF4-FFF2-40B4-BE49-F238E27FC236}">
              <a16:creationId xmlns:a16="http://schemas.microsoft.com/office/drawing/2014/main" id="{00000000-0008-0000-0F00-00001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 name="AutoShape 1">
          <a:extLst>
            <a:ext uri="{FF2B5EF4-FFF2-40B4-BE49-F238E27FC236}">
              <a16:creationId xmlns:a16="http://schemas.microsoft.com/office/drawing/2014/main" id="{00000000-0008-0000-0F00-00001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 name="AutoShape 1">
          <a:extLst>
            <a:ext uri="{FF2B5EF4-FFF2-40B4-BE49-F238E27FC236}">
              <a16:creationId xmlns:a16="http://schemas.microsoft.com/office/drawing/2014/main" id="{00000000-0008-0000-0F00-00002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 name="AutoShape 1">
          <a:extLst>
            <a:ext uri="{FF2B5EF4-FFF2-40B4-BE49-F238E27FC236}">
              <a16:creationId xmlns:a16="http://schemas.microsoft.com/office/drawing/2014/main" id="{00000000-0008-0000-0F00-00002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 name="AutoShape 1">
          <a:extLst>
            <a:ext uri="{FF2B5EF4-FFF2-40B4-BE49-F238E27FC236}">
              <a16:creationId xmlns:a16="http://schemas.microsoft.com/office/drawing/2014/main" id="{00000000-0008-0000-0F00-00002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 name="AutoShape 1">
          <a:extLst>
            <a:ext uri="{FF2B5EF4-FFF2-40B4-BE49-F238E27FC236}">
              <a16:creationId xmlns:a16="http://schemas.microsoft.com/office/drawing/2014/main" id="{00000000-0008-0000-0F00-00002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 name="AutoShape 1">
          <a:extLst>
            <a:ext uri="{FF2B5EF4-FFF2-40B4-BE49-F238E27FC236}">
              <a16:creationId xmlns:a16="http://schemas.microsoft.com/office/drawing/2014/main" id="{00000000-0008-0000-0F00-00002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 name="AutoShape 1">
          <a:extLst>
            <a:ext uri="{FF2B5EF4-FFF2-40B4-BE49-F238E27FC236}">
              <a16:creationId xmlns:a16="http://schemas.microsoft.com/office/drawing/2014/main" id="{00000000-0008-0000-0F00-00002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 name="AutoShape 1">
          <a:extLst>
            <a:ext uri="{FF2B5EF4-FFF2-40B4-BE49-F238E27FC236}">
              <a16:creationId xmlns:a16="http://schemas.microsoft.com/office/drawing/2014/main" id="{00000000-0008-0000-0F00-00002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 name="AutoShape 1">
          <a:extLst>
            <a:ext uri="{FF2B5EF4-FFF2-40B4-BE49-F238E27FC236}">
              <a16:creationId xmlns:a16="http://schemas.microsoft.com/office/drawing/2014/main" id="{00000000-0008-0000-0F00-00002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 name="AutoShape 1">
          <a:extLst>
            <a:ext uri="{FF2B5EF4-FFF2-40B4-BE49-F238E27FC236}">
              <a16:creationId xmlns:a16="http://schemas.microsoft.com/office/drawing/2014/main" id="{00000000-0008-0000-0F00-00002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 name="AutoShape 1">
          <a:extLst>
            <a:ext uri="{FF2B5EF4-FFF2-40B4-BE49-F238E27FC236}">
              <a16:creationId xmlns:a16="http://schemas.microsoft.com/office/drawing/2014/main" id="{00000000-0008-0000-0F00-00002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 name="AutoShape 1">
          <a:extLst>
            <a:ext uri="{FF2B5EF4-FFF2-40B4-BE49-F238E27FC236}">
              <a16:creationId xmlns:a16="http://schemas.microsoft.com/office/drawing/2014/main" id="{00000000-0008-0000-0F00-00002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 name="AutoShape 1">
          <a:extLst>
            <a:ext uri="{FF2B5EF4-FFF2-40B4-BE49-F238E27FC236}">
              <a16:creationId xmlns:a16="http://schemas.microsoft.com/office/drawing/2014/main" id="{00000000-0008-0000-0F00-00002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 name="AutoShape 1">
          <a:extLst>
            <a:ext uri="{FF2B5EF4-FFF2-40B4-BE49-F238E27FC236}">
              <a16:creationId xmlns:a16="http://schemas.microsoft.com/office/drawing/2014/main" id="{00000000-0008-0000-0F00-00002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 name="AutoShape 1">
          <a:extLst>
            <a:ext uri="{FF2B5EF4-FFF2-40B4-BE49-F238E27FC236}">
              <a16:creationId xmlns:a16="http://schemas.microsoft.com/office/drawing/2014/main" id="{00000000-0008-0000-0F00-00002D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 name="AutoShape 1">
          <a:extLst>
            <a:ext uri="{FF2B5EF4-FFF2-40B4-BE49-F238E27FC236}">
              <a16:creationId xmlns:a16="http://schemas.microsoft.com/office/drawing/2014/main" id="{00000000-0008-0000-0F00-00002E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 name="AutoShape 1">
          <a:extLst>
            <a:ext uri="{FF2B5EF4-FFF2-40B4-BE49-F238E27FC236}">
              <a16:creationId xmlns:a16="http://schemas.microsoft.com/office/drawing/2014/main" id="{00000000-0008-0000-0F00-00002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 name="AutoShape 1">
          <a:extLst>
            <a:ext uri="{FF2B5EF4-FFF2-40B4-BE49-F238E27FC236}">
              <a16:creationId xmlns:a16="http://schemas.microsoft.com/office/drawing/2014/main" id="{00000000-0008-0000-0F00-00003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 name="AutoShape 1">
          <a:extLst>
            <a:ext uri="{FF2B5EF4-FFF2-40B4-BE49-F238E27FC236}">
              <a16:creationId xmlns:a16="http://schemas.microsoft.com/office/drawing/2014/main" id="{00000000-0008-0000-0F00-00003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 name="AutoShape 1">
          <a:extLst>
            <a:ext uri="{FF2B5EF4-FFF2-40B4-BE49-F238E27FC236}">
              <a16:creationId xmlns:a16="http://schemas.microsoft.com/office/drawing/2014/main" id="{00000000-0008-0000-0F00-00003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 name="AutoShape 1">
          <a:extLst>
            <a:ext uri="{FF2B5EF4-FFF2-40B4-BE49-F238E27FC236}">
              <a16:creationId xmlns:a16="http://schemas.microsoft.com/office/drawing/2014/main" id="{00000000-0008-0000-0F00-000033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 name="AutoShape 1">
          <a:extLst>
            <a:ext uri="{FF2B5EF4-FFF2-40B4-BE49-F238E27FC236}">
              <a16:creationId xmlns:a16="http://schemas.microsoft.com/office/drawing/2014/main" id="{00000000-0008-0000-0F00-000034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 name="AutoShape 1">
          <a:extLst>
            <a:ext uri="{FF2B5EF4-FFF2-40B4-BE49-F238E27FC236}">
              <a16:creationId xmlns:a16="http://schemas.microsoft.com/office/drawing/2014/main" id="{00000000-0008-0000-0F00-000035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 name="AutoShape 1">
          <a:extLst>
            <a:ext uri="{FF2B5EF4-FFF2-40B4-BE49-F238E27FC236}">
              <a16:creationId xmlns:a16="http://schemas.microsoft.com/office/drawing/2014/main" id="{00000000-0008-0000-0F00-000036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 name="AutoShape 1">
          <a:extLst>
            <a:ext uri="{FF2B5EF4-FFF2-40B4-BE49-F238E27FC236}">
              <a16:creationId xmlns:a16="http://schemas.microsoft.com/office/drawing/2014/main" id="{00000000-0008-0000-0F00-000037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 name="AutoShape 1">
          <a:extLst>
            <a:ext uri="{FF2B5EF4-FFF2-40B4-BE49-F238E27FC236}">
              <a16:creationId xmlns:a16="http://schemas.microsoft.com/office/drawing/2014/main" id="{00000000-0008-0000-0F00-000038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 name="AutoShape 1">
          <a:extLst>
            <a:ext uri="{FF2B5EF4-FFF2-40B4-BE49-F238E27FC236}">
              <a16:creationId xmlns:a16="http://schemas.microsoft.com/office/drawing/2014/main" id="{00000000-0008-0000-0F00-000039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 name="AutoShape 1">
          <a:extLst>
            <a:ext uri="{FF2B5EF4-FFF2-40B4-BE49-F238E27FC236}">
              <a16:creationId xmlns:a16="http://schemas.microsoft.com/office/drawing/2014/main" id="{00000000-0008-0000-0F00-00003A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 name="AutoShape 1">
          <a:extLst>
            <a:ext uri="{FF2B5EF4-FFF2-40B4-BE49-F238E27FC236}">
              <a16:creationId xmlns:a16="http://schemas.microsoft.com/office/drawing/2014/main" id="{00000000-0008-0000-0F00-00003B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 name="AutoShape 1">
          <a:extLst>
            <a:ext uri="{FF2B5EF4-FFF2-40B4-BE49-F238E27FC236}">
              <a16:creationId xmlns:a16="http://schemas.microsoft.com/office/drawing/2014/main" id="{00000000-0008-0000-0F00-00003C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3" name="AutoShape 1">
          <a:extLst>
            <a:ext uri="{FF2B5EF4-FFF2-40B4-BE49-F238E27FC236}">
              <a16:creationId xmlns:a16="http://schemas.microsoft.com/office/drawing/2014/main" id="{00000000-0008-0000-0F00-00003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4" name="AutoShape 1">
          <a:extLst>
            <a:ext uri="{FF2B5EF4-FFF2-40B4-BE49-F238E27FC236}">
              <a16:creationId xmlns:a16="http://schemas.microsoft.com/office/drawing/2014/main" id="{00000000-0008-0000-0F00-00003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5" name="AutoShape 1">
          <a:extLst>
            <a:ext uri="{FF2B5EF4-FFF2-40B4-BE49-F238E27FC236}">
              <a16:creationId xmlns:a16="http://schemas.microsoft.com/office/drawing/2014/main" id="{00000000-0008-0000-0F00-00003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6" name="AutoShape 1">
          <a:extLst>
            <a:ext uri="{FF2B5EF4-FFF2-40B4-BE49-F238E27FC236}">
              <a16:creationId xmlns:a16="http://schemas.microsoft.com/office/drawing/2014/main" id="{00000000-0008-0000-0F00-00004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7" name="AutoShape 1">
          <a:extLst>
            <a:ext uri="{FF2B5EF4-FFF2-40B4-BE49-F238E27FC236}">
              <a16:creationId xmlns:a16="http://schemas.microsoft.com/office/drawing/2014/main" id="{00000000-0008-0000-0F00-00004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8" name="AutoShape 1">
          <a:extLst>
            <a:ext uri="{FF2B5EF4-FFF2-40B4-BE49-F238E27FC236}">
              <a16:creationId xmlns:a16="http://schemas.microsoft.com/office/drawing/2014/main" id="{00000000-0008-0000-0F00-00004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9" name="AutoShape 1">
          <a:extLst>
            <a:ext uri="{FF2B5EF4-FFF2-40B4-BE49-F238E27FC236}">
              <a16:creationId xmlns:a16="http://schemas.microsoft.com/office/drawing/2014/main" id="{00000000-0008-0000-0F00-00004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0" name="AutoShape 1">
          <a:extLst>
            <a:ext uri="{FF2B5EF4-FFF2-40B4-BE49-F238E27FC236}">
              <a16:creationId xmlns:a16="http://schemas.microsoft.com/office/drawing/2014/main" id="{00000000-0008-0000-0F00-00004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1" name="AutoShape 1">
          <a:extLst>
            <a:ext uri="{FF2B5EF4-FFF2-40B4-BE49-F238E27FC236}">
              <a16:creationId xmlns:a16="http://schemas.microsoft.com/office/drawing/2014/main" id="{00000000-0008-0000-0F00-00004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2" name="AutoShape 1">
          <a:extLst>
            <a:ext uri="{FF2B5EF4-FFF2-40B4-BE49-F238E27FC236}">
              <a16:creationId xmlns:a16="http://schemas.microsoft.com/office/drawing/2014/main" id="{00000000-0008-0000-0F00-00004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3" name="AutoShape 1">
          <a:extLst>
            <a:ext uri="{FF2B5EF4-FFF2-40B4-BE49-F238E27FC236}">
              <a16:creationId xmlns:a16="http://schemas.microsoft.com/office/drawing/2014/main" id="{00000000-0008-0000-0F00-00004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4" name="AutoShape 1">
          <a:extLst>
            <a:ext uri="{FF2B5EF4-FFF2-40B4-BE49-F238E27FC236}">
              <a16:creationId xmlns:a16="http://schemas.microsoft.com/office/drawing/2014/main" id="{00000000-0008-0000-0F00-00004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5" name="AutoShape 1">
          <a:extLst>
            <a:ext uri="{FF2B5EF4-FFF2-40B4-BE49-F238E27FC236}">
              <a16:creationId xmlns:a16="http://schemas.microsoft.com/office/drawing/2014/main" id="{00000000-0008-0000-0F00-00004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6" name="AutoShape 1">
          <a:extLst>
            <a:ext uri="{FF2B5EF4-FFF2-40B4-BE49-F238E27FC236}">
              <a16:creationId xmlns:a16="http://schemas.microsoft.com/office/drawing/2014/main" id="{00000000-0008-0000-0F00-00004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7" name="AutoShape 1">
          <a:extLst>
            <a:ext uri="{FF2B5EF4-FFF2-40B4-BE49-F238E27FC236}">
              <a16:creationId xmlns:a16="http://schemas.microsoft.com/office/drawing/2014/main" id="{00000000-0008-0000-0F00-00004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8" name="AutoShape 1">
          <a:extLst>
            <a:ext uri="{FF2B5EF4-FFF2-40B4-BE49-F238E27FC236}">
              <a16:creationId xmlns:a16="http://schemas.microsoft.com/office/drawing/2014/main" id="{00000000-0008-0000-0F00-00004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89" name="AutoShape 1">
          <a:extLst>
            <a:ext uri="{FF2B5EF4-FFF2-40B4-BE49-F238E27FC236}">
              <a16:creationId xmlns:a16="http://schemas.microsoft.com/office/drawing/2014/main" id="{00000000-0008-0000-0F00-00004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0" name="AutoShape 1">
          <a:extLst>
            <a:ext uri="{FF2B5EF4-FFF2-40B4-BE49-F238E27FC236}">
              <a16:creationId xmlns:a16="http://schemas.microsoft.com/office/drawing/2014/main" id="{00000000-0008-0000-0F00-00004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1" name="AutoShape 1">
          <a:extLst>
            <a:ext uri="{FF2B5EF4-FFF2-40B4-BE49-F238E27FC236}">
              <a16:creationId xmlns:a16="http://schemas.microsoft.com/office/drawing/2014/main" id="{00000000-0008-0000-0F00-00004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2" name="AutoShape 1">
          <a:extLst>
            <a:ext uri="{FF2B5EF4-FFF2-40B4-BE49-F238E27FC236}">
              <a16:creationId xmlns:a16="http://schemas.microsoft.com/office/drawing/2014/main" id="{00000000-0008-0000-0F00-00005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3" name="AutoShape 1">
          <a:extLst>
            <a:ext uri="{FF2B5EF4-FFF2-40B4-BE49-F238E27FC236}">
              <a16:creationId xmlns:a16="http://schemas.microsoft.com/office/drawing/2014/main" id="{00000000-0008-0000-0F00-00005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4" name="AutoShape 1">
          <a:extLst>
            <a:ext uri="{FF2B5EF4-FFF2-40B4-BE49-F238E27FC236}">
              <a16:creationId xmlns:a16="http://schemas.microsoft.com/office/drawing/2014/main" id="{00000000-0008-0000-0F00-00005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5" name="AutoShape 1">
          <a:extLst>
            <a:ext uri="{FF2B5EF4-FFF2-40B4-BE49-F238E27FC236}">
              <a16:creationId xmlns:a16="http://schemas.microsoft.com/office/drawing/2014/main" id="{00000000-0008-0000-0F00-00005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6" name="AutoShape 1">
          <a:extLst>
            <a:ext uri="{FF2B5EF4-FFF2-40B4-BE49-F238E27FC236}">
              <a16:creationId xmlns:a16="http://schemas.microsoft.com/office/drawing/2014/main" id="{00000000-0008-0000-0F00-00005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7" name="AutoShape 1">
          <a:extLst>
            <a:ext uri="{FF2B5EF4-FFF2-40B4-BE49-F238E27FC236}">
              <a16:creationId xmlns:a16="http://schemas.microsoft.com/office/drawing/2014/main" id="{00000000-0008-0000-0F00-00005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8" name="AutoShape 1">
          <a:extLst>
            <a:ext uri="{FF2B5EF4-FFF2-40B4-BE49-F238E27FC236}">
              <a16:creationId xmlns:a16="http://schemas.microsoft.com/office/drawing/2014/main" id="{00000000-0008-0000-0F00-00005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99" name="AutoShape 1">
          <a:extLst>
            <a:ext uri="{FF2B5EF4-FFF2-40B4-BE49-F238E27FC236}">
              <a16:creationId xmlns:a16="http://schemas.microsoft.com/office/drawing/2014/main" id="{00000000-0008-0000-0F00-00005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0" name="AutoShape 1">
          <a:extLst>
            <a:ext uri="{FF2B5EF4-FFF2-40B4-BE49-F238E27FC236}">
              <a16:creationId xmlns:a16="http://schemas.microsoft.com/office/drawing/2014/main" id="{00000000-0008-0000-0F00-00005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1" name="AutoShape 1">
          <a:extLst>
            <a:ext uri="{FF2B5EF4-FFF2-40B4-BE49-F238E27FC236}">
              <a16:creationId xmlns:a16="http://schemas.microsoft.com/office/drawing/2014/main" id="{00000000-0008-0000-0F00-000059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2" name="AutoShape 1">
          <a:extLst>
            <a:ext uri="{FF2B5EF4-FFF2-40B4-BE49-F238E27FC236}">
              <a16:creationId xmlns:a16="http://schemas.microsoft.com/office/drawing/2014/main" id="{00000000-0008-0000-0F00-00005A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3" name="AutoShape 1">
          <a:extLst>
            <a:ext uri="{FF2B5EF4-FFF2-40B4-BE49-F238E27FC236}">
              <a16:creationId xmlns:a16="http://schemas.microsoft.com/office/drawing/2014/main" id="{00000000-0008-0000-0F00-00005B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4" name="AutoShape 1">
          <a:extLst>
            <a:ext uri="{FF2B5EF4-FFF2-40B4-BE49-F238E27FC236}">
              <a16:creationId xmlns:a16="http://schemas.microsoft.com/office/drawing/2014/main" id="{00000000-0008-0000-0F00-00005C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5" name="AutoShape 1">
          <a:extLst>
            <a:ext uri="{FF2B5EF4-FFF2-40B4-BE49-F238E27FC236}">
              <a16:creationId xmlns:a16="http://schemas.microsoft.com/office/drawing/2014/main" id="{00000000-0008-0000-0F00-00005D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6" name="AutoShape 1">
          <a:extLst>
            <a:ext uri="{FF2B5EF4-FFF2-40B4-BE49-F238E27FC236}">
              <a16:creationId xmlns:a16="http://schemas.microsoft.com/office/drawing/2014/main" id="{00000000-0008-0000-0F00-00005E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7" name="AutoShape 1">
          <a:extLst>
            <a:ext uri="{FF2B5EF4-FFF2-40B4-BE49-F238E27FC236}">
              <a16:creationId xmlns:a16="http://schemas.microsoft.com/office/drawing/2014/main" id="{00000000-0008-0000-0F00-00005F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8" name="AutoShape 1">
          <a:extLst>
            <a:ext uri="{FF2B5EF4-FFF2-40B4-BE49-F238E27FC236}">
              <a16:creationId xmlns:a16="http://schemas.microsoft.com/office/drawing/2014/main" id="{00000000-0008-0000-0F00-000060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09" name="AutoShape 1">
          <a:extLst>
            <a:ext uri="{FF2B5EF4-FFF2-40B4-BE49-F238E27FC236}">
              <a16:creationId xmlns:a16="http://schemas.microsoft.com/office/drawing/2014/main" id="{00000000-0008-0000-0F00-000061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0" name="AutoShape 1">
          <a:extLst>
            <a:ext uri="{FF2B5EF4-FFF2-40B4-BE49-F238E27FC236}">
              <a16:creationId xmlns:a16="http://schemas.microsoft.com/office/drawing/2014/main" id="{00000000-0008-0000-0F00-000062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1" name="AutoShape 1">
          <a:extLst>
            <a:ext uri="{FF2B5EF4-FFF2-40B4-BE49-F238E27FC236}">
              <a16:creationId xmlns:a16="http://schemas.microsoft.com/office/drawing/2014/main" id="{00000000-0008-0000-0F00-000063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2" name="AutoShape 1">
          <a:extLst>
            <a:ext uri="{FF2B5EF4-FFF2-40B4-BE49-F238E27FC236}">
              <a16:creationId xmlns:a16="http://schemas.microsoft.com/office/drawing/2014/main" id="{00000000-0008-0000-0F00-000064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3" name="AutoShape 1">
          <a:extLst>
            <a:ext uri="{FF2B5EF4-FFF2-40B4-BE49-F238E27FC236}">
              <a16:creationId xmlns:a16="http://schemas.microsoft.com/office/drawing/2014/main" id="{00000000-0008-0000-0F00-000065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4" name="AutoShape 1">
          <a:extLst>
            <a:ext uri="{FF2B5EF4-FFF2-40B4-BE49-F238E27FC236}">
              <a16:creationId xmlns:a16="http://schemas.microsoft.com/office/drawing/2014/main" id="{00000000-0008-0000-0F00-000066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5" name="AutoShape 1">
          <a:extLst>
            <a:ext uri="{FF2B5EF4-FFF2-40B4-BE49-F238E27FC236}">
              <a16:creationId xmlns:a16="http://schemas.microsoft.com/office/drawing/2014/main" id="{00000000-0008-0000-0F00-000067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6" name="AutoShape 1">
          <a:extLst>
            <a:ext uri="{FF2B5EF4-FFF2-40B4-BE49-F238E27FC236}">
              <a16:creationId xmlns:a16="http://schemas.microsoft.com/office/drawing/2014/main" id="{00000000-0008-0000-0F00-000068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7" name="AutoShape 1">
          <a:extLst>
            <a:ext uri="{FF2B5EF4-FFF2-40B4-BE49-F238E27FC236}">
              <a16:creationId xmlns:a16="http://schemas.microsoft.com/office/drawing/2014/main" id="{00000000-0008-0000-0F00-000069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8" name="AutoShape 1">
          <a:extLst>
            <a:ext uri="{FF2B5EF4-FFF2-40B4-BE49-F238E27FC236}">
              <a16:creationId xmlns:a16="http://schemas.microsoft.com/office/drawing/2014/main" id="{00000000-0008-0000-0F00-00006A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19" name="AutoShape 1">
          <a:extLst>
            <a:ext uri="{FF2B5EF4-FFF2-40B4-BE49-F238E27FC236}">
              <a16:creationId xmlns:a16="http://schemas.microsoft.com/office/drawing/2014/main" id="{00000000-0008-0000-0F00-00006B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0" name="AutoShape 1">
          <a:extLst>
            <a:ext uri="{FF2B5EF4-FFF2-40B4-BE49-F238E27FC236}">
              <a16:creationId xmlns:a16="http://schemas.microsoft.com/office/drawing/2014/main" id="{00000000-0008-0000-0F00-00006C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1" name="AutoShape 1">
          <a:extLst>
            <a:ext uri="{FF2B5EF4-FFF2-40B4-BE49-F238E27FC236}">
              <a16:creationId xmlns:a16="http://schemas.microsoft.com/office/drawing/2014/main" id="{00000000-0008-0000-0F00-00006D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2" name="AutoShape 1">
          <a:extLst>
            <a:ext uri="{FF2B5EF4-FFF2-40B4-BE49-F238E27FC236}">
              <a16:creationId xmlns:a16="http://schemas.microsoft.com/office/drawing/2014/main" id="{00000000-0008-0000-0F00-00006E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3" name="AutoShape 1">
          <a:extLst>
            <a:ext uri="{FF2B5EF4-FFF2-40B4-BE49-F238E27FC236}">
              <a16:creationId xmlns:a16="http://schemas.microsoft.com/office/drawing/2014/main" id="{00000000-0008-0000-0F00-00006F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4" name="AutoShape 1">
          <a:extLst>
            <a:ext uri="{FF2B5EF4-FFF2-40B4-BE49-F238E27FC236}">
              <a16:creationId xmlns:a16="http://schemas.microsoft.com/office/drawing/2014/main" id="{00000000-0008-0000-0F00-000070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5" name="AutoShape 1">
          <a:extLst>
            <a:ext uri="{FF2B5EF4-FFF2-40B4-BE49-F238E27FC236}">
              <a16:creationId xmlns:a16="http://schemas.microsoft.com/office/drawing/2014/main" id="{00000000-0008-0000-0F00-000071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6" name="AutoShape 1">
          <a:extLst>
            <a:ext uri="{FF2B5EF4-FFF2-40B4-BE49-F238E27FC236}">
              <a16:creationId xmlns:a16="http://schemas.microsoft.com/office/drawing/2014/main" id="{00000000-0008-0000-0F00-000072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7" name="AutoShape 1">
          <a:extLst>
            <a:ext uri="{FF2B5EF4-FFF2-40B4-BE49-F238E27FC236}">
              <a16:creationId xmlns:a16="http://schemas.microsoft.com/office/drawing/2014/main" id="{00000000-0008-0000-0F00-000073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8" name="AutoShape 1">
          <a:extLst>
            <a:ext uri="{FF2B5EF4-FFF2-40B4-BE49-F238E27FC236}">
              <a16:creationId xmlns:a16="http://schemas.microsoft.com/office/drawing/2014/main" id="{00000000-0008-0000-0F00-000074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29" name="AutoShape 1">
          <a:extLst>
            <a:ext uri="{FF2B5EF4-FFF2-40B4-BE49-F238E27FC236}">
              <a16:creationId xmlns:a16="http://schemas.microsoft.com/office/drawing/2014/main" id="{00000000-0008-0000-0F00-000075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0" name="AutoShape 1">
          <a:extLst>
            <a:ext uri="{FF2B5EF4-FFF2-40B4-BE49-F238E27FC236}">
              <a16:creationId xmlns:a16="http://schemas.microsoft.com/office/drawing/2014/main" id="{00000000-0008-0000-0F00-000076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1" name="AutoShape 1">
          <a:extLst>
            <a:ext uri="{FF2B5EF4-FFF2-40B4-BE49-F238E27FC236}">
              <a16:creationId xmlns:a16="http://schemas.microsoft.com/office/drawing/2014/main" id="{00000000-0008-0000-0F00-000077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2" name="AutoShape 1">
          <a:extLst>
            <a:ext uri="{FF2B5EF4-FFF2-40B4-BE49-F238E27FC236}">
              <a16:creationId xmlns:a16="http://schemas.microsoft.com/office/drawing/2014/main" id="{00000000-0008-0000-0F00-000078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3" name="AutoShape 1">
          <a:extLst>
            <a:ext uri="{FF2B5EF4-FFF2-40B4-BE49-F238E27FC236}">
              <a16:creationId xmlns:a16="http://schemas.microsoft.com/office/drawing/2014/main" id="{00000000-0008-0000-0F00-000079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4" name="AutoShape 1">
          <a:extLst>
            <a:ext uri="{FF2B5EF4-FFF2-40B4-BE49-F238E27FC236}">
              <a16:creationId xmlns:a16="http://schemas.microsoft.com/office/drawing/2014/main" id="{00000000-0008-0000-0F00-00007A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5" name="AutoShape 1">
          <a:extLst>
            <a:ext uri="{FF2B5EF4-FFF2-40B4-BE49-F238E27FC236}">
              <a16:creationId xmlns:a16="http://schemas.microsoft.com/office/drawing/2014/main" id="{00000000-0008-0000-0F00-00007B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6" name="AutoShape 1">
          <a:extLst>
            <a:ext uri="{FF2B5EF4-FFF2-40B4-BE49-F238E27FC236}">
              <a16:creationId xmlns:a16="http://schemas.microsoft.com/office/drawing/2014/main" id="{00000000-0008-0000-0F00-00007C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7" name="AutoShape 1">
          <a:extLst>
            <a:ext uri="{FF2B5EF4-FFF2-40B4-BE49-F238E27FC236}">
              <a16:creationId xmlns:a16="http://schemas.microsoft.com/office/drawing/2014/main" id="{00000000-0008-0000-0F00-00007D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8" name="AutoShape 1">
          <a:extLst>
            <a:ext uri="{FF2B5EF4-FFF2-40B4-BE49-F238E27FC236}">
              <a16:creationId xmlns:a16="http://schemas.microsoft.com/office/drawing/2014/main" id="{00000000-0008-0000-0F00-00007E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39" name="AutoShape 1">
          <a:extLst>
            <a:ext uri="{FF2B5EF4-FFF2-40B4-BE49-F238E27FC236}">
              <a16:creationId xmlns:a16="http://schemas.microsoft.com/office/drawing/2014/main" id="{00000000-0008-0000-0F00-00007F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0" name="AutoShape 1">
          <a:extLst>
            <a:ext uri="{FF2B5EF4-FFF2-40B4-BE49-F238E27FC236}">
              <a16:creationId xmlns:a16="http://schemas.microsoft.com/office/drawing/2014/main" id="{00000000-0008-0000-0F00-000080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1" name="AutoShape 1">
          <a:extLst>
            <a:ext uri="{FF2B5EF4-FFF2-40B4-BE49-F238E27FC236}">
              <a16:creationId xmlns:a16="http://schemas.microsoft.com/office/drawing/2014/main" id="{00000000-0008-0000-0F00-00008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2" name="AutoShape 1">
          <a:extLst>
            <a:ext uri="{FF2B5EF4-FFF2-40B4-BE49-F238E27FC236}">
              <a16:creationId xmlns:a16="http://schemas.microsoft.com/office/drawing/2014/main" id="{00000000-0008-0000-0F00-00008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3" name="AutoShape 1">
          <a:extLst>
            <a:ext uri="{FF2B5EF4-FFF2-40B4-BE49-F238E27FC236}">
              <a16:creationId xmlns:a16="http://schemas.microsoft.com/office/drawing/2014/main" id="{00000000-0008-0000-0F00-00008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4" name="AutoShape 1">
          <a:extLst>
            <a:ext uri="{FF2B5EF4-FFF2-40B4-BE49-F238E27FC236}">
              <a16:creationId xmlns:a16="http://schemas.microsoft.com/office/drawing/2014/main" id="{00000000-0008-0000-0F00-00008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5" name="AutoShape 1">
          <a:extLst>
            <a:ext uri="{FF2B5EF4-FFF2-40B4-BE49-F238E27FC236}">
              <a16:creationId xmlns:a16="http://schemas.microsoft.com/office/drawing/2014/main" id="{00000000-0008-0000-0F00-00008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6" name="AutoShape 1">
          <a:extLst>
            <a:ext uri="{FF2B5EF4-FFF2-40B4-BE49-F238E27FC236}">
              <a16:creationId xmlns:a16="http://schemas.microsoft.com/office/drawing/2014/main" id="{00000000-0008-0000-0F00-00008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7" name="AutoShape 1">
          <a:extLst>
            <a:ext uri="{FF2B5EF4-FFF2-40B4-BE49-F238E27FC236}">
              <a16:creationId xmlns:a16="http://schemas.microsoft.com/office/drawing/2014/main" id="{00000000-0008-0000-0F00-00008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8" name="AutoShape 1">
          <a:extLst>
            <a:ext uri="{FF2B5EF4-FFF2-40B4-BE49-F238E27FC236}">
              <a16:creationId xmlns:a16="http://schemas.microsoft.com/office/drawing/2014/main" id="{00000000-0008-0000-0F00-00008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49" name="AutoShape 1">
          <a:extLst>
            <a:ext uri="{FF2B5EF4-FFF2-40B4-BE49-F238E27FC236}">
              <a16:creationId xmlns:a16="http://schemas.microsoft.com/office/drawing/2014/main" id="{00000000-0008-0000-0F00-00008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0" name="AutoShape 1">
          <a:extLst>
            <a:ext uri="{FF2B5EF4-FFF2-40B4-BE49-F238E27FC236}">
              <a16:creationId xmlns:a16="http://schemas.microsoft.com/office/drawing/2014/main" id="{00000000-0008-0000-0F00-00008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1" name="AutoShape 1">
          <a:extLst>
            <a:ext uri="{FF2B5EF4-FFF2-40B4-BE49-F238E27FC236}">
              <a16:creationId xmlns:a16="http://schemas.microsoft.com/office/drawing/2014/main" id="{00000000-0008-0000-0F00-00008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2" name="AutoShape 1">
          <a:extLst>
            <a:ext uri="{FF2B5EF4-FFF2-40B4-BE49-F238E27FC236}">
              <a16:creationId xmlns:a16="http://schemas.microsoft.com/office/drawing/2014/main" id="{00000000-0008-0000-0F00-00008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3" name="AutoShape 1">
          <a:extLst>
            <a:ext uri="{FF2B5EF4-FFF2-40B4-BE49-F238E27FC236}">
              <a16:creationId xmlns:a16="http://schemas.microsoft.com/office/drawing/2014/main" id="{00000000-0008-0000-0F00-00008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4" name="AutoShape 1">
          <a:extLst>
            <a:ext uri="{FF2B5EF4-FFF2-40B4-BE49-F238E27FC236}">
              <a16:creationId xmlns:a16="http://schemas.microsoft.com/office/drawing/2014/main" id="{00000000-0008-0000-0F00-00008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5" name="AutoShape 1">
          <a:extLst>
            <a:ext uri="{FF2B5EF4-FFF2-40B4-BE49-F238E27FC236}">
              <a16:creationId xmlns:a16="http://schemas.microsoft.com/office/drawing/2014/main" id="{00000000-0008-0000-0F00-00008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6" name="AutoShape 1">
          <a:extLst>
            <a:ext uri="{FF2B5EF4-FFF2-40B4-BE49-F238E27FC236}">
              <a16:creationId xmlns:a16="http://schemas.microsoft.com/office/drawing/2014/main" id="{00000000-0008-0000-0F00-00009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7" name="AutoShape 1">
          <a:extLst>
            <a:ext uri="{FF2B5EF4-FFF2-40B4-BE49-F238E27FC236}">
              <a16:creationId xmlns:a16="http://schemas.microsoft.com/office/drawing/2014/main" id="{00000000-0008-0000-0F00-00009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8" name="AutoShape 1">
          <a:extLst>
            <a:ext uri="{FF2B5EF4-FFF2-40B4-BE49-F238E27FC236}">
              <a16:creationId xmlns:a16="http://schemas.microsoft.com/office/drawing/2014/main" id="{00000000-0008-0000-0F00-00009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59" name="AutoShape 1">
          <a:extLst>
            <a:ext uri="{FF2B5EF4-FFF2-40B4-BE49-F238E27FC236}">
              <a16:creationId xmlns:a16="http://schemas.microsoft.com/office/drawing/2014/main" id="{00000000-0008-0000-0F00-00009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0" name="AutoShape 1">
          <a:extLst>
            <a:ext uri="{FF2B5EF4-FFF2-40B4-BE49-F238E27FC236}">
              <a16:creationId xmlns:a16="http://schemas.microsoft.com/office/drawing/2014/main" id="{00000000-0008-0000-0F00-00009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1" name="AutoShape 1">
          <a:extLst>
            <a:ext uri="{FF2B5EF4-FFF2-40B4-BE49-F238E27FC236}">
              <a16:creationId xmlns:a16="http://schemas.microsoft.com/office/drawing/2014/main" id="{00000000-0008-0000-0F00-00009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2" name="AutoShape 1">
          <a:extLst>
            <a:ext uri="{FF2B5EF4-FFF2-40B4-BE49-F238E27FC236}">
              <a16:creationId xmlns:a16="http://schemas.microsoft.com/office/drawing/2014/main" id="{00000000-0008-0000-0F00-00009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3" name="AutoShape 1">
          <a:extLst>
            <a:ext uri="{FF2B5EF4-FFF2-40B4-BE49-F238E27FC236}">
              <a16:creationId xmlns:a16="http://schemas.microsoft.com/office/drawing/2014/main" id="{00000000-0008-0000-0F00-00009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4" name="AutoShape 1">
          <a:extLst>
            <a:ext uri="{FF2B5EF4-FFF2-40B4-BE49-F238E27FC236}">
              <a16:creationId xmlns:a16="http://schemas.microsoft.com/office/drawing/2014/main" id="{00000000-0008-0000-0F00-00009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5" name="AutoShape 1">
          <a:extLst>
            <a:ext uri="{FF2B5EF4-FFF2-40B4-BE49-F238E27FC236}">
              <a16:creationId xmlns:a16="http://schemas.microsoft.com/office/drawing/2014/main" id="{00000000-0008-0000-0F00-00009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6" name="AutoShape 1">
          <a:extLst>
            <a:ext uri="{FF2B5EF4-FFF2-40B4-BE49-F238E27FC236}">
              <a16:creationId xmlns:a16="http://schemas.microsoft.com/office/drawing/2014/main" id="{00000000-0008-0000-0F00-00009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7" name="AutoShape 1">
          <a:extLst>
            <a:ext uri="{FF2B5EF4-FFF2-40B4-BE49-F238E27FC236}">
              <a16:creationId xmlns:a16="http://schemas.microsoft.com/office/drawing/2014/main" id="{00000000-0008-0000-0F00-00009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8" name="AutoShape 1">
          <a:extLst>
            <a:ext uri="{FF2B5EF4-FFF2-40B4-BE49-F238E27FC236}">
              <a16:creationId xmlns:a16="http://schemas.microsoft.com/office/drawing/2014/main" id="{00000000-0008-0000-0F00-00009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69" name="AutoShape 1">
          <a:extLst>
            <a:ext uri="{FF2B5EF4-FFF2-40B4-BE49-F238E27FC236}">
              <a16:creationId xmlns:a16="http://schemas.microsoft.com/office/drawing/2014/main" id="{00000000-0008-0000-0F00-00009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0" name="AutoShape 1">
          <a:extLst>
            <a:ext uri="{FF2B5EF4-FFF2-40B4-BE49-F238E27FC236}">
              <a16:creationId xmlns:a16="http://schemas.microsoft.com/office/drawing/2014/main" id="{00000000-0008-0000-0F00-00009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1" name="AutoShape 1">
          <a:extLst>
            <a:ext uri="{FF2B5EF4-FFF2-40B4-BE49-F238E27FC236}">
              <a16:creationId xmlns:a16="http://schemas.microsoft.com/office/drawing/2014/main" id="{00000000-0008-0000-0F00-00009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2" name="AutoShape 1">
          <a:extLst>
            <a:ext uri="{FF2B5EF4-FFF2-40B4-BE49-F238E27FC236}">
              <a16:creationId xmlns:a16="http://schemas.microsoft.com/office/drawing/2014/main" id="{00000000-0008-0000-0F00-0000A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3" name="AutoShape 1">
          <a:extLst>
            <a:ext uri="{FF2B5EF4-FFF2-40B4-BE49-F238E27FC236}">
              <a16:creationId xmlns:a16="http://schemas.microsoft.com/office/drawing/2014/main" id="{00000000-0008-0000-0F00-0000A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4" name="AutoShape 1">
          <a:extLst>
            <a:ext uri="{FF2B5EF4-FFF2-40B4-BE49-F238E27FC236}">
              <a16:creationId xmlns:a16="http://schemas.microsoft.com/office/drawing/2014/main" id="{00000000-0008-0000-0F00-0000A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5" name="AutoShape 1">
          <a:extLst>
            <a:ext uri="{FF2B5EF4-FFF2-40B4-BE49-F238E27FC236}">
              <a16:creationId xmlns:a16="http://schemas.microsoft.com/office/drawing/2014/main" id="{00000000-0008-0000-0F00-0000A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6" name="AutoShape 1">
          <a:extLst>
            <a:ext uri="{FF2B5EF4-FFF2-40B4-BE49-F238E27FC236}">
              <a16:creationId xmlns:a16="http://schemas.microsoft.com/office/drawing/2014/main" id="{00000000-0008-0000-0F00-0000A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7" name="AutoShape 1">
          <a:extLst>
            <a:ext uri="{FF2B5EF4-FFF2-40B4-BE49-F238E27FC236}">
              <a16:creationId xmlns:a16="http://schemas.microsoft.com/office/drawing/2014/main" id="{00000000-0008-0000-0F00-0000A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8" name="AutoShape 1">
          <a:extLst>
            <a:ext uri="{FF2B5EF4-FFF2-40B4-BE49-F238E27FC236}">
              <a16:creationId xmlns:a16="http://schemas.microsoft.com/office/drawing/2014/main" id="{00000000-0008-0000-0F00-0000A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79" name="AutoShape 1">
          <a:extLst>
            <a:ext uri="{FF2B5EF4-FFF2-40B4-BE49-F238E27FC236}">
              <a16:creationId xmlns:a16="http://schemas.microsoft.com/office/drawing/2014/main" id="{00000000-0008-0000-0F00-0000A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0" name="AutoShape 1">
          <a:extLst>
            <a:ext uri="{FF2B5EF4-FFF2-40B4-BE49-F238E27FC236}">
              <a16:creationId xmlns:a16="http://schemas.microsoft.com/office/drawing/2014/main" id="{00000000-0008-0000-0F00-0000A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 name="AutoShape 1">
          <a:extLst>
            <a:ext uri="{FF2B5EF4-FFF2-40B4-BE49-F238E27FC236}">
              <a16:creationId xmlns:a16="http://schemas.microsoft.com/office/drawing/2014/main" id="{00000000-0008-0000-0F00-0000A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 name="AutoShape 1">
          <a:extLst>
            <a:ext uri="{FF2B5EF4-FFF2-40B4-BE49-F238E27FC236}">
              <a16:creationId xmlns:a16="http://schemas.microsoft.com/office/drawing/2014/main" id="{00000000-0008-0000-0F00-0000A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 name="AutoShape 1">
          <a:extLst>
            <a:ext uri="{FF2B5EF4-FFF2-40B4-BE49-F238E27FC236}">
              <a16:creationId xmlns:a16="http://schemas.microsoft.com/office/drawing/2014/main" id="{00000000-0008-0000-0F00-0000A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 name="AutoShape 1">
          <a:extLst>
            <a:ext uri="{FF2B5EF4-FFF2-40B4-BE49-F238E27FC236}">
              <a16:creationId xmlns:a16="http://schemas.microsoft.com/office/drawing/2014/main" id="{00000000-0008-0000-0F00-0000A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 name="AutoShape 1">
          <a:extLst>
            <a:ext uri="{FF2B5EF4-FFF2-40B4-BE49-F238E27FC236}">
              <a16:creationId xmlns:a16="http://schemas.microsoft.com/office/drawing/2014/main" id="{00000000-0008-0000-0F00-0000A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 name="AutoShape 1">
          <a:extLst>
            <a:ext uri="{FF2B5EF4-FFF2-40B4-BE49-F238E27FC236}">
              <a16:creationId xmlns:a16="http://schemas.microsoft.com/office/drawing/2014/main" id="{00000000-0008-0000-0F00-0000A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 name="AutoShape 1">
          <a:extLst>
            <a:ext uri="{FF2B5EF4-FFF2-40B4-BE49-F238E27FC236}">
              <a16:creationId xmlns:a16="http://schemas.microsoft.com/office/drawing/2014/main" id="{00000000-0008-0000-0F00-0000A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 name="AutoShape 1">
          <a:extLst>
            <a:ext uri="{FF2B5EF4-FFF2-40B4-BE49-F238E27FC236}">
              <a16:creationId xmlns:a16="http://schemas.microsoft.com/office/drawing/2014/main" id="{00000000-0008-0000-0F00-0000B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 name="AutoShape 1">
          <a:extLst>
            <a:ext uri="{FF2B5EF4-FFF2-40B4-BE49-F238E27FC236}">
              <a16:creationId xmlns:a16="http://schemas.microsoft.com/office/drawing/2014/main" id="{00000000-0008-0000-0F00-0000B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 name="AutoShape 1">
          <a:extLst>
            <a:ext uri="{FF2B5EF4-FFF2-40B4-BE49-F238E27FC236}">
              <a16:creationId xmlns:a16="http://schemas.microsoft.com/office/drawing/2014/main" id="{00000000-0008-0000-0F00-0000B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 name="AutoShape 1">
          <a:extLst>
            <a:ext uri="{FF2B5EF4-FFF2-40B4-BE49-F238E27FC236}">
              <a16:creationId xmlns:a16="http://schemas.microsoft.com/office/drawing/2014/main" id="{00000000-0008-0000-0F00-0000B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 name="AutoShape 1">
          <a:extLst>
            <a:ext uri="{FF2B5EF4-FFF2-40B4-BE49-F238E27FC236}">
              <a16:creationId xmlns:a16="http://schemas.microsoft.com/office/drawing/2014/main" id="{00000000-0008-0000-0F00-0000B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 name="AutoShape 1">
          <a:extLst>
            <a:ext uri="{FF2B5EF4-FFF2-40B4-BE49-F238E27FC236}">
              <a16:creationId xmlns:a16="http://schemas.microsoft.com/office/drawing/2014/main" id="{00000000-0008-0000-0F00-0000B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 name="AutoShape 1">
          <a:extLst>
            <a:ext uri="{FF2B5EF4-FFF2-40B4-BE49-F238E27FC236}">
              <a16:creationId xmlns:a16="http://schemas.microsoft.com/office/drawing/2014/main" id="{00000000-0008-0000-0F00-0000B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 name="AutoShape 1">
          <a:extLst>
            <a:ext uri="{FF2B5EF4-FFF2-40B4-BE49-F238E27FC236}">
              <a16:creationId xmlns:a16="http://schemas.microsoft.com/office/drawing/2014/main" id="{00000000-0008-0000-0F00-0000B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 name="AutoShape 1">
          <a:extLst>
            <a:ext uri="{FF2B5EF4-FFF2-40B4-BE49-F238E27FC236}">
              <a16:creationId xmlns:a16="http://schemas.microsoft.com/office/drawing/2014/main" id="{00000000-0008-0000-0F00-0000B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 name="AutoShape 1">
          <a:extLst>
            <a:ext uri="{FF2B5EF4-FFF2-40B4-BE49-F238E27FC236}">
              <a16:creationId xmlns:a16="http://schemas.microsoft.com/office/drawing/2014/main" id="{00000000-0008-0000-0F00-0000B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 name="AutoShape 1">
          <a:extLst>
            <a:ext uri="{FF2B5EF4-FFF2-40B4-BE49-F238E27FC236}">
              <a16:creationId xmlns:a16="http://schemas.microsoft.com/office/drawing/2014/main" id="{00000000-0008-0000-0F00-0000B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 name="AutoShape 1">
          <a:extLst>
            <a:ext uri="{FF2B5EF4-FFF2-40B4-BE49-F238E27FC236}">
              <a16:creationId xmlns:a16="http://schemas.microsoft.com/office/drawing/2014/main" id="{00000000-0008-0000-0F00-0000B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 name="AutoShape 1">
          <a:extLst>
            <a:ext uri="{FF2B5EF4-FFF2-40B4-BE49-F238E27FC236}">
              <a16:creationId xmlns:a16="http://schemas.microsoft.com/office/drawing/2014/main" id="{00000000-0008-0000-0F00-0000B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 name="AutoShape 1">
          <a:extLst>
            <a:ext uri="{FF2B5EF4-FFF2-40B4-BE49-F238E27FC236}">
              <a16:creationId xmlns:a16="http://schemas.microsoft.com/office/drawing/2014/main" id="{00000000-0008-0000-0F00-0000B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 name="AutoShape 1">
          <a:extLst>
            <a:ext uri="{FF2B5EF4-FFF2-40B4-BE49-F238E27FC236}">
              <a16:creationId xmlns:a16="http://schemas.microsoft.com/office/drawing/2014/main" id="{00000000-0008-0000-0F00-0000B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 name="AutoShape 1">
          <a:extLst>
            <a:ext uri="{FF2B5EF4-FFF2-40B4-BE49-F238E27FC236}">
              <a16:creationId xmlns:a16="http://schemas.microsoft.com/office/drawing/2014/main" id="{00000000-0008-0000-0F00-0000B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 name="AutoShape 1">
          <a:extLst>
            <a:ext uri="{FF2B5EF4-FFF2-40B4-BE49-F238E27FC236}">
              <a16:creationId xmlns:a16="http://schemas.microsoft.com/office/drawing/2014/main" id="{00000000-0008-0000-0F00-0000C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 name="AutoShape 1">
          <a:extLst>
            <a:ext uri="{FF2B5EF4-FFF2-40B4-BE49-F238E27FC236}">
              <a16:creationId xmlns:a16="http://schemas.microsoft.com/office/drawing/2014/main" id="{00000000-0008-0000-0F00-0000C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 name="AutoShape 1">
          <a:extLst>
            <a:ext uri="{FF2B5EF4-FFF2-40B4-BE49-F238E27FC236}">
              <a16:creationId xmlns:a16="http://schemas.microsoft.com/office/drawing/2014/main" id="{00000000-0008-0000-0F00-0000C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 name="AutoShape 1">
          <a:extLst>
            <a:ext uri="{FF2B5EF4-FFF2-40B4-BE49-F238E27FC236}">
              <a16:creationId xmlns:a16="http://schemas.microsoft.com/office/drawing/2014/main" id="{00000000-0008-0000-0F00-0000C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 name="AutoShape 1">
          <a:extLst>
            <a:ext uri="{FF2B5EF4-FFF2-40B4-BE49-F238E27FC236}">
              <a16:creationId xmlns:a16="http://schemas.microsoft.com/office/drawing/2014/main" id="{00000000-0008-0000-0F00-0000C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 name="AutoShape 1">
          <a:extLst>
            <a:ext uri="{FF2B5EF4-FFF2-40B4-BE49-F238E27FC236}">
              <a16:creationId xmlns:a16="http://schemas.microsoft.com/office/drawing/2014/main" id="{00000000-0008-0000-0F00-0000C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 name="AutoShape 1">
          <a:extLst>
            <a:ext uri="{FF2B5EF4-FFF2-40B4-BE49-F238E27FC236}">
              <a16:creationId xmlns:a16="http://schemas.microsoft.com/office/drawing/2014/main" id="{00000000-0008-0000-0F00-0000C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 name="AutoShape 1">
          <a:extLst>
            <a:ext uri="{FF2B5EF4-FFF2-40B4-BE49-F238E27FC236}">
              <a16:creationId xmlns:a16="http://schemas.microsoft.com/office/drawing/2014/main" id="{00000000-0008-0000-0F00-0000C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 name="AutoShape 1">
          <a:extLst>
            <a:ext uri="{FF2B5EF4-FFF2-40B4-BE49-F238E27FC236}">
              <a16:creationId xmlns:a16="http://schemas.microsoft.com/office/drawing/2014/main" id="{00000000-0008-0000-0F00-0000C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 name="AutoShape 1">
          <a:extLst>
            <a:ext uri="{FF2B5EF4-FFF2-40B4-BE49-F238E27FC236}">
              <a16:creationId xmlns:a16="http://schemas.microsoft.com/office/drawing/2014/main" id="{00000000-0008-0000-0F00-0000C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 name="AutoShape 1">
          <a:extLst>
            <a:ext uri="{FF2B5EF4-FFF2-40B4-BE49-F238E27FC236}">
              <a16:creationId xmlns:a16="http://schemas.microsoft.com/office/drawing/2014/main" id="{00000000-0008-0000-0F00-0000C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 name="AutoShape 1">
          <a:extLst>
            <a:ext uri="{FF2B5EF4-FFF2-40B4-BE49-F238E27FC236}">
              <a16:creationId xmlns:a16="http://schemas.microsoft.com/office/drawing/2014/main" id="{00000000-0008-0000-0F00-0000C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 name="AutoShape 1">
          <a:extLst>
            <a:ext uri="{FF2B5EF4-FFF2-40B4-BE49-F238E27FC236}">
              <a16:creationId xmlns:a16="http://schemas.microsoft.com/office/drawing/2014/main" id="{00000000-0008-0000-0F00-0000C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 name="AutoShape 1">
          <a:extLst>
            <a:ext uri="{FF2B5EF4-FFF2-40B4-BE49-F238E27FC236}">
              <a16:creationId xmlns:a16="http://schemas.microsoft.com/office/drawing/2014/main" id="{00000000-0008-0000-0F00-0000C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 name="AutoShape 1">
          <a:extLst>
            <a:ext uri="{FF2B5EF4-FFF2-40B4-BE49-F238E27FC236}">
              <a16:creationId xmlns:a16="http://schemas.microsoft.com/office/drawing/2014/main" id="{00000000-0008-0000-0F00-0000C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 name="AutoShape 1">
          <a:extLst>
            <a:ext uri="{FF2B5EF4-FFF2-40B4-BE49-F238E27FC236}">
              <a16:creationId xmlns:a16="http://schemas.microsoft.com/office/drawing/2014/main" id="{00000000-0008-0000-0F00-0000C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 name="AutoShape 1">
          <a:extLst>
            <a:ext uri="{FF2B5EF4-FFF2-40B4-BE49-F238E27FC236}">
              <a16:creationId xmlns:a16="http://schemas.microsoft.com/office/drawing/2014/main" id="{00000000-0008-0000-0F00-0000D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 name="AutoShape 1">
          <a:extLst>
            <a:ext uri="{FF2B5EF4-FFF2-40B4-BE49-F238E27FC236}">
              <a16:creationId xmlns:a16="http://schemas.microsoft.com/office/drawing/2014/main" id="{00000000-0008-0000-0F00-0000D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 name="AutoShape 1">
          <a:extLst>
            <a:ext uri="{FF2B5EF4-FFF2-40B4-BE49-F238E27FC236}">
              <a16:creationId xmlns:a16="http://schemas.microsoft.com/office/drawing/2014/main" id="{00000000-0008-0000-0F00-0000D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 name="AutoShape 1">
          <a:extLst>
            <a:ext uri="{FF2B5EF4-FFF2-40B4-BE49-F238E27FC236}">
              <a16:creationId xmlns:a16="http://schemas.microsoft.com/office/drawing/2014/main" id="{00000000-0008-0000-0F00-0000D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 name="AutoShape 1">
          <a:extLst>
            <a:ext uri="{FF2B5EF4-FFF2-40B4-BE49-F238E27FC236}">
              <a16:creationId xmlns:a16="http://schemas.microsoft.com/office/drawing/2014/main" id="{00000000-0008-0000-0F00-0000D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 name="AutoShape 1">
          <a:extLst>
            <a:ext uri="{FF2B5EF4-FFF2-40B4-BE49-F238E27FC236}">
              <a16:creationId xmlns:a16="http://schemas.microsoft.com/office/drawing/2014/main" id="{00000000-0008-0000-0F00-0000D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 name="AutoShape 1">
          <a:extLst>
            <a:ext uri="{FF2B5EF4-FFF2-40B4-BE49-F238E27FC236}">
              <a16:creationId xmlns:a16="http://schemas.microsoft.com/office/drawing/2014/main" id="{00000000-0008-0000-0F00-0000D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 name="AutoShape 1">
          <a:extLst>
            <a:ext uri="{FF2B5EF4-FFF2-40B4-BE49-F238E27FC236}">
              <a16:creationId xmlns:a16="http://schemas.microsoft.com/office/drawing/2014/main" id="{00000000-0008-0000-0F00-0000D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 name="AutoShape 1">
          <a:extLst>
            <a:ext uri="{FF2B5EF4-FFF2-40B4-BE49-F238E27FC236}">
              <a16:creationId xmlns:a16="http://schemas.microsoft.com/office/drawing/2014/main" id="{00000000-0008-0000-0F00-0000D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 name="AutoShape 1">
          <a:extLst>
            <a:ext uri="{FF2B5EF4-FFF2-40B4-BE49-F238E27FC236}">
              <a16:creationId xmlns:a16="http://schemas.microsoft.com/office/drawing/2014/main" id="{00000000-0008-0000-0F00-0000D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 name="AutoShape 1">
          <a:extLst>
            <a:ext uri="{FF2B5EF4-FFF2-40B4-BE49-F238E27FC236}">
              <a16:creationId xmlns:a16="http://schemas.microsoft.com/office/drawing/2014/main" id="{00000000-0008-0000-0F00-0000D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 name="AutoShape 1">
          <a:extLst>
            <a:ext uri="{FF2B5EF4-FFF2-40B4-BE49-F238E27FC236}">
              <a16:creationId xmlns:a16="http://schemas.microsoft.com/office/drawing/2014/main" id="{00000000-0008-0000-0F00-0000D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 name="AutoShape 1">
          <a:extLst>
            <a:ext uri="{FF2B5EF4-FFF2-40B4-BE49-F238E27FC236}">
              <a16:creationId xmlns:a16="http://schemas.microsoft.com/office/drawing/2014/main" id="{00000000-0008-0000-0F00-0000D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 name="AutoShape 1">
          <a:extLst>
            <a:ext uri="{FF2B5EF4-FFF2-40B4-BE49-F238E27FC236}">
              <a16:creationId xmlns:a16="http://schemas.microsoft.com/office/drawing/2014/main" id="{00000000-0008-0000-0F00-0000D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 name="AutoShape 1">
          <a:extLst>
            <a:ext uri="{FF2B5EF4-FFF2-40B4-BE49-F238E27FC236}">
              <a16:creationId xmlns:a16="http://schemas.microsoft.com/office/drawing/2014/main" id="{00000000-0008-0000-0F00-0000D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 name="AutoShape 1">
          <a:extLst>
            <a:ext uri="{FF2B5EF4-FFF2-40B4-BE49-F238E27FC236}">
              <a16:creationId xmlns:a16="http://schemas.microsoft.com/office/drawing/2014/main" id="{00000000-0008-0000-0F00-0000D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 name="AutoShape 1">
          <a:extLst>
            <a:ext uri="{FF2B5EF4-FFF2-40B4-BE49-F238E27FC236}">
              <a16:creationId xmlns:a16="http://schemas.microsoft.com/office/drawing/2014/main" id="{00000000-0008-0000-0F00-0000E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 name="AutoShape 1">
          <a:extLst>
            <a:ext uri="{FF2B5EF4-FFF2-40B4-BE49-F238E27FC236}">
              <a16:creationId xmlns:a16="http://schemas.microsoft.com/office/drawing/2014/main" id="{00000000-0008-0000-0F00-0000E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 name="AutoShape 1">
          <a:extLst>
            <a:ext uri="{FF2B5EF4-FFF2-40B4-BE49-F238E27FC236}">
              <a16:creationId xmlns:a16="http://schemas.microsoft.com/office/drawing/2014/main" id="{00000000-0008-0000-0F00-0000E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 name="AutoShape 1">
          <a:extLst>
            <a:ext uri="{FF2B5EF4-FFF2-40B4-BE49-F238E27FC236}">
              <a16:creationId xmlns:a16="http://schemas.microsoft.com/office/drawing/2014/main" id="{00000000-0008-0000-0F00-0000E3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 name="AutoShape 1">
          <a:extLst>
            <a:ext uri="{FF2B5EF4-FFF2-40B4-BE49-F238E27FC236}">
              <a16:creationId xmlns:a16="http://schemas.microsoft.com/office/drawing/2014/main" id="{00000000-0008-0000-0F00-0000E4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 name="AutoShape 1">
          <a:extLst>
            <a:ext uri="{FF2B5EF4-FFF2-40B4-BE49-F238E27FC236}">
              <a16:creationId xmlns:a16="http://schemas.microsoft.com/office/drawing/2014/main" id="{00000000-0008-0000-0F00-0000E5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 name="AutoShape 1">
          <a:extLst>
            <a:ext uri="{FF2B5EF4-FFF2-40B4-BE49-F238E27FC236}">
              <a16:creationId xmlns:a16="http://schemas.microsoft.com/office/drawing/2014/main" id="{00000000-0008-0000-0F00-0000E6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 name="AutoShape 1">
          <a:extLst>
            <a:ext uri="{FF2B5EF4-FFF2-40B4-BE49-F238E27FC236}">
              <a16:creationId xmlns:a16="http://schemas.microsoft.com/office/drawing/2014/main" id="{00000000-0008-0000-0F00-0000E7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 name="AutoShape 1">
          <a:extLst>
            <a:ext uri="{FF2B5EF4-FFF2-40B4-BE49-F238E27FC236}">
              <a16:creationId xmlns:a16="http://schemas.microsoft.com/office/drawing/2014/main" id="{00000000-0008-0000-0F00-0000E8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 name="AutoShape 1">
          <a:extLst>
            <a:ext uri="{FF2B5EF4-FFF2-40B4-BE49-F238E27FC236}">
              <a16:creationId xmlns:a16="http://schemas.microsoft.com/office/drawing/2014/main" id="{00000000-0008-0000-0F00-0000E9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 name="AutoShape 1">
          <a:extLst>
            <a:ext uri="{FF2B5EF4-FFF2-40B4-BE49-F238E27FC236}">
              <a16:creationId xmlns:a16="http://schemas.microsoft.com/office/drawing/2014/main" id="{00000000-0008-0000-0F00-0000EA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 name="AutoShape 1">
          <a:extLst>
            <a:ext uri="{FF2B5EF4-FFF2-40B4-BE49-F238E27FC236}">
              <a16:creationId xmlns:a16="http://schemas.microsoft.com/office/drawing/2014/main" id="{00000000-0008-0000-0F00-0000EB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 name="AutoShape 1">
          <a:extLst>
            <a:ext uri="{FF2B5EF4-FFF2-40B4-BE49-F238E27FC236}">
              <a16:creationId xmlns:a16="http://schemas.microsoft.com/office/drawing/2014/main" id="{00000000-0008-0000-0F00-0000EC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 name="AutoShape 1">
          <a:extLst>
            <a:ext uri="{FF2B5EF4-FFF2-40B4-BE49-F238E27FC236}">
              <a16:creationId xmlns:a16="http://schemas.microsoft.com/office/drawing/2014/main" id="{00000000-0008-0000-0F00-0000ED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 name="AutoShape 1">
          <a:extLst>
            <a:ext uri="{FF2B5EF4-FFF2-40B4-BE49-F238E27FC236}">
              <a16:creationId xmlns:a16="http://schemas.microsoft.com/office/drawing/2014/main" id="{00000000-0008-0000-0F00-0000EE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 name="AutoShape 1">
          <a:extLst>
            <a:ext uri="{FF2B5EF4-FFF2-40B4-BE49-F238E27FC236}">
              <a16:creationId xmlns:a16="http://schemas.microsoft.com/office/drawing/2014/main" id="{00000000-0008-0000-0F00-0000E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 name="AutoShape 1">
          <a:extLst>
            <a:ext uri="{FF2B5EF4-FFF2-40B4-BE49-F238E27FC236}">
              <a16:creationId xmlns:a16="http://schemas.microsoft.com/office/drawing/2014/main" id="{00000000-0008-0000-0F00-0000F0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 name="AutoShape 1">
          <a:extLst>
            <a:ext uri="{FF2B5EF4-FFF2-40B4-BE49-F238E27FC236}">
              <a16:creationId xmlns:a16="http://schemas.microsoft.com/office/drawing/2014/main" id="{00000000-0008-0000-0F00-0000F1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 name="AutoShape 1">
          <a:extLst>
            <a:ext uri="{FF2B5EF4-FFF2-40B4-BE49-F238E27FC236}">
              <a16:creationId xmlns:a16="http://schemas.microsoft.com/office/drawing/2014/main" id="{00000000-0008-0000-0F00-0000F2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 name="AutoShape 1">
          <a:extLst>
            <a:ext uri="{FF2B5EF4-FFF2-40B4-BE49-F238E27FC236}">
              <a16:creationId xmlns:a16="http://schemas.microsoft.com/office/drawing/2014/main" id="{00000000-0008-0000-0F00-0000F3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 name="AutoShape 1">
          <a:extLst>
            <a:ext uri="{FF2B5EF4-FFF2-40B4-BE49-F238E27FC236}">
              <a16:creationId xmlns:a16="http://schemas.microsoft.com/office/drawing/2014/main" id="{00000000-0008-0000-0F00-0000F4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 name="AutoShape 1">
          <a:extLst>
            <a:ext uri="{FF2B5EF4-FFF2-40B4-BE49-F238E27FC236}">
              <a16:creationId xmlns:a16="http://schemas.microsoft.com/office/drawing/2014/main" id="{00000000-0008-0000-0F00-0000F5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 name="AutoShape 1">
          <a:extLst>
            <a:ext uri="{FF2B5EF4-FFF2-40B4-BE49-F238E27FC236}">
              <a16:creationId xmlns:a16="http://schemas.microsoft.com/office/drawing/2014/main" id="{00000000-0008-0000-0F00-0000F6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 name="AutoShape 1">
          <a:extLst>
            <a:ext uri="{FF2B5EF4-FFF2-40B4-BE49-F238E27FC236}">
              <a16:creationId xmlns:a16="http://schemas.microsoft.com/office/drawing/2014/main" id="{00000000-0008-0000-0F00-0000F7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 name="AutoShape 1">
          <a:extLst>
            <a:ext uri="{FF2B5EF4-FFF2-40B4-BE49-F238E27FC236}">
              <a16:creationId xmlns:a16="http://schemas.microsoft.com/office/drawing/2014/main" id="{00000000-0008-0000-0F00-0000F8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 name="AutoShape 1">
          <a:extLst>
            <a:ext uri="{FF2B5EF4-FFF2-40B4-BE49-F238E27FC236}">
              <a16:creationId xmlns:a16="http://schemas.microsoft.com/office/drawing/2014/main" id="{00000000-0008-0000-0F00-0000F9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 name="AutoShape 1">
          <a:extLst>
            <a:ext uri="{FF2B5EF4-FFF2-40B4-BE49-F238E27FC236}">
              <a16:creationId xmlns:a16="http://schemas.microsoft.com/office/drawing/2014/main" id="{00000000-0008-0000-0F00-0000FA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 name="AutoShape 1">
          <a:extLst>
            <a:ext uri="{FF2B5EF4-FFF2-40B4-BE49-F238E27FC236}">
              <a16:creationId xmlns:a16="http://schemas.microsoft.com/office/drawing/2014/main" id="{00000000-0008-0000-0F00-0000FB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 name="AutoShape 1">
          <a:extLst>
            <a:ext uri="{FF2B5EF4-FFF2-40B4-BE49-F238E27FC236}">
              <a16:creationId xmlns:a16="http://schemas.microsoft.com/office/drawing/2014/main" id="{00000000-0008-0000-0F00-0000FC02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 name="AutoShape 1">
          <a:extLst>
            <a:ext uri="{FF2B5EF4-FFF2-40B4-BE49-F238E27FC236}">
              <a16:creationId xmlns:a16="http://schemas.microsoft.com/office/drawing/2014/main" id="{00000000-0008-0000-0F00-0000FD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 name="AutoShape 1">
          <a:extLst>
            <a:ext uri="{FF2B5EF4-FFF2-40B4-BE49-F238E27FC236}">
              <a16:creationId xmlns:a16="http://schemas.microsoft.com/office/drawing/2014/main" id="{00000000-0008-0000-0F00-0000FE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 name="AutoShape 1">
          <a:extLst>
            <a:ext uri="{FF2B5EF4-FFF2-40B4-BE49-F238E27FC236}">
              <a16:creationId xmlns:a16="http://schemas.microsoft.com/office/drawing/2014/main" id="{00000000-0008-0000-0F00-0000FF02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 name="AutoShape 1">
          <a:extLst>
            <a:ext uri="{FF2B5EF4-FFF2-40B4-BE49-F238E27FC236}">
              <a16:creationId xmlns:a16="http://schemas.microsoft.com/office/drawing/2014/main" id="{00000000-0008-0000-0F00-000000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 name="AutoShape 1">
          <a:extLst>
            <a:ext uri="{FF2B5EF4-FFF2-40B4-BE49-F238E27FC236}">
              <a16:creationId xmlns:a16="http://schemas.microsoft.com/office/drawing/2014/main" id="{00000000-0008-0000-0F00-000001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 name="AutoShape 1">
          <a:extLst>
            <a:ext uri="{FF2B5EF4-FFF2-40B4-BE49-F238E27FC236}">
              <a16:creationId xmlns:a16="http://schemas.microsoft.com/office/drawing/2014/main" id="{00000000-0008-0000-0F00-000002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 name="AutoShape 1">
          <a:extLst>
            <a:ext uri="{FF2B5EF4-FFF2-40B4-BE49-F238E27FC236}">
              <a16:creationId xmlns:a16="http://schemas.microsoft.com/office/drawing/2014/main" id="{00000000-0008-0000-0F00-000003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 name="AutoShape 1">
          <a:extLst>
            <a:ext uri="{FF2B5EF4-FFF2-40B4-BE49-F238E27FC236}">
              <a16:creationId xmlns:a16="http://schemas.microsoft.com/office/drawing/2014/main" id="{00000000-0008-0000-0F00-000004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 name="AutoShape 1">
          <a:extLst>
            <a:ext uri="{FF2B5EF4-FFF2-40B4-BE49-F238E27FC236}">
              <a16:creationId xmlns:a16="http://schemas.microsoft.com/office/drawing/2014/main" id="{00000000-0008-0000-0F00-000005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 name="AutoShape 1">
          <a:extLst>
            <a:ext uri="{FF2B5EF4-FFF2-40B4-BE49-F238E27FC236}">
              <a16:creationId xmlns:a16="http://schemas.microsoft.com/office/drawing/2014/main" id="{00000000-0008-0000-0F00-000006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 name="AutoShape 1">
          <a:extLst>
            <a:ext uri="{FF2B5EF4-FFF2-40B4-BE49-F238E27FC236}">
              <a16:creationId xmlns:a16="http://schemas.microsoft.com/office/drawing/2014/main" id="{00000000-0008-0000-0F00-000007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 name="AutoShape 1">
          <a:extLst>
            <a:ext uri="{FF2B5EF4-FFF2-40B4-BE49-F238E27FC236}">
              <a16:creationId xmlns:a16="http://schemas.microsoft.com/office/drawing/2014/main" id="{00000000-0008-0000-0F00-000008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 name="AutoShape 1">
          <a:extLst>
            <a:ext uri="{FF2B5EF4-FFF2-40B4-BE49-F238E27FC236}">
              <a16:creationId xmlns:a16="http://schemas.microsoft.com/office/drawing/2014/main" id="{00000000-0008-0000-0F00-000009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 name="AutoShape 1">
          <a:extLst>
            <a:ext uri="{FF2B5EF4-FFF2-40B4-BE49-F238E27FC236}">
              <a16:creationId xmlns:a16="http://schemas.microsoft.com/office/drawing/2014/main" id="{00000000-0008-0000-0F00-00000A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 name="AutoShape 1">
          <a:extLst>
            <a:ext uri="{FF2B5EF4-FFF2-40B4-BE49-F238E27FC236}">
              <a16:creationId xmlns:a16="http://schemas.microsoft.com/office/drawing/2014/main" id="{00000000-0008-0000-0F00-00000B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 name="AutoShape 1">
          <a:extLst>
            <a:ext uri="{FF2B5EF4-FFF2-40B4-BE49-F238E27FC236}">
              <a16:creationId xmlns:a16="http://schemas.microsoft.com/office/drawing/2014/main" id="{00000000-0008-0000-0F00-00000C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 name="AutoShape 1">
          <a:extLst>
            <a:ext uri="{FF2B5EF4-FFF2-40B4-BE49-F238E27FC236}">
              <a16:creationId xmlns:a16="http://schemas.microsoft.com/office/drawing/2014/main" id="{00000000-0008-0000-0F00-00000D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 name="AutoShape 1">
          <a:extLst>
            <a:ext uri="{FF2B5EF4-FFF2-40B4-BE49-F238E27FC236}">
              <a16:creationId xmlns:a16="http://schemas.microsoft.com/office/drawing/2014/main" id="{00000000-0008-0000-0F00-00000E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 name="AutoShape 1">
          <a:extLst>
            <a:ext uri="{FF2B5EF4-FFF2-40B4-BE49-F238E27FC236}">
              <a16:creationId xmlns:a16="http://schemas.microsoft.com/office/drawing/2014/main" id="{00000000-0008-0000-0F00-00000F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 name="AutoShape 1">
          <a:extLst>
            <a:ext uri="{FF2B5EF4-FFF2-40B4-BE49-F238E27FC236}">
              <a16:creationId xmlns:a16="http://schemas.microsoft.com/office/drawing/2014/main" id="{00000000-0008-0000-0F00-000010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 name="AutoShape 1">
          <a:extLst>
            <a:ext uri="{FF2B5EF4-FFF2-40B4-BE49-F238E27FC236}">
              <a16:creationId xmlns:a16="http://schemas.microsoft.com/office/drawing/2014/main" id="{00000000-0008-0000-0F00-000011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 name="AutoShape 1">
          <a:extLst>
            <a:ext uri="{FF2B5EF4-FFF2-40B4-BE49-F238E27FC236}">
              <a16:creationId xmlns:a16="http://schemas.microsoft.com/office/drawing/2014/main" id="{00000000-0008-0000-0F00-000012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 name="AutoShape 1">
          <a:extLst>
            <a:ext uri="{FF2B5EF4-FFF2-40B4-BE49-F238E27FC236}">
              <a16:creationId xmlns:a16="http://schemas.microsoft.com/office/drawing/2014/main" id="{00000000-0008-0000-0F00-000013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8" name="AutoShape 1">
          <a:extLst>
            <a:ext uri="{FF2B5EF4-FFF2-40B4-BE49-F238E27FC236}">
              <a16:creationId xmlns:a16="http://schemas.microsoft.com/office/drawing/2014/main" id="{00000000-0008-0000-0F00-000014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9" name="AutoShape 1">
          <a:extLst>
            <a:ext uri="{FF2B5EF4-FFF2-40B4-BE49-F238E27FC236}">
              <a16:creationId xmlns:a16="http://schemas.microsoft.com/office/drawing/2014/main" id="{00000000-0008-0000-0F00-000015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0" name="AutoShape 1">
          <a:extLst>
            <a:ext uri="{FF2B5EF4-FFF2-40B4-BE49-F238E27FC236}">
              <a16:creationId xmlns:a16="http://schemas.microsoft.com/office/drawing/2014/main" id="{00000000-0008-0000-0F00-000016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1" name="AutoShape 1">
          <a:extLst>
            <a:ext uri="{FF2B5EF4-FFF2-40B4-BE49-F238E27FC236}">
              <a16:creationId xmlns:a16="http://schemas.microsoft.com/office/drawing/2014/main" id="{00000000-0008-0000-0F00-000017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2" name="AutoShape 1">
          <a:extLst>
            <a:ext uri="{FF2B5EF4-FFF2-40B4-BE49-F238E27FC236}">
              <a16:creationId xmlns:a16="http://schemas.microsoft.com/office/drawing/2014/main" id="{00000000-0008-0000-0F00-000018030000}"/>
            </a:ext>
          </a:extLst>
        </xdr:cNvPr>
        <xdr:cNvSpPr>
          <a:spLocks noChangeAspect="1" noChangeArrowheads="1"/>
        </xdr:cNvSpPr>
      </xdr:nvSpPr>
      <xdr:spPr bwMode="auto">
        <a:xfrm>
          <a:off x="977900" y="57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3" name="AutoShape 1">
          <a:extLst>
            <a:ext uri="{FF2B5EF4-FFF2-40B4-BE49-F238E27FC236}">
              <a16:creationId xmlns:a16="http://schemas.microsoft.com/office/drawing/2014/main" id="{00000000-0008-0000-0F00-00001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4" name="AutoShape 1">
          <a:extLst>
            <a:ext uri="{FF2B5EF4-FFF2-40B4-BE49-F238E27FC236}">
              <a16:creationId xmlns:a16="http://schemas.microsoft.com/office/drawing/2014/main" id="{00000000-0008-0000-0F00-00001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5" name="AutoShape 1">
          <a:extLst>
            <a:ext uri="{FF2B5EF4-FFF2-40B4-BE49-F238E27FC236}">
              <a16:creationId xmlns:a16="http://schemas.microsoft.com/office/drawing/2014/main" id="{00000000-0008-0000-0F00-00001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6" name="AutoShape 1">
          <a:extLst>
            <a:ext uri="{FF2B5EF4-FFF2-40B4-BE49-F238E27FC236}">
              <a16:creationId xmlns:a16="http://schemas.microsoft.com/office/drawing/2014/main" id="{00000000-0008-0000-0F00-00001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7" name="AutoShape 1">
          <a:extLst>
            <a:ext uri="{FF2B5EF4-FFF2-40B4-BE49-F238E27FC236}">
              <a16:creationId xmlns:a16="http://schemas.microsoft.com/office/drawing/2014/main" id="{00000000-0008-0000-0F00-00001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8" name="AutoShape 1">
          <a:extLst>
            <a:ext uri="{FF2B5EF4-FFF2-40B4-BE49-F238E27FC236}">
              <a16:creationId xmlns:a16="http://schemas.microsoft.com/office/drawing/2014/main" id="{00000000-0008-0000-0F00-00001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99" name="AutoShape 1">
          <a:extLst>
            <a:ext uri="{FF2B5EF4-FFF2-40B4-BE49-F238E27FC236}">
              <a16:creationId xmlns:a16="http://schemas.microsoft.com/office/drawing/2014/main" id="{00000000-0008-0000-0F00-00001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0" name="AutoShape 1">
          <a:extLst>
            <a:ext uri="{FF2B5EF4-FFF2-40B4-BE49-F238E27FC236}">
              <a16:creationId xmlns:a16="http://schemas.microsoft.com/office/drawing/2014/main" id="{00000000-0008-0000-0F00-00002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1" name="AutoShape 1">
          <a:extLst>
            <a:ext uri="{FF2B5EF4-FFF2-40B4-BE49-F238E27FC236}">
              <a16:creationId xmlns:a16="http://schemas.microsoft.com/office/drawing/2014/main" id="{00000000-0008-0000-0F00-00002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2" name="AutoShape 1">
          <a:extLst>
            <a:ext uri="{FF2B5EF4-FFF2-40B4-BE49-F238E27FC236}">
              <a16:creationId xmlns:a16="http://schemas.microsoft.com/office/drawing/2014/main" id="{00000000-0008-0000-0F00-00002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3" name="AutoShape 1">
          <a:extLst>
            <a:ext uri="{FF2B5EF4-FFF2-40B4-BE49-F238E27FC236}">
              <a16:creationId xmlns:a16="http://schemas.microsoft.com/office/drawing/2014/main" id="{00000000-0008-0000-0F00-00002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4" name="AutoShape 1">
          <a:extLst>
            <a:ext uri="{FF2B5EF4-FFF2-40B4-BE49-F238E27FC236}">
              <a16:creationId xmlns:a16="http://schemas.microsoft.com/office/drawing/2014/main" id="{00000000-0008-0000-0F00-00002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5" name="AutoShape 1">
          <a:extLst>
            <a:ext uri="{FF2B5EF4-FFF2-40B4-BE49-F238E27FC236}">
              <a16:creationId xmlns:a16="http://schemas.microsoft.com/office/drawing/2014/main" id="{00000000-0008-0000-0F00-00002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6" name="AutoShape 1">
          <a:extLst>
            <a:ext uri="{FF2B5EF4-FFF2-40B4-BE49-F238E27FC236}">
              <a16:creationId xmlns:a16="http://schemas.microsoft.com/office/drawing/2014/main" id="{00000000-0008-0000-0F00-00002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7" name="AutoShape 1">
          <a:extLst>
            <a:ext uri="{FF2B5EF4-FFF2-40B4-BE49-F238E27FC236}">
              <a16:creationId xmlns:a16="http://schemas.microsoft.com/office/drawing/2014/main" id="{00000000-0008-0000-0F00-00002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8" name="AutoShape 1">
          <a:extLst>
            <a:ext uri="{FF2B5EF4-FFF2-40B4-BE49-F238E27FC236}">
              <a16:creationId xmlns:a16="http://schemas.microsoft.com/office/drawing/2014/main" id="{00000000-0008-0000-0F00-00002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09" name="AutoShape 1">
          <a:extLst>
            <a:ext uri="{FF2B5EF4-FFF2-40B4-BE49-F238E27FC236}">
              <a16:creationId xmlns:a16="http://schemas.microsoft.com/office/drawing/2014/main" id="{00000000-0008-0000-0F00-00002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0" name="AutoShape 1">
          <a:extLst>
            <a:ext uri="{FF2B5EF4-FFF2-40B4-BE49-F238E27FC236}">
              <a16:creationId xmlns:a16="http://schemas.microsoft.com/office/drawing/2014/main" id="{00000000-0008-0000-0F00-00002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1" name="AutoShape 1">
          <a:extLst>
            <a:ext uri="{FF2B5EF4-FFF2-40B4-BE49-F238E27FC236}">
              <a16:creationId xmlns:a16="http://schemas.microsoft.com/office/drawing/2014/main" id="{00000000-0008-0000-0F00-00002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2" name="AutoShape 1">
          <a:extLst>
            <a:ext uri="{FF2B5EF4-FFF2-40B4-BE49-F238E27FC236}">
              <a16:creationId xmlns:a16="http://schemas.microsoft.com/office/drawing/2014/main" id="{00000000-0008-0000-0F00-00002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3" name="AutoShape 1">
          <a:extLst>
            <a:ext uri="{FF2B5EF4-FFF2-40B4-BE49-F238E27FC236}">
              <a16:creationId xmlns:a16="http://schemas.microsoft.com/office/drawing/2014/main" id="{00000000-0008-0000-0F00-00002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4" name="AutoShape 1">
          <a:extLst>
            <a:ext uri="{FF2B5EF4-FFF2-40B4-BE49-F238E27FC236}">
              <a16:creationId xmlns:a16="http://schemas.microsoft.com/office/drawing/2014/main" id="{00000000-0008-0000-0F00-00002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5" name="AutoShape 1">
          <a:extLst>
            <a:ext uri="{FF2B5EF4-FFF2-40B4-BE49-F238E27FC236}">
              <a16:creationId xmlns:a16="http://schemas.microsoft.com/office/drawing/2014/main" id="{00000000-0008-0000-0F00-00002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6" name="AutoShape 1">
          <a:extLst>
            <a:ext uri="{FF2B5EF4-FFF2-40B4-BE49-F238E27FC236}">
              <a16:creationId xmlns:a16="http://schemas.microsoft.com/office/drawing/2014/main" id="{00000000-0008-0000-0F00-00003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7" name="AutoShape 1">
          <a:extLst>
            <a:ext uri="{FF2B5EF4-FFF2-40B4-BE49-F238E27FC236}">
              <a16:creationId xmlns:a16="http://schemas.microsoft.com/office/drawing/2014/main" id="{00000000-0008-0000-0F00-00003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8" name="AutoShape 1">
          <a:extLst>
            <a:ext uri="{FF2B5EF4-FFF2-40B4-BE49-F238E27FC236}">
              <a16:creationId xmlns:a16="http://schemas.microsoft.com/office/drawing/2014/main" id="{00000000-0008-0000-0F00-00003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19" name="AutoShape 1">
          <a:extLst>
            <a:ext uri="{FF2B5EF4-FFF2-40B4-BE49-F238E27FC236}">
              <a16:creationId xmlns:a16="http://schemas.microsoft.com/office/drawing/2014/main" id="{00000000-0008-0000-0F00-00003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0" name="AutoShape 1">
          <a:extLst>
            <a:ext uri="{FF2B5EF4-FFF2-40B4-BE49-F238E27FC236}">
              <a16:creationId xmlns:a16="http://schemas.microsoft.com/office/drawing/2014/main" id="{00000000-0008-0000-0F00-00003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1" name="AutoShape 1">
          <a:extLst>
            <a:ext uri="{FF2B5EF4-FFF2-40B4-BE49-F238E27FC236}">
              <a16:creationId xmlns:a16="http://schemas.microsoft.com/office/drawing/2014/main" id="{00000000-0008-0000-0F00-00003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2" name="AutoShape 1">
          <a:extLst>
            <a:ext uri="{FF2B5EF4-FFF2-40B4-BE49-F238E27FC236}">
              <a16:creationId xmlns:a16="http://schemas.microsoft.com/office/drawing/2014/main" id="{00000000-0008-0000-0F00-00003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3" name="AutoShape 1">
          <a:extLst>
            <a:ext uri="{FF2B5EF4-FFF2-40B4-BE49-F238E27FC236}">
              <a16:creationId xmlns:a16="http://schemas.microsoft.com/office/drawing/2014/main" id="{00000000-0008-0000-0F00-00003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4" name="AutoShape 1">
          <a:extLst>
            <a:ext uri="{FF2B5EF4-FFF2-40B4-BE49-F238E27FC236}">
              <a16:creationId xmlns:a16="http://schemas.microsoft.com/office/drawing/2014/main" id="{00000000-0008-0000-0F00-00003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5" name="AutoShape 1">
          <a:extLst>
            <a:ext uri="{FF2B5EF4-FFF2-40B4-BE49-F238E27FC236}">
              <a16:creationId xmlns:a16="http://schemas.microsoft.com/office/drawing/2014/main" id="{00000000-0008-0000-0F00-00003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6" name="AutoShape 1">
          <a:extLst>
            <a:ext uri="{FF2B5EF4-FFF2-40B4-BE49-F238E27FC236}">
              <a16:creationId xmlns:a16="http://schemas.microsoft.com/office/drawing/2014/main" id="{00000000-0008-0000-0F00-00003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7" name="AutoShape 1">
          <a:extLst>
            <a:ext uri="{FF2B5EF4-FFF2-40B4-BE49-F238E27FC236}">
              <a16:creationId xmlns:a16="http://schemas.microsoft.com/office/drawing/2014/main" id="{00000000-0008-0000-0F00-00003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8" name="AutoShape 1">
          <a:extLst>
            <a:ext uri="{FF2B5EF4-FFF2-40B4-BE49-F238E27FC236}">
              <a16:creationId xmlns:a16="http://schemas.microsoft.com/office/drawing/2014/main" id="{00000000-0008-0000-0F00-00003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29" name="AutoShape 1">
          <a:extLst>
            <a:ext uri="{FF2B5EF4-FFF2-40B4-BE49-F238E27FC236}">
              <a16:creationId xmlns:a16="http://schemas.microsoft.com/office/drawing/2014/main" id="{00000000-0008-0000-0F00-00003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0" name="AutoShape 1">
          <a:extLst>
            <a:ext uri="{FF2B5EF4-FFF2-40B4-BE49-F238E27FC236}">
              <a16:creationId xmlns:a16="http://schemas.microsoft.com/office/drawing/2014/main" id="{00000000-0008-0000-0F00-00003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1" name="AutoShape 1">
          <a:extLst>
            <a:ext uri="{FF2B5EF4-FFF2-40B4-BE49-F238E27FC236}">
              <a16:creationId xmlns:a16="http://schemas.microsoft.com/office/drawing/2014/main" id="{00000000-0008-0000-0F00-00003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2" name="AutoShape 1">
          <a:extLst>
            <a:ext uri="{FF2B5EF4-FFF2-40B4-BE49-F238E27FC236}">
              <a16:creationId xmlns:a16="http://schemas.microsoft.com/office/drawing/2014/main" id="{00000000-0008-0000-0F00-00004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3" name="AutoShape 1">
          <a:extLst>
            <a:ext uri="{FF2B5EF4-FFF2-40B4-BE49-F238E27FC236}">
              <a16:creationId xmlns:a16="http://schemas.microsoft.com/office/drawing/2014/main" id="{00000000-0008-0000-0F00-00004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4" name="AutoShape 1">
          <a:extLst>
            <a:ext uri="{FF2B5EF4-FFF2-40B4-BE49-F238E27FC236}">
              <a16:creationId xmlns:a16="http://schemas.microsoft.com/office/drawing/2014/main" id="{00000000-0008-0000-0F00-00004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5" name="AutoShape 1">
          <a:extLst>
            <a:ext uri="{FF2B5EF4-FFF2-40B4-BE49-F238E27FC236}">
              <a16:creationId xmlns:a16="http://schemas.microsoft.com/office/drawing/2014/main" id="{00000000-0008-0000-0F00-00004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6" name="AutoShape 1">
          <a:extLst>
            <a:ext uri="{FF2B5EF4-FFF2-40B4-BE49-F238E27FC236}">
              <a16:creationId xmlns:a16="http://schemas.microsoft.com/office/drawing/2014/main" id="{00000000-0008-0000-0F00-00004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7" name="AutoShape 1">
          <a:extLst>
            <a:ext uri="{FF2B5EF4-FFF2-40B4-BE49-F238E27FC236}">
              <a16:creationId xmlns:a16="http://schemas.microsoft.com/office/drawing/2014/main" id="{00000000-0008-0000-0F00-00004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8" name="AutoShape 1">
          <a:extLst>
            <a:ext uri="{FF2B5EF4-FFF2-40B4-BE49-F238E27FC236}">
              <a16:creationId xmlns:a16="http://schemas.microsoft.com/office/drawing/2014/main" id="{00000000-0008-0000-0F00-00004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39" name="AutoShape 1">
          <a:extLst>
            <a:ext uri="{FF2B5EF4-FFF2-40B4-BE49-F238E27FC236}">
              <a16:creationId xmlns:a16="http://schemas.microsoft.com/office/drawing/2014/main" id="{00000000-0008-0000-0F00-00004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0" name="AutoShape 1">
          <a:extLst>
            <a:ext uri="{FF2B5EF4-FFF2-40B4-BE49-F238E27FC236}">
              <a16:creationId xmlns:a16="http://schemas.microsoft.com/office/drawing/2014/main" id="{00000000-0008-0000-0F00-00004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1" name="AutoShape 1">
          <a:extLst>
            <a:ext uri="{FF2B5EF4-FFF2-40B4-BE49-F238E27FC236}">
              <a16:creationId xmlns:a16="http://schemas.microsoft.com/office/drawing/2014/main" id="{00000000-0008-0000-0F00-00004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2" name="AutoShape 1">
          <a:extLst>
            <a:ext uri="{FF2B5EF4-FFF2-40B4-BE49-F238E27FC236}">
              <a16:creationId xmlns:a16="http://schemas.microsoft.com/office/drawing/2014/main" id="{00000000-0008-0000-0F00-00004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3" name="AutoShape 1">
          <a:extLst>
            <a:ext uri="{FF2B5EF4-FFF2-40B4-BE49-F238E27FC236}">
              <a16:creationId xmlns:a16="http://schemas.microsoft.com/office/drawing/2014/main" id="{00000000-0008-0000-0F00-00004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4" name="AutoShape 1">
          <a:extLst>
            <a:ext uri="{FF2B5EF4-FFF2-40B4-BE49-F238E27FC236}">
              <a16:creationId xmlns:a16="http://schemas.microsoft.com/office/drawing/2014/main" id="{00000000-0008-0000-0F00-00004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5" name="AutoShape 1">
          <a:extLst>
            <a:ext uri="{FF2B5EF4-FFF2-40B4-BE49-F238E27FC236}">
              <a16:creationId xmlns:a16="http://schemas.microsoft.com/office/drawing/2014/main" id="{00000000-0008-0000-0F00-00004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6" name="AutoShape 1">
          <a:extLst>
            <a:ext uri="{FF2B5EF4-FFF2-40B4-BE49-F238E27FC236}">
              <a16:creationId xmlns:a16="http://schemas.microsoft.com/office/drawing/2014/main" id="{00000000-0008-0000-0F00-00004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7" name="AutoShape 1">
          <a:extLst>
            <a:ext uri="{FF2B5EF4-FFF2-40B4-BE49-F238E27FC236}">
              <a16:creationId xmlns:a16="http://schemas.microsoft.com/office/drawing/2014/main" id="{00000000-0008-0000-0F00-00004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8" name="AutoShape 1">
          <a:extLst>
            <a:ext uri="{FF2B5EF4-FFF2-40B4-BE49-F238E27FC236}">
              <a16:creationId xmlns:a16="http://schemas.microsoft.com/office/drawing/2014/main" id="{00000000-0008-0000-0F00-00005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49" name="AutoShape 1">
          <a:extLst>
            <a:ext uri="{FF2B5EF4-FFF2-40B4-BE49-F238E27FC236}">
              <a16:creationId xmlns:a16="http://schemas.microsoft.com/office/drawing/2014/main" id="{00000000-0008-0000-0F00-00005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0" name="AutoShape 1">
          <a:extLst>
            <a:ext uri="{FF2B5EF4-FFF2-40B4-BE49-F238E27FC236}">
              <a16:creationId xmlns:a16="http://schemas.microsoft.com/office/drawing/2014/main" id="{00000000-0008-0000-0F00-00005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1" name="AutoShape 1">
          <a:extLst>
            <a:ext uri="{FF2B5EF4-FFF2-40B4-BE49-F238E27FC236}">
              <a16:creationId xmlns:a16="http://schemas.microsoft.com/office/drawing/2014/main" id="{00000000-0008-0000-0F00-00005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2" name="AutoShape 1">
          <a:extLst>
            <a:ext uri="{FF2B5EF4-FFF2-40B4-BE49-F238E27FC236}">
              <a16:creationId xmlns:a16="http://schemas.microsoft.com/office/drawing/2014/main" id="{00000000-0008-0000-0F00-00005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3" name="AutoShape 1">
          <a:extLst>
            <a:ext uri="{FF2B5EF4-FFF2-40B4-BE49-F238E27FC236}">
              <a16:creationId xmlns:a16="http://schemas.microsoft.com/office/drawing/2014/main" id="{00000000-0008-0000-0F00-00005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4" name="AutoShape 1">
          <a:extLst>
            <a:ext uri="{FF2B5EF4-FFF2-40B4-BE49-F238E27FC236}">
              <a16:creationId xmlns:a16="http://schemas.microsoft.com/office/drawing/2014/main" id="{00000000-0008-0000-0F00-00005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5" name="AutoShape 1">
          <a:extLst>
            <a:ext uri="{FF2B5EF4-FFF2-40B4-BE49-F238E27FC236}">
              <a16:creationId xmlns:a16="http://schemas.microsoft.com/office/drawing/2014/main" id="{00000000-0008-0000-0F00-00005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6" name="AutoShape 1">
          <a:extLst>
            <a:ext uri="{FF2B5EF4-FFF2-40B4-BE49-F238E27FC236}">
              <a16:creationId xmlns:a16="http://schemas.microsoft.com/office/drawing/2014/main" id="{00000000-0008-0000-0F00-00005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7" name="AutoShape 1">
          <a:extLst>
            <a:ext uri="{FF2B5EF4-FFF2-40B4-BE49-F238E27FC236}">
              <a16:creationId xmlns:a16="http://schemas.microsoft.com/office/drawing/2014/main" id="{00000000-0008-0000-0F00-00005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8" name="AutoShape 1">
          <a:extLst>
            <a:ext uri="{FF2B5EF4-FFF2-40B4-BE49-F238E27FC236}">
              <a16:creationId xmlns:a16="http://schemas.microsoft.com/office/drawing/2014/main" id="{00000000-0008-0000-0F00-00005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59" name="AutoShape 1">
          <a:extLst>
            <a:ext uri="{FF2B5EF4-FFF2-40B4-BE49-F238E27FC236}">
              <a16:creationId xmlns:a16="http://schemas.microsoft.com/office/drawing/2014/main" id="{00000000-0008-0000-0F00-00005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0" name="AutoShape 1">
          <a:extLst>
            <a:ext uri="{FF2B5EF4-FFF2-40B4-BE49-F238E27FC236}">
              <a16:creationId xmlns:a16="http://schemas.microsoft.com/office/drawing/2014/main" id="{00000000-0008-0000-0F00-00005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1" name="AutoShape 1">
          <a:extLst>
            <a:ext uri="{FF2B5EF4-FFF2-40B4-BE49-F238E27FC236}">
              <a16:creationId xmlns:a16="http://schemas.microsoft.com/office/drawing/2014/main" id="{00000000-0008-0000-0F00-00005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2" name="AutoShape 1">
          <a:extLst>
            <a:ext uri="{FF2B5EF4-FFF2-40B4-BE49-F238E27FC236}">
              <a16:creationId xmlns:a16="http://schemas.microsoft.com/office/drawing/2014/main" id="{00000000-0008-0000-0F00-00005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3" name="AutoShape 1">
          <a:extLst>
            <a:ext uri="{FF2B5EF4-FFF2-40B4-BE49-F238E27FC236}">
              <a16:creationId xmlns:a16="http://schemas.microsoft.com/office/drawing/2014/main" id="{00000000-0008-0000-0F00-00005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4" name="AutoShape 1">
          <a:extLst>
            <a:ext uri="{FF2B5EF4-FFF2-40B4-BE49-F238E27FC236}">
              <a16:creationId xmlns:a16="http://schemas.microsoft.com/office/drawing/2014/main" id="{00000000-0008-0000-0F00-00006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5" name="AutoShape 1">
          <a:extLst>
            <a:ext uri="{FF2B5EF4-FFF2-40B4-BE49-F238E27FC236}">
              <a16:creationId xmlns:a16="http://schemas.microsoft.com/office/drawing/2014/main" id="{00000000-0008-0000-0F00-00006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6" name="AutoShape 1">
          <a:extLst>
            <a:ext uri="{FF2B5EF4-FFF2-40B4-BE49-F238E27FC236}">
              <a16:creationId xmlns:a16="http://schemas.microsoft.com/office/drawing/2014/main" id="{00000000-0008-0000-0F00-00006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7" name="AutoShape 1">
          <a:extLst>
            <a:ext uri="{FF2B5EF4-FFF2-40B4-BE49-F238E27FC236}">
              <a16:creationId xmlns:a16="http://schemas.microsoft.com/office/drawing/2014/main" id="{00000000-0008-0000-0F00-00006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8" name="AutoShape 1">
          <a:extLst>
            <a:ext uri="{FF2B5EF4-FFF2-40B4-BE49-F238E27FC236}">
              <a16:creationId xmlns:a16="http://schemas.microsoft.com/office/drawing/2014/main" id="{00000000-0008-0000-0F00-00006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69" name="AutoShape 1">
          <a:extLst>
            <a:ext uri="{FF2B5EF4-FFF2-40B4-BE49-F238E27FC236}">
              <a16:creationId xmlns:a16="http://schemas.microsoft.com/office/drawing/2014/main" id="{00000000-0008-0000-0F00-00006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0" name="AutoShape 1">
          <a:extLst>
            <a:ext uri="{FF2B5EF4-FFF2-40B4-BE49-F238E27FC236}">
              <a16:creationId xmlns:a16="http://schemas.microsoft.com/office/drawing/2014/main" id="{00000000-0008-0000-0F00-00006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1" name="AutoShape 1">
          <a:extLst>
            <a:ext uri="{FF2B5EF4-FFF2-40B4-BE49-F238E27FC236}">
              <a16:creationId xmlns:a16="http://schemas.microsoft.com/office/drawing/2014/main" id="{00000000-0008-0000-0F00-00006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2" name="AutoShape 1">
          <a:extLst>
            <a:ext uri="{FF2B5EF4-FFF2-40B4-BE49-F238E27FC236}">
              <a16:creationId xmlns:a16="http://schemas.microsoft.com/office/drawing/2014/main" id="{00000000-0008-0000-0F00-00006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3" name="AutoShape 1">
          <a:extLst>
            <a:ext uri="{FF2B5EF4-FFF2-40B4-BE49-F238E27FC236}">
              <a16:creationId xmlns:a16="http://schemas.microsoft.com/office/drawing/2014/main" id="{00000000-0008-0000-0F00-00006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4" name="AutoShape 1">
          <a:extLst>
            <a:ext uri="{FF2B5EF4-FFF2-40B4-BE49-F238E27FC236}">
              <a16:creationId xmlns:a16="http://schemas.microsoft.com/office/drawing/2014/main" id="{00000000-0008-0000-0F00-00006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5" name="AutoShape 1">
          <a:extLst>
            <a:ext uri="{FF2B5EF4-FFF2-40B4-BE49-F238E27FC236}">
              <a16:creationId xmlns:a16="http://schemas.microsoft.com/office/drawing/2014/main" id="{00000000-0008-0000-0F00-00006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6" name="AutoShape 1">
          <a:extLst>
            <a:ext uri="{FF2B5EF4-FFF2-40B4-BE49-F238E27FC236}">
              <a16:creationId xmlns:a16="http://schemas.microsoft.com/office/drawing/2014/main" id="{00000000-0008-0000-0F00-00006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7" name="AutoShape 1">
          <a:extLst>
            <a:ext uri="{FF2B5EF4-FFF2-40B4-BE49-F238E27FC236}">
              <a16:creationId xmlns:a16="http://schemas.microsoft.com/office/drawing/2014/main" id="{00000000-0008-0000-0F00-00006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8" name="AutoShape 1">
          <a:extLst>
            <a:ext uri="{FF2B5EF4-FFF2-40B4-BE49-F238E27FC236}">
              <a16:creationId xmlns:a16="http://schemas.microsoft.com/office/drawing/2014/main" id="{00000000-0008-0000-0F00-00006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79" name="AutoShape 1">
          <a:extLst>
            <a:ext uri="{FF2B5EF4-FFF2-40B4-BE49-F238E27FC236}">
              <a16:creationId xmlns:a16="http://schemas.microsoft.com/office/drawing/2014/main" id="{00000000-0008-0000-0F00-00006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0" name="AutoShape 1">
          <a:extLst>
            <a:ext uri="{FF2B5EF4-FFF2-40B4-BE49-F238E27FC236}">
              <a16:creationId xmlns:a16="http://schemas.microsoft.com/office/drawing/2014/main" id="{00000000-0008-0000-0F00-00007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1" name="AutoShape 1">
          <a:extLst>
            <a:ext uri="{FF2B5EF4-FFF2-40B4-BE49-F238E27FC236}">
              <a16:creationId xmlns:a16="http://schemas.microsoft.com/office/drawing/2014/main" id="{00000000-0008-0000-0F00-00007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2" name="AutoShape 1">
          <a:extLst>
            <a:ext uri="{FF2B5EF4-FFF2-40B4-BE49-F238E27FC236}">
              <a16:creationId xmlns:a16="http://schemas.microsoft.com/office/drawing/2014/main" id="{00000000-0008-0000-0F00-00007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3" name="AutoShape 1">
          <a:extLst>
            <a:ext uri="{FF2B5EF4-FFF2-40B4-BE49-F238E27FC236}">
              <a16:creationId xmlns:a16="http://schemas.microsoft.com/office/drawing/2014/main" id="{00000000-0008-0000-0F00-00007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4" name="AutoShape 1">
          <a:extLst>
            <a:ext uri="{FF2B5EF4-FFF2-40B4-BE49-F238E27FC236}">
              <a16:creationId xmlns:a16="http://schemas.microsoft.com/office/drawing/2014/main" id="{00000000-0008-0000-0F00-00007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5" name="AutoShape 1">
          <a:extLst>
            <a:ext uri="{FF2B5EF4-FFF2-40B4-BE49-F238E27FC236}">
              <a16:creationId xmlns:a16="http://schemas.microsoft.com/office/drawing/2014/main" id="{00000000-0008-0000-0F00-00007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6" name="AutoShape 1">
          <a:extLst>
            <a:ext uri="{FF2B5EF4-FFF2-40B4-BE49-F238E27FC236}">
              <a16:creationId xmlns:a16="http://schemas.microsoft.com/office/drawing/2014/main" id="{00000000-0008-0000-0F00-00007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7" name="AutoShape 1">
          <a:extLst>
            <a:ext uri="{FF2B5EF4-FFF2-40B4-BE49-F238E27FC236}">
              <a16:creationId xmlns:a16="http://schemas.microsoft.com/office/drawing/2014/main" id="{00000000-0008-0000-0F00-00007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8" name="AutoShape 1">
          <a:extLst>
            <a:ext uri="{FF2B5EF4-FFF2-40B4-BE49-F238E27FC236}">
              <a16:creationId xmlns:a16="http://schemas.microsoft.com/office/drawing/2014/main" id="{00000000-0008-0000-0F00-00007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89" name="AutoShape 1">
          <a:extLst>
            <a:ext uri="{FF2B5EF4-FFF2-40B4-BE49-F238E27FC236}">
              <a16:creationId xmlns:a16="http://schemas.microsoft.com/office/drawing/2014/main" id="{00000000-0008-0000-0F00-00007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0" name="AutoShape 1">
          <a:extLst>
            <a:ext uri="{FF2B5EF4-FFF2-40B4-BE49-F238E27FC236}">
              <a16:creationId xmlns:a16="http://schemas.microsoft.com/office/drawing/2014/main" id="{00000000-0008-0000-0F00-00007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1" name="AutoShape 1">
          <a:extLst>
            <a:ext uri="{FF2B5EF4-FFF2-40B4-BE49-F238E27FC236}">
              <a16:creationId xmlns:a16="http://schemas.microsoft.com/office/drawing/2014/main" id="{00000000-0008-0000-0F00-00007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2" name="AutoShape 1">
          <a:extLst>
            <a:ext uri="{FF2B5EF4-FFF2-40B4-BE49-F238E27FC236}">
              <a16:creationId xmlns:a16="http://schemas.microsoft.com/office/drawing/2014/main" id="{00000000-0008-0000-0F00-00007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3" name="AutoShape 1">
          <a:extLst>
            <a:ext uri="{FF2B5EF4-FFF2-40B4-BE49-F238E27FC236}">
              <a16:creationId xmlns:a16="http://schemas.microsoft.com/office/drawing/2014/main" id="{00000000-0008-0000-0F00-00007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4" name="AutoShape 1">
          <a:extLst>
            <a:ext uri="{FF2B5EF4-FFF2-40B4-BE49-F238E27FC236}">
              <a16:creationId xmlns:a16="http://schemas.microsoft.com/office/drawing/2014/main" id="{00000000-0008-0000-0F00-00007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5" name="AutoShape 1">
          <a:extLst>
            <a:ext uri="{FF2B5EF4-FFF2-40B4-BE49-F238E27FC236}">
              <a16:creationId xmlns:a16="http://schemas.microsoft.com/office/drawing/2014/main" id="{00000000-0008-0000-0F00-00007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6" name="AutoShape 1">
          <a:extLst>
            <a:ext uri="{FF2B5EF4-FFF2-40B4-BE49-F238E27FC236}">
              <a16:creationId xmlns:a16="http://schemas.microsoft.com/office/drawing/2014/main" id="{00000000-0008-0000-0F00-00008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7" name="AutoShape 1">
          <a:extLst>
            <a:ext uri="{FF2B5EF4-FFF2-40B4-BE49-F238E27FC236}">
              <a16:creationId xmlns:a16="http://schemas.microsoft.com/office/drawing/2014/main" id="{00000000-0008-0000-0F00-00008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8" name="AutoShape 1">
          <a:extLst>
            <a:ext uri="{FF2B5EF4-FFF2-40B4-BE49-F238E27FC236}">
              <a16:creationId xmlns:a16="http://schemas.microsoft.com/office/drawing/2014/main" id="{00000000-0008-0000-0F00-00008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899" name="AutoShape 1">
          <a:extLst>
            <a:ext uri="{FF2B5EF4-FFF2-40B4-BE49-F238E27FC236}">
              <a16:creationId xmlns:a16="http://schemas.microsoft.com/office/drawing/2014/main" id="{00000000-0008-0000-0F00-00008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0" name="AutoShape 1">
          <a:extLst>
            <a:ext uri="{FF2B5EF4-FFF2-40B4-BE49-F238E27FC236}">
              <a16:creationId xmlns:a16="http://schemas.microsoft.com/office/drawing/2014/main" id="{00000000-0008-0000-0F00-00008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1" name="AutoShape 1">
          <a:extLst>
            <a:ext uri="{FF2B5EF4-FFF2-40B4-BE49-F238E27FC236}">
              <a16:creationId xmlns:a16="http://schemas.microsoft.com/office/drawing/2014/main" id="{00000000-0008-0000-0F00-00008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2" name="AutoShape 1">
          <a:extLst>
            <a:ext uri="{FF2B5EF4-FFF2-40B4-BE49-F238E27FC236}">
              <a16:creationId xmlns:a16="http://schemas.microsoft.com/office/drawing/2014/main" id="{00000000-0008-0000-0F00-00008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3" name="AutoShape 1">
          <a:extLst>
            <a:ext uri="{FF2B5EF4-FFF2-40B4-BE49-F238E27FC236}">
              <a16:creationId xmlns:a16="http://schemas.microsoft.com/office/drawing/2014/main" id="{00000000-0008-0000-0F00-00008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4" name="AutoShape 1">
          <a:extLst>
            <a:ext uri="{FF2B5EF4-FFF2-40B4-BE49-F238E27FC236}">
              <a16:creationId xmlns:a16="http://schemas.microsoft.com/office/drawing/2014/main" id="{00000000-0008-0000-0F00-00008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5" name="AutoShape 1">
          <a:extLst>
            <a:ext uri="{FF2B5EF4-FFF2-40B4-BE49-F238E27FC236}">
              <a16:creationId xmlns:a16="http://schemas.microsoft.com/office/drawing/2014/main" id="{00000000-0008-0000-0F00-00008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6" name="AutoShape 1">
          <a:extLst>
            <a:ext uri="{FF2B5EF4-FFF2-40B4-BE49-F238E27FC236}">
              <a16:creationId xmlns:a16="http://schemas.microsoft.com/office/drawing/2014/main" id="{00000000-0008-0000-0F00-00008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7" name="AutoShape 1">
          <a:extLst>
            <a:ext uri="{FF2B5EF4-FFF2-40B4-BE49-F238E27FC236}">
              <a16:creationId xmlns:a16="http://schemas.microsoft.com/office/drawing/2014/main" id="{00000000-0008-0000-0F00-00008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8" name="AutoShape 1">
          <a:extLst>
            <a:ext uri="{FF2B5EF4-FFF2-40B4-BE49-F238E27FC236}">
              <a16:creationId xmlns:a16="http://schemas.microsoft.com/office/drawing/2014/main" id="{00000000-0008-0000-0F00-00008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09" name="AutoShape 1">
          <a:extLst>
            <a:ext uri="{FF2B5EF4-FFF2-40B4-BE49-F238E27FC236}">
              <a16:creationId xmlns:a16="http://schemas.microsoft.com/office/drawing/2014/main" id="{00000000-0008-0000-0F00-00008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0" name="AutoShape 1">
          <a:extLst>
            <a:ext uri="{FF2B5EF4-FFF2-40B4-BE49-F238E27FC236}">
              <a16:creationId xmlns:a16="http://schemas.microsoft.com/office/drawing/2014/main" id="{00000000-0008-0000-0F00-00008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1" name="AutoShape 1">
          <a:extLst>
            <a:ext uri="{FF2B5EF4-FFF2-40B4-BE49-F238E27FC236}">
              <a16:creationId xmlns:a16="http://schemas.microsoft.com/office/drawing/2014/main" id="{00000000-0008-0000-0F00-00008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2" name="AutoShape 1">
          <a:extLst>
            <a:ext uri="{FF2B5EF4-FFF2-40B4-BE49-F238E27FC236}">
              <a16:creationId xmlns:a16="http://schemas.microsoft.com/office/drawing/2014/main" id="{00000000-0008-0000-0F00-00009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3" name="AutoShape 1">
          <a:extLst>
            <a:ext uri="{FF2B5EF4-FFF2-40B4-BE49-F238E27FC236}">
              <a16:creationId xmlns:a16="http://schemas.microsoft.com/office/drawing/2014/main" id="{00000000-0008-0000-0F00-00009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4" name="AutoShape 1">
          <a:extLst>
            <a:ext uri="{FF2B5EF4-FFF2-40B4-BE49-F238E27FC236}">
              <a16:creationId xmlns:a16="http://schemas.microsoft.com/office/drawing/2014/main" id="{00000000-0008-0000-0F00-00009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5" name="AutoShape 1">
          <a:extLst>
            <a:ext uri="{FF2B5EF4-FFF2-40B4-BE49-F238E27FC236}">
              <a16:creationId xmlns:a16="http://schemas.microsoft.com/office/drawing/2014/main" id="{00000000-0008-0000-0F00-00009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6" name="AutoShape 1">
          <a:extLst>
            <a:ext uri="{FF2B5EF4-FFF2-40B4-BE49-F238E27FC236}">
              <a16:creationId xmlns:a16="http://schemas.microsoft.com/office/drawing/2014/main" id="{00000000-0008-0000-0F00-00009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7" name="AutoShape 1">
          <a:extLst>
            <a:ext uri="{FF2B5EF4-FFF2-40B4-BE49-F238E27FC236}">
              <a16:creationId xmlns:a16="http://schemas.microsoft.com/office/drawing/2014/main" id="{00000000-0008-0000-0F00-00009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8" name="AutoShape 1">
          <a:extLst>
            <a:ext uri="{FF2B5EF4-FFF2-40B4-BE49-F238E27FC236}">
              <a16:creationId xmlns:a16="http://schemas.microsoft.com/office/drawing/2014/main" id="{00000000-0008-0000-0F00-00009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19" name="AutoShape 1">
          <a:extLst>
            <a:ext uri="{FF2B5EF4-FFF2-40B4-BE49-F238E27FC236}">
              <a16:creationId xmlns:a16="http://schemas.microsoft.com/office/drawing/2014/main" id="{00000000-0008-0000-0F00-00009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0" name="AutoShape 1">
          <a:extLst>
            <a:ext uri="{FF2B5EF4-FFF2-40B4-BE49-F238E27FC236}">
              <a16:creationId xmlns:a16="http://schemas.microsoft.com/office/drawing/2014/main" id="{00000000-0008-0000-0F00-00009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1" name="AutoShape 1">
          <a:extLst>
            <a:ext uri="{FF2B5EF4-FFF2-40B4-BE49-F238E27FC236}">
              <a16:creationId xmlns:a16="http://schemas.microsoft.com/office/drawing/2014/main" id="{00000000-0008-0000-0F00-00009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2" name="AutoShape 1">
          <a:extLst>
            <a:ext uri="{FF2B5EF4-FFF2-40B4-BE49-F238E27FC236}">
              <a16:creationId xmlns:a16="http://schemas.microsoft.com/office/drawing/2014/main" id="{00000000-0008-0000-0F00-00009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3" name="AutoShape 1">
          <a:extLst>
            <a:ext uri="{FF2B5EF4-FFF2-40B4-BE49-F238E27FC236}">
              <a16:creationId xmlns:a16="http://schemas.microsoft.com/office/drawing/2014/main" id="{00000000-0008-0000-0F00-00009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4" name="AutoShape 1">
          <a:extLst>
            <a:ext uri="{FF2B5EF4-FFF2-40B4-BE49-F238E27FC236}">
              <a16:creationId xmlns:a16="http://schemas.microsoft.com/office/drawing/2014/main" id="{00000000-0008-0000-0F00-00009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5" name="AutoShape 1">
          <a:extLst>
            <a:ext uri="{FF2B5EF4-FFF2-40B4-BE49-F238E27FC236}">
              <a16:creationId xmlns:a16="http://schemas.microsoft.com/office/drawing/2014/main" id="{00000000-0008-0000-0F00-00009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6" name="AutoShape 1">
          <a:extLst>
            <a:ext uri="{FF2B5EF4-FFF2-40B4-BE49-F238E27FC236}">
              <a16:creationId xmlns:a16="http://schemas.microsoft.com/office/drawing/2014/main" id="{00000000-0008-0000-0F00-00009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7" name="AutoShape 1">
          <a:extLst>
            <a:ext uri="{FF2B5EF4-FFF2-40B4-BE49-F238E27FC236}">
              <a16:creationId xmlns:a16="http://schemas.microsoft.com/office/drawing/2014/main" id="{00000000-0008-0000-0F00-00009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8" name="AutoShape 1">
          <a:extLst>
            <a:ext uri="{FF2B5EF4-FFF2-40B4-BE49-F238E27FC236}">
              <a16:creationId xmlns:a16="http://schemas.microsoft.com/office/drawing/2014/main" id="{00000000-0008-0000-0F00-0000A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29" name="AutoShape 1">
          <a:extLst>
            <a:ext uri="{FF2B5EF4-FFF2-40B4-BE49-F238E27FC236}">
              <a16:creationId xmlns:a16="http://schemas.microsoft.com/office/drawing/2014/main" id="{00000000-0008-0000-0F00-0000A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0" name="AutoShape 1">
          <a:extLst>
            <a:ext uri="{FF2B5EF4-FFF2-40B4-BE49-F238E27FC236}">
              <a16:creationId xmlns:a16="http://schemas.microsoft.com/office/drawing/2014/main" id="{00000000-0008-0000-0F00-0000A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1" name="AutoShape 1">
          <a:extLst>
            <a:ext uri="{FF2B5EF4-FFF2-40B4-BE49-F238E27FC236}">
              <a16:creationId xmlns:a16="http://schemas.microsoft.com/office/drawing/2014/main" id="{00000000-0008-0000-0F00-0000A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2" name="AutoShape 1">
          <a:extLst>
            <a:ext uri="{FF2B5EF4-FFF2-40B4-BE49-F238E27FC236}">
              <a16:creationId xmlns:a16="http://schemas.microsoft.com/office/drawing/2014/main" id="{00000000-0008-0000-0F00-0000A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3" name="AutoShape 1">
          <a:extLst>
            <a:ext uri="{FF2B5EF4-FFF2-40B4-BE49-F238E27FC236}">
              <a16:creationId xmlns:a16="http://schemas.microsoft.com/office/drawing/2014/main" id="{00000000-0008-0000-0F00-0000A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4" name="AutoShape 1">
          <a:extLst>
            <a:ext uri="{FF2B5EF4-FFF2-40B4-BE49-F238E27FC236}">
              <a16:creationId xmlns:a16="http://schemas.microsoft.com/office/drawing/2014/main" id="{00000000-0008-0000-0F00-0000A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5" name="AutoShape 1">
          <a:extLst>
            <a:ext uri="{FF2B5EF4-FFF2-40B4-BE49-F238E27FC236}">
              <a16:creationId xmlns:a16="http://schemas.microsoft.com/office/drawing/2014/main" id="{00000000-0008-0000-0F00-0000A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6" name="AutoShape 1">
          <a:extLst>
            <a:ext uri="{FF2B5EF4-FFF2-40B4-BE49-F238E27FC236}">
              <a16:creationId xmlns:a16="http://schemas.microsoft.com/office/drawing/2014/main" id="{00000000-0008-0000-0F00-0000A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7" name="AutoShape 1">
          <a:extLst>
            <a:ext uri="{FF2B5EF4-FFF2-40B4-BE49-F238E27FC236}">
              <a16:creationId xmlns:a16="http://schemas.microsoft.com/office/drawing/2014/main" id="{00000000-0008-0000-0F00-0000A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8" name="AutoShape 1">
          <a:extLst>
            <a:ext uri="{FF2B5EF4-FFF2-40B4-BE49-F238E27FC236}">
              <a16:creationId xmlns:a16="http://schemas.microsoft.com/office/drawing/2014/main" id="{00000000-0008-0000-0F00-0000A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39" name="AutoShape 1">
          <a:extLst>
            <a:ext uri="{FF2B5EF4-FFF2-40B4-BE49-F238E27FC236}">
              <a16:creationId xmlns:a16="http://schemas.microsoft.com/office/drawing/2014/main" id="{00000000-0008-0000-0F00-0000A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0" name="AutoShape 1">
          <a:extLst>
            <a:ext uri="{FF2B5EF4-FFF2-40B4-BE49-F238E27FC236}">
              <a16:creationId xmlns:a16="http://schemas.microsoft.com/office/drawing/2014/main" id="{00000000-0008-0000-0F00-0000A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1" name="AutoShape 1">
          <a:extLst>
            <a:ext uri="{FF2B5EF4-FFF2-40B4-BE49-F238E27FC236}">
              <a16:creationId xmlns:a16="http://schemas.microsoft.com/office/drawing/2014/main" id="{00000000-0008-0000-0F00-0000AD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2" name="AutoShape 1">
          <a:extLst>
            <a:ext uri="{FF2B5EF4-FFF2-40B4-BE49-F238E27FC236}">
              <a16:creationId xmlns:a16="http://schemas.microsoft.com/office/drawing/2014/main" id="{00000000-0008-0000-0F00-0000AE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3" name="AutoShape 1">
          <a:extLst>
            <a:ext uri="{FF2B5EF4-FFF2-40B4-BE49-F238E27FC236}">
              <a16:creationId xmlns:a16="http://schemas.microsoft.com/office/drawing/2014/main" id="{00000000-0008-0000-0F00-0000A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4" name="AutoShape 1">
          <a:extLst>
            <a:ext uri="{FF2B5EF4-FFF2-40B4-BE49-F238E27FC236}">
              <a16:creationId xmlns:a16="http://schemas.microsoft.com/office/drawing/2014/main" id="{00000000-0008-0000-0F00-0000B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5" name="AutoShape 1">
          <a:extLst>
            <a:ext uri="{FF2B5EF4-FFF2-40B4-BE49-F238E27FC236}">
              <a16:creationId xmlns:a16="http://schemas.microsoft.com/office/drawing/2014/main" id="{00000000-0008-0000-0F00-0000B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6" name="AutoShape 1">
          <a:extLst>
            <a:ext uri="{FF2B5EF4-FFF2-40B4-BE49-F238E27FC236}">
              <a16:creationId xmlns:a16="http://schemas.microsoft.com/office/drawing/2014/main" id="{00000000-0008-0000-0F00-0000B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7" name="AutoShape 1">
          <a:extLst>
            <a:ext uri="{FF2B5EF4-FFF2-40B4-BE49-F238E27FC236}">
              <a16:creationId xmlns:a16="http://schemas.microsoft.com/office/drawing/2014/main" id="{00000000-0008-0000-0F00-0000B3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8" name="AutoShape 1">
          <a:extLst>
            <a:ext uri="{FF2B5EF4-FFF2-40B4-BE49-F238E27FC236}">
              <a16:creationId xmlns:a16="http://schemas.microsoft.com/office/drawing/2014/main" id="{00000000-0008-0000-0F00-0000B4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49" name="AutoShape 1">
          <a:extLst>
            <a:ext uri="{FF2B5EF4-FFF2-40B4-BE49-F238E27FC236}">
              <a16:creationId xmlns:a16="http://schemas.microsoft.com/office/drawing/2014/main" id="{00000000-0008-0000-0F00-0000B5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0" name="AutoShape 1">
          <a:extLst>
            <a:ext uri="{FF2B5EF4-FFF2-40B4-BE49-F238E27FC236}">
              <a16:creationId xmlns:a16="http://schemas.microsoft.com/office/drawing/2014/main" id="{00000000-0008-0000-0F00-0000B6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1" name="AutoShape 1">
          <a:extLst>
            <a:ext uri="{FF2B5EF4-FFF2-40B4-BE49-F238E27FC236}">
              <a16:creationId xmlns:a16="http://schemas.microsoft.com/office/drawing/2014/main" id="{00000000-0008-0000-0F00-0000B7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2" name="AutoShape 1">
          <a:extLst>
            <a:ext uri="{FF2B5EF4-FFF2-40B4-BE49-F238E27FC236}">
              <a16:creationId xmlns:a16="http://schemas.microsoft.com/office/drawing/2014/main" id="{00000000-0008-0000-0F00-0000B8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3" name="AutoShape 1">
          <a:extLst>
            <a:ext uri="{FF2B5EF4-FFF2-40B4-BE49-F238E27FC236}">
              <a16:creationId xmlns:a16="http://schemas.microsoft.com/office/drawing/2014/main" id="{00000000-0008-0000-0F00-0000B9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4" name="AutoShape 1">
          <a:extLst>
            <a:ext uri="{FF2B5EF4-FFF2-40B4-BE49-F238E27FC236}">
              <a16:creationId xmlns:a16="http://schemas.microsoft.com/office/drawing/2014/main" id="{00000000-0008-0000-0F00-0000BA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5" name="AutoShape 1">
          <a:extLst>
            <a:ext uri="{FF2B5EF4-FFF2-40B4-BE49-F238E27FC236}">
              <a16:creationId xmlns:a16="http://schemas.microsoft.com/office/drawing/2014/main" id="{00000000-0008-0000-0F00-0000BB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6" name="AutoShape 1">
          <a:extLst>
            <a:ext uri="{FF2B5EF4-FFF2-40B4-BE49-F238E27FC236}">
              <a16:creationId xmlns:a16="http://schemas.microsoft.com/office/drawing/2014/main" id="{00000000-0008-0000-0F00-0000BC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7" name="AutoShape 1">
          <a:extLst>
            <a:ext uri="{FF2B5EF4-FFF2-40B4-BE49-F238E27FC236}">
              <a16:creationId xmlns:a16="http://schemas.microsoft.com/office/drawing/2014/main" id="{00000000-0008-0000-0F00-0000B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8" name="AutoShape 1">
          <a:extLst>
            <a:ext uri="{FF2B5EF4-FFF2-40B4-BE49-F238E27FC236}">
              <a16:creationId xmlns:a16="http://schemas.microsoft.com/office/drawing/2014/main" id="{00000000-0008-0000-0F00-0000B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59" name="AutoShape 1">
          <a:extLst>
            <a:ext uri="{FF2B5EF4-FFF2-40B4-BE49-F238E27FC236}">
              <a16:creationId xmlns:a16="http://schemas.microsoft.com/office/drawing/2014/main" id="{00000000-0008-0000-0F00-0000B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0" name="AutoShape 1">
          <a:extLst>
            <a:ext uri="{FF2B5EF4-FFF2-40B4-BE49-F238E27FC236}">
              <a16:creationId xmlns:a16="http://schemas.microsoft.com/office/drawing/2014/main" id="{00000000-0008-0000-0F00-0000C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1" name="AutoShape 1">
          <a:extLst>
            <a:ext uri="{FF2B5EF4-FFF2-40B4-BE49-F238E27FC236}">
              <a16:creationId xmlns:a16="http://schemas.microsoft.com/office/drawing/2014/main" id="{00000000-0008-0000-0F00-0000C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2" name="AutoShape 1">
          <a:extLst>
            <a:ext uri="{FF2B5EF4-FFF2-40B4-BE49-F238E27FC236}">
              <a16:creationId xmlns:a16="http://schemas.microsoft.com/office/drawing/2014/main" id="{00000000-0008-0000-0F00-0000C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3" name="AutoShape 1">
          <a:extLst>
            <a:ext uri="{FF2B5EF4-FFF2-40B4-BE49-F238E27FC236}">
              <a16:creationId xmlns:a16="http://schemas.microsoft.com/office/drawing/2014/main" id="{00000000-0008-0000-0F00-0000C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4" name="AutoShape 1">
          <a:extLst>
            <a:ext uri="{FF2B5EF4-FFF2-40B4-BE49-F238E27FC236}">
              <a16:creationId xmlns:a16="http://schemas.microsoft.com/office/drawing/2014/main" id="{00000000-0008-0000-0F00-0000C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5" name="AutoShape 1">
          <a:extLst>
            <a:ext uri="{FF2B5EF4-FFF2-40B4-BE49-F238E27FC236}">
              <a16:creationId xmlns:a16="http://schemas.microsoft.com/office/drawing/2014/main" id="{00000000-0008-0000-0F00-0000C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6" name="AutoShape 1">
          <a:extLst>
            <a:ext uri="{FF2B5EF4-FFF2-40B4-BE49-F238E27FC236}">
              <a16:creationId xmlns:a16="http://schemas.microsoft.com/office/drawing/2014/main" id="{00000000-0008-0000-0F00-0000C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7" name="AutoShape 1">
          <a:extLst>
            <a:ext uri="{FF2B5EF4-FFF2-40B4-BE49-F238E27FC236}">
              <a16:creationId xmlns:a16="http://schemas.microsoft.com/office/drawing/2014/main" id="{00000000-0008-0000-0F00-0000C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8" name="AutoShape 1">
          <a:extLst>
            <a:ext uri="{FF2B5EF4-FFF2-40B4-BE49-F238E27FC236}">
              <a16:creationId xmlns:a16="http://schemas.microsoft.com/office/drawing/2014/main" id="{00000000-0008-0000-0F00-0000C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69" name="AutoShape 1">
          <a:extLst>
            <a:ext uri="{FF2B5EF4-FFF2-40B4-BE49-F238E27FC236}">
              <a16:creationId xmlns:a16="http://schemas.microsoft.com/office/drawing/2014/main" id="{00000000-0008-0000-0F00-0000C9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0" name="AutoShape 1">
          <a:extLst>
            <a:ext uri="{FF2B5EF4-FFF2-40B4-BE49-F238E27FC236}">
              <a16:creationId xmlns:a16="http://schemas.microsoft.com/office/drawing/2014/main" id="{00000000-0008-0000-0F00-0000CA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1" name="AutoShape 1">
          <a:extLst>
            <a:ext uri="{FF2B5EF4-FFF2-40B4-BE49-F238E27FC236}">
              <a16:creationId xmlns:a16="http://schemas.microsoft.com/office/drawing/2014/main" id="{00000000-0008-0000-0F00-0000CB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2" name="AutoShape 1">
          <a:extLst>
            <a:ext uri="{FF2B5EF4-FFF2-40B4-BE49-F238E27FC236}">
              <a16:creationId xmlns:a16="http://schemas.microsoft.com/office/drawing/2014/main" id="{00000000-0008-0000-0F00-0000CC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3" name="AutoShape 1">
          <a:extLst>
            <a:ext uri="{FF2B5EF4-FFF2-40B4-BE49-F238E27FC236}">
              <a16:creationId xmlns:a16="http://schemas.microsoft.com/office/drawing/2014/main" id="{00000000-0008-0000-0F00-0000CD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4" name="AutoShape 1">
          <a:extLst>
            <a:ext uri="{FF2B5EF4-FFF2-40B4-BE49-F238E27FC236}">
              <a16:creationId xmlns:a16="http://schemas.microsoft.com/office/drawing/2014/main" id="{00000000-0008-0000-0F00-0000CE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5" name="AutoShape 1">
          <a:extLst>
            <a:ext uri="{FF2B5EF4-FFF2-40B4-BE49-F238E27FC236}">
              <a16:creationId xmlns:a16="http://schemas.microsoft.com/office/drawing/2014/main" id="{00000000-0008-0000-0F00-0000CF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6" name="AutoShape 1">
          <a:extLst>
            <a:ext uri="{FF2B5EF4-FFF2-40B4-BE49-F238E27FC236}">
              <a16:creationId xmlns:a16="http://schemas.microsoft.com/office/drawing/2014/main" id="{00000000-0008-0000-0F00-0000D0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7" name="AutoShape 1">
          <a:extLst>
            <a:ext uri="{FF2B5EF4-FFF2-40B4-BE49-F238E27FC236}">
              <a16:creationId xmlns:a16="http://schemas.microsoft.com/office/drawing/2014/main" id="{00000000-0008-0000-0F00-0000D1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8" name="AutoShape 1">
          <a:extLst>
            <a:ext uri="{FF2B5EF4-FFF2-40B4-BE49-F238E27FC236}">
              <a16:creationId xmlns:a16="http://schemas.microsoft.com/office/drawing/2014/main" id="{00000000-0008-0000-0F00-0000D2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79" name="AutoShape 1">
          <a:extLst>
            <a:ext uri="{FF2B5EF4-FFF2-40B4-BE49-F238E27FC236}">
              <a16:creationId xmlns:a16="http://schemas.microsoft.com/office/drawing/2014/main" id="{00000000-0008-0000-0F00-0000D3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0" name="AutoShape 1">
          <a:extLst>
            <a:ext uri="{FF2B5EF4-FFF2-40B4-BE49-F238E27FC236}">
              <a16:creationId xmlns:a16="http://schemas.microsoft.com/office/drawing/2014/main" id="{00000000-0008-0000-0F00-0000D4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1" name="AutoShape 1">
          <a:extLst>
            <a:ext uri="{FF2B5EF4-FFF2-40B4-BE49-F238E27FC236}">
              <a16:creationId xmlns:a16="http://schemas.microsoft.com/office/drawing/2014/main" id="{00000000-0008-0000-0F00-0000D5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2" name="AutoShape 1">
          <a:extLst>
            <a:ext uri="{FF2B5EF4-FFF2-40B4-BE49-F238E27FC236}">
              <a16:creationId xmlns:a16="http://schemas.microsoft.com/office/drawing/2014/main" id="{00000000-0008-0000-0F00-0000D6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3" name="AutoShape 1">
          <a:extLst>
            <a:ext uri="{FF2B5EF4-FFF2-40B4-BE49-F238E27FC236}">
              <a16:creationId xmlns:a16="http://schemas.microsoft.com/office/drawing/2014/main" id="{00000000-0008-0000-0F00-0000D7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4" name="AutoShape 1">
          <a:extLst>
            <a:ext uri="{FF2B5EF4-FFF2-40B4-BE49-F238E27FC236}">
              <a16:creationId xmlns:a16="http://schemas.microsoft.com/office/drawing/2014/main" id="{00000000-0008-0000-0F00-0000D8030000}"/>
            </a:ext>
          </a:extLst>
        </xdr:cNvPr>
        <xdr:cNvSpPr>
          <a:spLocks noChangeAspect="1" noChangeArrowheads="1"/>
        </xdr:cNvSpPr>
      </xdr:nvSpPr>
      <xdr:spPr bwMode="auto">
        <a:xfrm>
          <a:off x="97790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5" name="AutoShape 1">
          <a:extLst>
            <a:ext uri="{FF2B5EF4-FFF2-40B4-BE49-F238E27FC236}">
              <a16:creationId xmlns:a16="http://schemas.microsoft.com/office/drawing/2014/main" id="{00000000-0008-0000-0F00-0000D9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6" name="AutoShape 1">
          <a:extLst>
            <a:ext uri="{FF2B5EF4-FFF2-40B4-BE49-F238E27FC236}">
              <a16:creationId xmlns:a16="http://schemas.microsoft.com/office/drawing/2014/main" id="{00000000-0008-0000-0F00-0000DA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7" name="AutoShape 1">
          <a:extLst>
            <a:ext uri="{FF2B5EF4-FFF2-40B4-BE49-F238E27FC236}">
              <a16:creationId xmlns:a16="http://schemas.microsoft.com/office/drawing/2014/main" id="{00000000-0008-0000-0F00-0000DB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8" name="AutoShape 1">
          <a:extLst>
            <a:ext uri="{FF2B5EF4-FFF2-40B4-BE49-F238E27FC236}">
              <a16:creationId xmlns:a16="http://schemas.microsoft.com/office/drawing/2014/main" id="{00000000-0008-0000-0F00-0000DC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89" name="AutoShape 1">
          <a:extLst>
            <a:ext uri="{FF2B5EF4-FFF2-40B4-BE49-F238E27FC236}">
              <a16:creationId xmlns:a16="http://schemas.microsoft.com/office/drawing/2014/main" id="{00000000-0008-0000-0F00-0000DD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0" name="AutoShape 1">
          <a:extLst>
            <a:ext uri="{FF2B5EF4-FFF2-40B4-BE49-F238E27FC236}">
              <a16:creationId xmlns:a16="http://schemas.microsoft.com/office/drawing/2014/main" id="{00000000-0008-0000-0F00-0000DE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1" name="AutoShape 1">
          <a:extLst>
            <a:ext uri="{FF2B5EF4-FFF2-40B4-BE49-F238E27FC236}">
              <a16:creationId xmlns:a16="http://schemas.microsoft.com/office/drawing/2014/main" id="{00000000-0008-0000-0F00-0000DF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2" name="AutoShape 1">
          <a:extLst>
            <a:ext uri="{FF2B5EF4-FFF2-40B4-BE49-F238E27FC236}">
              <a16:creationId xmlns:a16="http://schemas.microsoft.com/office/drawing/2014/main" id="{00000000-0008-0000-0F00-0000E0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3" name="AutoShape 1">
          <a:extLst>
            <a:ext uri="{FF2B5EF4-FFF2-40B4-BE49-F238E27FC236}">
              <a16:creationId xmlns:a16="http://schemas.microsoft.com/office/drawing/2014/main" id="{00000000-0008-0000-0F00-0000E1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4" name="AutoShape 1">
          <a:extLst>
            <a:ext uri="{FF2B5EF4-FFF2-40B4-BE49-F238E27FC236}">
              <a16:creationId xmlns:a16="http://schemas.microsoft.com/office/drawing/2014/main" id="{00000000-0008-0000-0F00-0000E2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5" name="AutoShape 1">
          <a:extLst>
            <a:ext uri="{FF2B5EF4-FFF2-40B4-BE49-F238E27FC236}">
              <a16:creationId xmlns:a16="http://schemas.microsoft.com/office/drawing/2014/main" id="{00000000-0008-0000-0F00-0000E3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6" name="AutoShape 1">
          <a:extLst>
            <a:ext uri="{FF2B5EF4-FFF2-40B4-BE49-F238E27FC236}">
              <a16:creationId xmlns:a16="http://schemas.microsoft.com/office/drawing/2014/main" id="{00000000-0008-0000-0F00-0000E4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7" name="AutoShape 1">
          <a:extLst>
            <a:ext uri="{FF2B5EF4-FFF2-40B4-BE49-F238E27FC236}">
              <a16:creationId xmlns:a16="http://schemas.microsoft.com/office/drawing/2014/main" id="{00000000-0008-0000-0F00-0000E5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8" name="AutoShape 1">
          <a:extLst>
            <a:ext uri="{FF2B5EF4-FFF2-40B4-BE49-F238E27FC236}">
              <a16:creationId xmlns:a16="http://schemas.microsoft.com/office/drawing/2014/main" id="{00000000-0008-0000-0F00-0000E6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999" name="AutoShape 1">
          <a:extLst>
            <a:ext uri="{FF2B5EF4-FFF2-40B4-BE49-F238E27FC236}">
              <a16:creationId xmlns:a16="http://schemas.microsoft.com/office/drawing/2014/main" id="{00000000-0008-0000-0F00-0000E7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0" name="AutoShape 1">
          <a:extLst>
            <a:ext uri="{FF2B5EF4-FFF2-40B4-BE49-F238E27FC236}">
              <a16:creationId xmlns:a16="http://schemas.microsoft.com/office/drawing/2014/main" id="{00000000-0008-0000-0F00-0000E8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1" name="AutoShape 1">
          <a:extLst>
            <a:ext uri="{FF2B5EF4-FFF2-40B4-BE49-F238E27FC236}">
              <a16:creationId xmlns:a16="http://schemas.microsoft.com/office/drawing/2014/main" id="{00000000-0008-0000-0F00-0000E9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2" name="AutoShape 1">
          <a:extLst>
            <a:ext uri="{FF2B5EF4-FFF2-40B4-BE49-F238E27FC236}">
              <a16:creationId xmlns:a16="http://schemas.microsoft.com/office/drawing/2014/main" id="{00000000-0008-0000-0F00-0000EA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3" name="AutoShape 1">
          <a:extLst>
            <a:ext uri="{FF2B5EF4-FFF2-40B4-BE49-F238E27FC236}">
              <a16:creationId xmlns:a16="http://schemas.microsoft.com/office/drawing/2014/main" id="{00000000-0008-0000-0F00-0000EB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4" name="AutoShape 1">
          <a:extLst>
            <a:ext uri="{FF2B5EF4-FFF2-40B4-BE49-F238E27FC236}">
              <a16:creationId xmlns:a16="http://schemas.microsoft.com/office/drawing/2014/main" id="{00000000-0008-0000-0F00-0000EC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5" name="AutoShape 1">
          <a:extLst>
            <a:ext uri="{FF2B5EF4-FFF2-40B4-BE49-F238E27FC236}">
              <a16:creationId xmlns:a16="http://schemas.microsoft.com/office/drawing/2014/main" id="{00000000-0008-0000-0F00-0000ED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6" name="AutoShape 1">
          <a:extLst>
            <a:ext uri="{FF2B5EF4-FFF2-40B4-BE49-F238E27FC236}">
              <a16:creationId xmlns:a16="http://schemas.microsoft.com/office/drawing/2014/main" id="{00000000-0008-0000-0F00-0000EE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7" name="AutoShape 1">
          <a:extLst>
            <a:ext uri="{FF2B5EF4-FFF2-40B4-BE49-F238E27FC236}">
              <a16:creationId xmlns:a16="http://schemas.microsoft.com/office/drawing/2014/main" id="{00000000-0008-0000-0F00-0000EF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8" name="AutoShape 1">
          <a:extLst>
            <a:ext uri="{FF2B5EF4-FFF2-40B4-BE49-F238E27FC236}">
              <a16:creationId xmlns:a16="http://schemas.microsoft.com/office/drawing/2014/main" id="{00000000-0008-0000-0F00-0000F0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09" name="AutoShape 1">
          <a:extLst>
            <a:ext uri="{FF2B5EF4-FFF2-40B4-BE49-F238E27FC236}">
              <a16:creationId xmlns:a16="http://schemas.microsoft.com/office/drawing/2014/main" id="{00000000-0008-0000-0F00-0000F1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0" name="AutoShape 1">
          <a:extLst>
            <a:ext uri="{FF2B5EF4-FFF2-40B4-BE49-F238E27FC236}">
              <a16:creationId xmlns:a16="http://schemas.microsoft.com/office/drawing/2014/main" id="{00000000-0008-0000-0F00-0000F2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1" name="AutoShape 1">
          <a:extLst>
            <a:ext uri="{FF2B5EF4-FFF2-40B4-BE49-F238E27FC236}">
              <a16:creationId xmlns:a16="http://schemas.microsoft.com/office/drawing/2014/main" id="{00000000-0008-0000-0F00-0000F3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2" name="AutoShape 1">
          <a:extLst>
            <a:ext uri="{FF2B5EF4-FFF2-40B4-BE49-F238E27FC236}">
              <a16:creationId xmlns:a16="http://schemas.microsoft.com/office/drawing/2014/main" id="{00000000-0008-0000-0F00-0000F4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3" name="AutoShape 1">
          <a:extLst>
            <a:ext uri="{FF2B5EF4-FFF2-40B4-BE49-F238E27FC236}">
              <a16:creationId xmlns:a16="http://schemas.microsoft.com/office/drawing/2014/main" id="{00000000-0008-0000-0F00-0000F5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4" name="AutoShape 1">
          <a:extLst>
            <a:ext uri="{FF2B5EF4-FFF2-40B4-BE49-F238E27FC236}">
              <a16:creationId xmlns:a16="http://schemas.microsoft.com/office/drawing/2014/main" id="{00000000-0008-0000-0F00-0000F6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5" name="AutoShape 1">
          <a:extLst>
            <a:ext uri="{FF2B5EF4-FFF2-40B4-BE49-F238E27FC236}">
              <a16:creationId xmlns:a16="http://schemas.microsoft.com/office/drawing/2014/main" id="{00000000-0008-0000-0F00-0000F7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6" name="AutoShape 1">
          <a:extLst>
            <a:ext uri="{FF2B5EF4-FFF2-40B4-BE49-F238E27FC236}">
              <a16:creationId xmlns:a16="http://schemas.microsoft.com/office/drawing/2014/main" id="{00000000-0008-0000-0F00-0000F8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7" name="AutoShape 1">
          <a:extLst>
            <a:ext uri="{FF2B5EF4-FFF2-40B4-BE49-F238E27FC236}">
              <a16:creationId xmlns:a16="http://schemas.microsoft.com/office/drawing/2014/main" id="{00000000-0008-0000-0F00-0000F9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8" name="AutoShape 1">
          <a:extLst>
            <a:ext uri="{FF2B5EF4-FFF2-40B4-BE49-F238E27FC236}">
              <a16:creationId xmlns:a16="http://schemas.microsoft.com/office/drawing/2014/main" id="{00000000-0008-0000-0F00-0000FA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19" name="AutoShape 1">
          <a:extLst>
            <a:ext uri="{FF2B5EF4-FFF2-40B4-BE49-F238E27FC236}">
              <a16:creationId xmlns:a16="http://schemas.microsoft.com/office/drawing/2014/main" id="{00000000-0008-0000-0F00-0000FB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0" name="AutoShape 1">
          <a:extLst>
            <a:ext uri="{FF2B5EF4-FFF2-40B4-BE49-F238E27FC236}">
              <a16:creationId xmlns:a16="http://schemas.microsoft.com/office/drawing/2014/main" id="{00000000-0008-0000-0F00-0000FC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1" name="AutoShape 1">
          <a:extLst>
            <a:ext uri="{FF2B5EF4-FFF2-40B4-BE49-F238E27FC236}">
              <a16:creationId xmlns:a16="http://schemas.microsoft.com/office/drawing/2014/main" id="{00000000-0008-0000-0F00-0000FD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2" name="AutoShape 1">
          <a:extLst>
            <a:ext uri="{FF2B5EF4-FFF2-40B4-BE49-F238E27FC236}">
              <a16:creationId xmlns:a16="http://schemas.microsoft.com/office/drawing/2014/main" id="{00000000-0008-0000-0F00-0000FE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3" name="AutoShape 1">
          <a:extLst>
            <a:ext uri="{FF2B5EF4-FFF2-40B4-BE49-F238E27FC236}">
              <a16:creationId xmlns:a16="http://schemas.microsoft.com/office/drawing/2014/main" id="{00000000-0008-0000-0F00-0000FF03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4" name="AutoShape 1">
          <a:extLst>
            <a:ext uri="{FF2B5EF4-FFF2-40B4-BE49-F238E27FC236}">
              <a16:creationId xmlns:a16="http://schemas.microsoft.com/office/drawing/2014/main" id="{00000000-0008-0000-0F00-00000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 name="AutoShape 1">
          <a:extLst>
            <a:ext uri="{FF2B5EF4-FFF2-40B4-BE49-F238E27FC236}">
              <a16:creationId xmlns:a16="http://schemas.microsoft.com/office/drawing/2014/main" id="{00000000-0008-0000-0F00-00007500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 name="AutoShape 1">
          <a:extLst>
            <a:ext uri="{FF2B5EF4-FFF2-40B4-BE49-F238E27FC236}">
              <a16:creationId xmlns:a16="http://schemas.microsoft.com/office/drawing/2014/main" id="{00000000-0008-0000-0F00-00007600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 name="AutoShape 1">
          <a:extLst>
            <a:ext uri="{FF2B5EF4-FFF2-40B4-BE49-F238E27FC236}">
              <a16:creationId xmlns:a16="http://schemas.microsoft.com/office/drawing/2014/main" id="{00000000-0008-0000-0F00-0000A200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0" name="AutoShape 1">
          <a:extLst>
            <a:ext uri="{FF2B5EF4-FFF2-40B4-BE49-F238E27FC236}">
              <a16:creationId xmlns:a16="http://schemas.microsoft.com/office/drawing/2014/main" id="{00000000-0008-0000-0F00-000004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1" name="AutoShape 1">
          <a:extLst>
            <a:ext uri="{FF2B5EF4-FFF2-40B4-BE49-F238E27FC236}">
              <a16:creationId xmlns:a16="http://schemas.microsoft.com/office/drawing/2014/main" id="{00000000-0008-0000-0F00-000005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62" name="AutoShape 1">
          <a:extLst>
            <a:ext uri="{FF2B5EF4-FFF2-40B4-BE49-F238E27FC236}">
              <a16:creationId xmlns:a16="http://schemas.microsoft.com/office/drawing/2014/main" id="{00000000-0008-0000-0F00-000006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 name="AutoShape 1">
          <a:extLst>
            <a:ext uri="{FF2B5EF4-FFF2-40B4-BE49-F238E27FC236}">
              <a16:creationId xmlns:a16="http://schemas.microsoft.com/office/drawing/2014/main" id="{00000000-0008-0000-0F00-000093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 name="AutoShape 1">
          <a:extLst>
            <a:ext uri="{FF2B5EF4-FFF2-40B4-BE49-F238E27FC236}">
              <a16:creationId xmlns:a16="http://schemas.microsoft.com/office/drawing/2014/main" id="{00000000-0008-0000-0F00-000094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 name="AutoShape 1">
          <a:extLst>
            <a:ext uri="{FF2B5EF4-FFF2-40B4-BE49-F238E27FC236}">
              <a16:creationId xmlns:a16="http://schemas.microsoft.com/office/drawing/2014/main" id="{00000000-0008-0000-0F00-000095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 name="AutoShape 1">
          <a:extLst>
            <a:ext uri="{FF2B5EF4-FFF2-40B4-BE49-F238E27FC236}">
              <a16:creationId xmlns:a16="http://schemas.microsoft.com/office/drawing/2014/main" id="{00000000-0008-0000-0F00-000096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 name="AutoShape 1">
          <a:extLst>
            <a:ext uri="{FF2B5EF4-FFF2-40B4-BE49-F238E27FC236}">
              <a16:creationId xmlns:a16="http://schemas.microsoft.com/office/drawing/2014/main" id="{00000000-0008-0000-0F00-0000BD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 name="AutoShape 1">
          <a:extLst>
            <a:ext uri="{FF2B5EF4-FFF2-40B4-BE49-F238E27FC236}">
              <a16:creationId xmlns:a16="http://schemas.microsoft.com/office/drawing/2014/main" id="{00000000-0008-0000-0F00-0000BE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 name="AutoShape 1">
          <a:extLst>
            <a:ext uri="{FF2B5EF4-FFF2-40B4-BE49-F238E27FC236}">
              <a16:creationId xmlns:a16="http://schemas.microsoft.com/office/drawing/2014/main" id="{00000000-0008-0000-0F00-0000BF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 name="AutoShape 1">
          <a:extLst>
            <a:ext uri="{FF2B5EF4-FFF2-40B4-BE49-F238E27FC236}">
              <a16:creationId xmlns:a16="http://schemas.microsoft.com/office/drawing/2014/main" id="{00000000-0008-0000-0F00-0000C001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5" name="AutoShape 1">
          <a:extLst>
            <a:ext uri="{FF2B5EF4-FFF2-40B4-BE49-F238E27FC236}">
              <a16:creationId xmlns:a16="http://schemas.microsoft.com/office/drawing/2014/main" id="{00000000-0008-0000-0F00-00000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6" name="AutoShape 1">
          <a:extLst>
            <a:ext uri="{FF2B5EF4-FFF2-40B4-BE49-F238E27FC236}">
              <a16:creationId xmlns:a16="http://schemas.microsoft.com/office/drawing/2014/main" id="{00000000-0008-0000-0F00-00000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7" name="AutoShape 1">
          <a:extLst>
            <a:ext uri="{FF2B5EF4-FFF2-40B4-BE49-F238E27FC236}">
              <a16:creationId xmlns:a16="http://schemas.microsoft.com/office/drawing/2014/main" id="{00000000-0008-0000-0F00-00000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8" name="AutoShape 1">
          <a:extLst>
            <a:ext uri="{FF2B5EF4-FFF2-40B4-BE49-F238E27FC236}">
              <a16:creationId xmlns:a16="http://schemas.microsoft.com/office/drawing/2014/main" id="{00000000-0008-0000-0F00-00000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29" name="AutoShape 1">
          <a:extLst>
            <a:ext uri="{FF2B5EF4-FFF2-40B4-BE49-F238E27FC236}">
              <a16:creationId xmlns:a16="http://schemas.microsoft.com/office/drawing/2014/main" id="{00000000-0008-0000-0F00-00000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0" name="AutoShape 1">
          <a:extLst>
            <a:ext uri="{FF2B5EF4-FFF2-40B4-BE49-F238E27FC236}">
              <a16:creationId xmlns:a16="http://schemas.microsoft.com/office/drawing/2014/main" id="{00000000-0008-0000-0F00-00000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1" name="AutoShape 1">
          <a:extLst>
            <a:ext uri="{FF2B5EF4-FFF2-40B4-BE49-F238E27FC236}">
              <a16:creationId xmlns:a16="http://schemas.microsoft.com/office/drawing/2014/main" id="{00000000-0008-0000-0F00-00000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2" name="AutoShape 1">
          <a:extLst>
            <a:ext uri="{FF2B5EF4-FFF2-40B4-BE49-F238E27FC236}">
              <a16:creationId xmlns:a16="http://schemas.microsoft.com/office/drawing/2014/main" id="{00000000-0008-0000-0F00-00000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3" name="AutoShape 1">
          <a:extLst>
            <a:ext uri="{FF2B5EF4-FFF2-40B4-BE49-F238E27FC236}">
              <a16:creationId xmlns:a16="http://schemas.microsoft.com/office/drawing/2014/main" id="{00000000-0008-0000-0F00-00000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4" name="AutoShape 1">
          <a:extLst>
            <a:ext uri="{FF2B5EF4-FFF2-40B4-BE49-F238E27FC236}">
              <a16:creationId xmlns:a16="http://schemas.microsoft.com/office/drawing/2014/main" id="{00000000-0008-0000-0F00-00000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5" name="AutoShape 1">
          <a:extLst>
            <a:ext uri="{FF2B5EF4-FFF2-40B4-BE49-F238E27FC236}">
              <a16:creationId xmlns:a16="http://schemas.microsoft.com/office/drawing/2014/main" id="{00000000-0008-0000-0F00-00000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6" name="AutoShape 1">
          <a:extLst>
            <a:ext uri="{FF2B5EF4-FFF2-40B4-BE49-F238E27FC236}">
              <a16:creationId xmlns:a16="http://schemas.microsoft.com/office/drawing/2014/main" id="{00000000-0008-0000-0F00-00000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7" name="AutoShape 1">
          <a:extLst>
            <a:ext uri="{FF2B5EF4-FFF2-40B4-BE49-F238E27FC236}">
              <a16:creationId xmlns:a16="http://schemas.microsoft.com/office/drawing/2014/main" id="{00000000-0008-0000-0F00-00000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8" name="AutoShape 1">
          <a:extLst>
            <a:ext uri="{FF2B5EF4-FFF2-40B4-BE49-F238E27FC236}">
              <a16:creationId xmlns:a16="http://schemas.microsoft.com/office/drawing/2014/main" id="{00000000-0008-0000-0F00-00000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39" name="AutoShape 1">
          <a:extLst>
            <a:ext uri="{FF2B5EF4-FFF2-40B4-BE49-F238E27FC236}">
              <a16:creationId xmlns:a16="http://schemas.microsoft.com/office/drawing/2014/main" id="{00000000-0008-0000-0F00-00000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0" name="AutoShape 1">
          <a:extLst>
            <a:ext uri="{FF2B5EF4-FFF2-40B4-BE49-F238E27FC236}">
              <a16:creationId xmlns:a16="http://schemas.microsoft.com/office/drawing/2014/main" id="{00000000-0008-0000-0F00-00001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1" name="AutoShape 1">
          <a:extLst>
            <a:ext uri="{FF2B5EF4-FFF2-40B4-BE49-F238E27FC236}">
              <a16:creationId xmlns:a16="http://schemas.microsoft.com/office/drawing/2014/main" id="{00000000-0008-0000-0F00-00001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2" name="AutoShape 1">
          <a:extLst>
            <a:ext uri="{FF2B5EF4-FFF2-40B4-BE49-F238E27FC236}">
              <a16:creationId xmlns:a16="http://schemas.microsoft.com/office/drawing/2014/main" id="{00000000-0008-0000-0F00-00001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3" name="AutoShape 1">
          <a:extLst>
            <a:ext uri="{FF2B5EF4-FFF2-40B4-BE49-F238E27FC236}">
              <a16:creationId xmlns:a16="http://schemas.microsoft.com/office/drawing/2014/main" id="{00000000-0008-0000-0F00-00001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4" name="AutoShape 1">
          <a:extLst>
            <a:ext uri="{FF2B5EF4-FFF2-40B4-BE49-F238E27FC236}">
              <a16:creationId xmlns:a16="http://schemas.microsoft.com/office/drawing/2014/main" id="{00000000-0008-0000-0F00-00001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5" name="AutoShape 1">
          <a:extLst>
            <a:ext uri="{FF2B5EF4-FFF2-40B4-BE49-F238E27FC236}">
              <a16:creationId xmlns:a16="http://schemas.microsoft.com/office/drawing/2014/main" id="{00000000-0008-0000-0F00-00001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6" name="AutoShape 1">
          <a:extLst>
            <a:ext uri="{FF2B5EF4-FFF2-40B4-BE49-F238E27FC236}">
              <a16:creationId xmlns:a16="http://schemas.microsoft.com/office/drawing/2014/main" id="{00000000-0008-0000-0F00-00001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7" name="AutoShape 1">
          <a:extLst>
            <a:ext uri="{FF2B5EF4-FFF2-40B4-BE49-F238E27FC236}">
              <a16:creationId xmlns:a16="http://schemas.microsoft.com/office/drawing/2014/main" id="{00000000-0008-0000-0F00-00001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8" name="AutoShape 1">
          <a:extLst>
            <a:ext uri="{FF2B5EF4-FFF2-40B4-BE49-F238E27FC236}">
              <a16:creationId xmlns:a16="http://schemas.microsoft.com/office/drawing/2014/main" id="{00000000-0008-0000-0F00-00001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49" name="AutoShape 1">
          <a:extLst>
            <a:ext uri="{FF2B5EF4-FFF2-40B4-BE49-F238E27FC236}">
              <a16:creationId xmlns:a16="http://schemas.microsoft.com/office/drawing/2014/main" id="{00000000-0008-0000-0F00-00001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0" name="AutoShape 1">
          <a:extLst>
            <a:ext uri="{FF2B5EF4-FFF2-40B4-BE49-F238E27FC236}">
              <a16:creationId xmlns:a16="http://schemas.microsoft.com/office/drawing/2014/main" id="{00000000-0008-0000-0F00-00001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1" name="AutoShape 1">
          <a:extLst>
            <a:ext uri="{FF2B5EF4-FFF2-40B4-BE49-F238E27FC236}">
              <a16:creationId xmlns:a16="http://schemas.microsoft.com/office/drawing/2014/main" id="{00000000-0008-0000-0F00-00001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2" name="AutoShape 1">
          <a:extLst>
            <a:ext uri="{FF2B5EF4-FFF2-40B4-BE49-F238E27FC236}">
              <a16:creationId xmlns:a16="http://schemas.microsoft.com/office/drawing/2014/main" id="{00000000-0008-0000-0F00-00001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3" name="AutoShape 1">
          <a:extLst>
            <a:ext uri="{FF2B5EF4-FFF2-40B4-BE49-F238E27FC236}">
              <a16:creationId xmlns:a16="http://schemas.microsoft.com/office/drawing/2014/main" id="{00000000-0008-0000-0F00-00001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4" name="AutoShape 1">
          <a:extLst>
            <a:ext uri="{FF2B5EF4-FFF2-40B4-BE49-F238E27FC236}">
              <a16:creationId xmlns:a16="http://schemas.microsoft.com/office/drawing/2014/main" id="{00000000-0008-0000-0F00-00001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5" name="AutoShape 1">
          <a:extLst>
            <a:ext uri="{FF2B5EF4-FFF2-40B4-BE49-F238E27FC236}">
              <a16:creationId xmlns:a16="http://schemas.microsoft.com/office/drawing/2014/main" id="{00000000-0008-0000-0F00-00001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6" name="AutoShape 1">
          <a:extLst>
            <a:ext uri="{FF2B5EF4-FFF2-40B4-BE49-F238E27FC236}">
              <a16:creationId xmlns:a16="http://schemas.microsoft.com/office/drawing/2014/main" id="{00000000-0008-0000-0F00-00002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7" name="AutoShape 1">
          <a:extLst>
            <a:ext uri="{FF2B5EF4-FFF2-40B4-BE49-F238E27FC236}">
              <a16:creationId xmlns:a16="http://schemas.microsoft.com/office/drawing/2014/main" id="{00000000-0008-0000-0F00-00002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8" name="AutoShape 1">
          <a:extLst>
            <a:ext uri="{FF2B5EF4-FFF2-40B4-BE49-F238E27FC236}">
              <a16:creationId xmlns:a16="http://schemas.microsoft.com/office/drawing/2014/main" id="{00000000-0008-0000-0F00-00002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59" name="AutoShape 1">
          <a:extLst>
            <a:ext uri="{FF2B5EF4-FFF2-40B4-BE49-F238E27FC236}">
              <a16:creationId xmlns:a16="http://schemas.microsoft.com/office/drawing/2014/main" id="{00000000-0008-0000-0F00-00002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0" name="AutoShape 1">
          <a:extLst>
            <a:ext uri="{FF2B5EF4-FFF2-40B4-BE49-F238E27FC236}">
              <a16:creationId xmlns:a16="http://schemas.microsoft.com/office/drawing/2014/main" id="{00000000-0008-0000-0F00-00002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1" name="AutoShape 1">
          <a:extLst>
            <a:ext uri="{FF2B5EF4-FFF2-40B4-BE49-F238E27FC236}">
              <a16:creationId xmlns:a16="http://schemas.microsoft.com/office/drawing/2014/main" id="{00000000-0008-0000-0F00-00002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2" name="AutoShape 1">
          <a:extLst>
            <a:ext uri="{FF2B5EF4-FFF2-40B4-BE49-F238E27FC236}">
              <a16:creationId xmlns:a16="http://schemas.microsoft.com/office/drawing/2014/main" id="{00000000-0008-0000-0F00-00002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3" name="AutoShape 1">
          <a:extLst>
            <a:ext uri="{FF2B5EF4-FFF2-40B4-BE49-F238E27FC236}">
              <a16:creationId xmlns:a16="http://schemas.microsoft.com/office/drawing/2014/main" id="{00000000-0008-0000-0F00-00002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4" name="AutoShape 1">
          <a:extLst>
            <a:ext uri="{FF2B5EF4-FFF2-40B4-BE49-F238E27FC236}">
              <a16:creationId xmlns:a16="http://schemas.microsoft.com/office/drawing/2014/main" id="{00000000-0008-0000-0F00-00002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5" name="AutoShape 1">
          <a:extLst>
            <a:ext uri="{FF2B5EF4-FFF2-40B4-BE49-F238E27FC236}">
              <a16:creationId xmlns:a16="http://schemas.microsoft.com/office/drawing/2014/main" id="{00000000-0008-0000-0F00-00002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6" name="AutoShape 1">
          <a:extLst>
            <a:ext uri="{FF2B5EF4-FFF2-40B4-BE49-F238E27FC236}">
              <a16:creationId xmlns:a16="http://schemas.microsoft.com/office/drawing/2014/main" id="{00000000-0008-0000-0F00-00002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7" name="AutoShape 1">
          <a:extLst>
            <a:ext uri="{FF2B5EF4-FFF2-40B4-BE49-F238E27FC236}">
              <a16:creationId xmlns:a16="http://schemas.microsoft.com/office/drawing/2014/main" id="{00000000-0008-0000-0F00-00002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8" name="AutoShape 1">
          <a:extLst>
            <a:ext uri="{FF2B5EF4-FFF2-40B4-BE49-F238E27FC236}">
              <a16:creationId xmlns:a16="http://schemas.microsoft.com/office/drawing/2014/main" id="{00000000-0008-0000-0F00-00002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69" name="AutoShape 1">
          <a:extLst>
            <a:ext uri="{FF2B5EF4-FFF2-40B4-BE49-F238E27FC236}">
              <a16:creationId xmlns:a16="http://schemas.microsoft.com/office/drawing/2014/main" id="{00000000-0008-0000-0F00-00002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0" name="AutoShape 1">
          <a:extLst>
            <a:ext uri="{FF2B5EF4-FFF2-40B4-BE49-F238E27FC236}">
              <a16:creationId xmlns:a16="http://schemas.microsoft.com/office/drawing/2014/main" id="{00000000-0008-0000-0F00-00002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1" name="AutoShape 1">
          <a:extLst>
            <a:ext uri="{FF2B5EF4-FFF2-40B4-BE49-F238E27FC236}">
              <a16:creationId xmlns:a16="http://schemas.microsoft.com/office/drawing/2014/main" id="{00000000-0008-0000-0F00-00002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2" name="AutoShape 1">
          <a:extLst>
            <a:ext uri="{FF2B5EF4-FFF2-40B4-BE49-F238E27FC236}">
              <a16:creationId xmlns:a16="http://schemas.microsoft.com/office/drawing/2014/main" id="{00000000-0008-0000-0F00-00003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3" name="AutoShape 1">
          <a:extLst>
            <a:ext uri="{FF2B5EF4-FFF2-40B4-BE49-F238E27FC236}">
              <a16:creationId xmlns:a16="http://schemas.microsoft.com/office/drawing/2014/main" id="{00000000-0008-0000-0F00-00003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4" name="AutoShape 1">
          <a:extLst>
            <a:ext uri="{FF2B5EF4-FFF2-40B4-BE49-F238E27FC236}">
              <a16:creationId xmlns:a16="http://schemas.microsoft.com/office/drawing/2014/main" id="{00000000-0008-0000-0F00-00003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5" name="AutoShape 1">
          <a:extLst>
            <a:ext uri="{FF2B5EF4-FFF2-40B4-BE49-F238E27FC236}">
              <a16:creationId xmlns:a16="http://schemas.microsoft.com/office/drawing/2014/main" id="{00000000-0008-0000-0F00-00003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6" name="AutoShape 1">
          <a:extLst>
            <a:ext uri="{FF2B5EF4-FFF2-40B4-BE49-F238E27FC236}">
              <a16:creationId xmlns:a16="http://schemas.microsoft.com/office/drawing/2014/main" id="{00000000-0008-0000-0F00-00003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7" name="AutoShape 1">
          <a:extLst>
            <a:ext uri="{FF2B5EF4-FFF2-40B4-BE49-F238E27FC236}">
              <a16:creationId xmlns:a16="http://schemas.microsoft.com/office/drawing/2014/main" id="{00000000-0008-0000-0F00-00003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8" name="AutoShape 1">
          <a:extLst>
            <a:ext uri="{FF2B5EF4-FFF2-40B4-BE49-F238E27FC236}">
              <a16:creationId xmlns:a16="http://schemas.microsoft.com/office/drawing/2014/main" id="{00000000-0008-0000-0F00-00003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79" name="AutoShape 1">
          <a:extLst>
            <a:ext uri="{FF2B5EF4-FFF2-40B4-BE49-F238E27FC236}">
              <a16:creationId xmlns:a16="http://schemas.microsoft.com/office/drawing/2014/main" id="{00000000-0008-0000-0F00-00003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0" name="AutoShape 1">
          <a:extLst>
            <a:ext uri="{FF2B5EF4-FFF2-40B4-BE49-F238E27FC236}">
              <a16:creationId xmlns:a16="http://schemas.microsoft.com/office/drawing/2014/main" id="{00000000-0008-0000-0F00-00003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1" name="AutoShape 1">
          <a:extLst>
            <a:ext uri="{FF2B5EF4-FFF2-40B4-BE49-F238E27FC236}">
              <a16:creationId xmlns:a16="http://schemas.microsoft.com/office/drawing/2014/main" id="{00000000-0008-0000-0F00-00003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2" name="AutoShape 1">
          <a:extLst>
            <a:ext uri="{FF2B5EF4-FFF2-40B4-BE49-F238E27FC236}">
              <a16:creationId xmlns:a16="http://schemas.microsoft.com/office/drawing/2014/main" id="{00000000-0008-0000-0F00-00003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3" name="AutoShape 1">
          <a:extLst>
            <a:ext uri="{FF2B5EF4-FFF2-40B4-BE49-F238E27FC236}">
              <a16:creationId xmlns:a16="http://schemas.microsoft.com/office/drawing/2014/main" id="{00000000-0008-0000-0F00-00003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4" name="AutoShape 1">
          <a:extLst>
            <a:ext uri="{FF2B5EF4-FFF2-40B4-BE49-F238E27FC236}">
              <a16:creationId xmlns:a16="http://schemas.microsoft.com/office/drawing/2014/main" id="{00000000-0008-0000-0F00-00003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5" name="AutoShape 1">
          <a:extLst>
            <a:ext uri="{FF2B5EF4-FFF2-40B4-BE49-F238E27FC236}">
              <a16:creationId xmlns:a16="http://schemas.microsoft.com/office/drawing/2014/main" id="{00000000-0008-0000-0F00-00003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6" name="AutoShape 1">
          <a:extLst>
            <a:ext uri="{FF2B5EF4-FFF2-40B4-BE49-F238E27FC236}">
              <a16:creationId xmlns:a16="http://schemas.microsoft.com/office/drawing/2014/main" id="{00000000-0008-0000-0F00-00003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7" name="AutoShape 1">
          <a:extLst>
            <a:ext uri="{FF2B5EF4-FFF2-40B4-BE49-F238E27FC236}">
              <a16:creationId xmlns:a16="http://schemas.microsoft.com/office/drawing/2014/main" id="{00000000-0008-0000-0F00-00003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8" name="AutoShape 1">
          <a:extLst>
            <a:ext uri="{FF2B5EF4-FFF2-40B4-BE49-F238E27FC236}">
              <a16:creationId xmlns:a16="http://schemas.microsoft.com/office/drawing/2014/main" id="{00000000-0008-0000-0F00-00004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89" name="AutoShape 1">
          <a:extLst>
            <a:ext uri="{FF2B5EF4-FFF2-40B4-BE49-F238E27FC236}">
              <a16:creationId xmlns:a16="http://schemas.microsoft.com/office/drawing/2014/main" id="{00000000-0008-0000-0F00-00004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0" name="AutoShape 1">
          <a:extLst>
            <a:ext uri="{FF2B5EF4-FFF2-40B4-BE49-F238E27FC236}">
              <a16:creationId xmlns:a16="http://schemas.microsoft.com/office/drawing/2014/main" id="{00000000-0008-0000-0F00-00004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1" name="AutoShape 1">
          <a:extLst>
            <a:ext uri="{FF2B5EF4-FFF2-40B4-BE49-F238E27FC236}">
              <a16:creationId xmlns:a16="http://schemas.microsoft.com/office/drawing/2014/main" id="{00000000-0008-0000-0F00-00004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2" name="AutoShape 1">
          <a:extLst>
            <a:ext uri="{FF2B5EF4-FFF2-40B4-BE49-F238E27FC236}">
              <a16:creationId xmlns:a16="http://schemas.microsoft.com/office/drawing/2014/main" id="{00000000-0008-0000-0F00-00004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3" name="AutoShape 1">
          <a:extLst>
            <a:ext uri="{FF2B5EF4-FFF2-40B4-BE49-F238E27FC236}">
              <a16:creationId xmlns:a16="http://schemas.microsoft.com/office/drawing/2014/main" id="{00000000-0008-0000-0F00-00004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4" name="AutoShape 1">
          <a:extLst>
            <a:ext uri="{FF2B5EF4-FFF2-40B4-BE49-F238E27FC236}">
              <a16:creationId xmlns:a16="http://schemas.microsoft.com/office/drawing/2014/main" id="{00000000-0008-0000-0F00-00004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5" name="AutoShape 1">
          <a:extLst>
            <a:ext uri="{FF2B5EF4-FFF2-40B4-BE49-F238E27FC236}">
              <a16:creationId xmlns:a16="http://schemas.microsoft.com/office/drawing/2014/main" id="{00000000-0008-0000-0F00-00004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6" name="AutoShape 1">
          <a:extLst>
            <a:ext uri="{FF2B5EF4-FFF2-40B4-BE49-F238E27FC236}">
              <a16:creationId xmlns:a16="http://schemas.microsoft.com/office/drawing/2014/main" id="{00000000-0008-0000-0F00-00004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7" name="AutoShape 1">
          <a:extLst>
            <a:ext uri="{FF2B5EF4-FFF2-40B4-BE49-F238E27FC236}">
              <a16:creationId xmlns:a16="http://schemas.microsoft.com/office/drawing/2014/main" id="{00000000-0008-0000-0F00-00004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8" name="AutoShape 1">
          <a:extLst>
            <a:ext uri="{FF2B5EF4-FFF2-40B4-BE49-F238E27FC236}">
              <a16:creationId xmlns:a16="http://schemas.microsoft.com/office/drawing/2014/main" id="{00000000-0008-0000-0F00-00004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099" name="AutoShape 1">
          <a:extLst>
            <a:ext uri="{FF2B5EF4-FFF2-40B4-BE49-F238E27FC236}">
              <a16:creationId xmlns:a16="http://schemas.microsoft.com/office/drawing/2014/main" id="{00000000-0008-0000-0F00-00004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0" name="AutoShape 1">
          <a:extLst>
            <a:ext uri="{FF2B5EF4-FFF2-40B4-BE49-F238E27FC236}">
              <a16:creationId xmlns:a16="http://schemas.microsoft.com/office/drawing/2014/main" id="{00000000-0008-0000-0F00-00004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1" name="AutoShape 1">
          <a:extLst>
            <a:ext uri="{FF2B5EF4-FFF2-40B4-BE49-F238E27FC236}">
              <a16:creationId xmlns:a16="http://schemas.microsoft.com/office/drawing/2014/main" id="{00000000-0008-0000-0F00-00004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2" name="AutoShape 1">
          <a:extLst>
            <a:ext uri="{FF2B5EF4-FFF2-40B4-BE49-F238E27FC236}">
              <a16:creationId xmlns:a16="http://schemas.microsoft.com/office/drawing/2014/main" id="{00000000-0008-0000-0F00-00004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3" name="AutoShape 1">
          <a:extLst>
            <a:ext uri="{FF2B5EF4-FFF2-40B4-BE49-F238E27FC236}">
              <a16:creationId xmlns:a16="http://schemas.microsoft.com/office/drawing/2014/main" id="{00000000-0008-0000-0F00-00004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4" name="AutoShape 1">
          <a:extLst>
            <a:ext uri="{FF2B5EF4-FFF2-40B4-BE49-F238E27FC236}">
              <a16:creationId xmlns:a16="http://schemas.microsoft.com/office/drawing/2014/main" id="{00000000-0008-0000-0F00-00005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5" name="AutoShape 1">
          <a:extLst>
            <a:ext uri="{FF2B5EF4-FFF2-40B4-BE49-F238E27FC236}">
              <a16:creationId xmlns:a16="http://schemas.microsoft.com/office/drawing/2014/main" id="{00000000-0008-0000-0F00-00005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6" name="AutoShape 1">
          <a:extLst>
            <a:ext uri="{FF2B5EF4-FFF2-40B4-BE49-F238E27FC236}">
              <a16:creationId xmlns:a16="http://schemas.microsoft.com/office/drawing/2014/main" id="{00000000-0008-0000-0F00-00005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7" name="AutoShape 1">
          <a:extLst>
            <a:ext uri="{FF2B5EF4-FFF2-40B4-BE49-F238E27FC236}">
              <a16:creationId xmlns:a16="http://schemas.microsoft.com/office/drawing/2014/main" id="{00000000-0008-0000-0F00-00005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8" name="AutoShape 1">
          <a:extLst>
            <a:ext uri="{FF2B5EF4-FFF2-40B4-BE49-F238E27FC236}">
              <a16:creationId xmlns:a16="http://schemas.microsoft.com/office/drawing/2014/main" id="{00000000-0008-0000-0F00-00005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09" name="AutoShape 1">
          <a:extLst>
            <a:ext uri="{FF2B5EF4-FFF2-40B4-BE49-F238E27FC236}">
              <a16:creationId xmlns:a16="http://schemas.microsoft.com/office/drawing/2014/main" id="{00000000-0008-0000-0F00-00005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0" name="AutoShape 1">
          <a:extLst>
            <a:ext uri="{FF2B5EF4-FFF2-40B4-BE49-F238E27FC236}">
              <a16:creationId xmlns:a16="http://schemas.microsoft.com/office/drawing/2014/main" id="{00000000-0008-0000-0F00-00005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1" name="AutoShape 1">
          <a:extLst>
            <a:ext uri="{FF2B5EF4-FFF2-40B4-BE49-F238E27FC236}">
              <a16:creationId xmlns:a16="http://schemas.microsoft.com/office/drawing/2014/main" id="{00000000-0008-0000-0F00-00005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2" name="AutoShape 1">
          <a:extLst>
            <a:ext uri="{FF2B5EF4-FFF2-40B4-BE49-F238E27FC236}">
              <a16:creationId xmlns:a16="http://schemas.microsoft.com/office/drawing/2014/main" id="{00000000-0008-0000-0F00-00005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3" name="AutoShape 1">
          <a:extLst>
            <a:ext uri="{FF2B5EF4-FFF2-40B4-BE49-F238E27FC236}">
              <a16:creationId xmlns:a16="http://schemas.microsoft.com/office/drawing/2014/main" id="{00000000-0008-0000-0F00-00005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4" name="AutoShape 1">
          <a:extLst>
            <a:ext uri="{FF2B5EF4-FFF2-40B4-BE49-F238E27FC236}">
              <a16:creationId xmlns:a16="http://schemas.microsoft.com/office/drawing/2014/main" id="{00000000-0008-0000-0F00-00005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5" name="AutoShape 1">
          <a:extLst>
            <a:ext uri="{FF2B5EF4-FFF2-40B4-BE49-F238E27FC236}">
              <a16:creationId xmlns:a16="http://schemas.microsoft.com/office/drawing/2014/main" id="{00000000-0008-0000-0F00-00005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6" name="AutoShape 1">
          <a:extLst>
            <a:ext uri="{FF2B5EF4-FFF2-40B4-BE49-F238E27FC236}">
              <a16:creationId xmlns:a16="http://schemas.microsoft.com/office/drawing/2014/main" id="{00000000-0008-0000-0F00-00005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7" name="AutoShape 1">
          <a:extLst>
            <a:ext uri="{FF2B5EF4-FFF2-40B4-BE49-F238E27FC236}">
              <a16:creationId xmlns:a16="http://schemas.microsoft.com/office/drawing/2014/main" id="{00000000-0008-0000-0F00-00005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8" name="AutoShape 1">
          <a:extLst>
            <a:ext uri="{FF2B5EF4-FFF2-40B4-BE49-F238E27FC236}">
              <a16:creationId xmlns:a16="http://schemas.microsoft.com/office/drawing/2014/main" id="{00000000-0008-0000-0F00-00005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19" name="AutoShape 1">
          <a:extLst>
            <a:ext uri="{FF2B5EF4-FFF2-40B4-BE49-F238E27FC236}">
              <a16:creationId xmlns:a16="http://schemas.microsoft.com/office/drawing/2014/main" id="{00000000-0008-0000-0F00-00005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0" name="AutoShape 1">
          <a:extLst>
            <a:ext uri="{FF2B5EF4-FFF2-40B4-BE49-F238E27FC236}">
              <a16:creationId xmlns:a16="http://schemas.microsoft.com/office/drawing/2014/main" id="{00000000-0008-0000-0F00-00006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1" name="AutoShape 1">
          <a:extLst>
            <a:ext uri="{FF2B5EF4-FFF2-40B4-BE49-F238E27FC236}">
              <a16:creationId xmlns:a16="http://schemas.microsoft.com/office/drawing/2014/main" id="{00000000-0008-0000-0F00-00006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2" name="AutoShape 1">
          <a:extLst>
            <a:ext uri="{FF2B5EF4-FFF2-40B4-BE49-F238E27FC236}">
              <a16:creationId xmlns:a16="http://schemas.microsoft.com/office/drawing/2014/main" id="{00000000-0008-0000-0F00-00006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3" name="AutoShape 1">
          <a:extLst>
            <a:ext uri="{FF2B5EF4-FFF2-40B4-BE49-F238E27FC236}">
              <a16:creationId xmlns:a16="http://schemas.microsoft.com/office/drawing/2014/main" id="{00000000-0008-0000-0F00-00006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4" name="AutoShape 1">
          <a:extLst>
            <a:ext uri="{FF2B5EF4-FFF2-40B4-BE49-F238E27FC236}">
              <a16:creationId xmlns:a16="http://schemas.microsoft.com/office/drawing/2014/main" id="{00000000-0008-0000-0F00-00006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5" name="AutoShape 1">
          <a:extLst>
            <a:ext uri="{FF2B5EF4-FFF2-40B4-BE49-F238E27FC236}">
              <a16:creationId xmlns:a16="http://schemas.microsoft.com/office/drawing/2014/main" id="{00000000-0008-0000-0F00-00006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6" name="AutoShape 1">
          <a:extLst>
            <a:ext uri="{FF2B5EF4-FFF2-40B4-BE49-F238E27FC236}">
              <a16:creationId xmlns:a16="http://schemas.microsoft.com/office/drawing/2014/main" id="{00000000-0008-0000-0F00-00006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7" name="AutoShape 1">
          <a:extLst>
            <a:ext uri="{FF2B5EF4-FFF2-40B4-BE49-F238E27FC236}">
              <a16:creationId xmlns:a16="http://schemas.microsoft.com/office/drawing/2014/main" id="{00000000-0008-0000-0F00-00006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8" name="AutoShape 1">
          <a:extLst>
            <a:ext uri="{FF2B5EF4-FFF2-40B4-BE49-F238E27FC236}">
              <a16:creationId xmlns:a16="http://schemas.microsoft.com/office/drawing/2014/main" id="{00000000-0008-0000-0F00-00006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29" name="AutoShape 1">
          <a:extLst>
            <a:ext uri="{FF2B5EF4-FFF2-40B4-BE49-F238E27FC236}">
              <a16:creationId xmlns:a16="http://schemas.microsoft.com/office/drawing/2014/main" id="{00000000-0008-0000-0F00-00006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0" name="AutoShape 1">
          <a:extLst>
            <a:ext uri="{FF2B5EF4-FFF2-40B4-BE49-F238E27FC236}">
              <a16:creationId xmlns:a16="http://schemas.microsoft.com/office/drawing/2014/main" id="{00000000-0008-0000-0F00-00006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1" name="AutoShape 1">
          <a:extLst>
            <a:ext uri="{FF2B5EF4-FFF2-40B4-BE49-F238E27FC236}">
              <a16:creationId xmlns:a16="http://schemas.microsoft.com/office/drawing/2014/main" id="{00000000-0008-0000-0F00-00006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2" name="AutoShape 1">
          <a:extLst>
            <a:ext uri="{FF2B5EF4-FFF2-40B4-BE49-F238E27FC236}">
              <a16:creationId xmlns:a16="http://schemas.microsoft.com/office/drawing/2014/main" id="{00000000-0008-0000-0F00-00006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3" name="AutoShape 1">
          <a:extLst>
            <a:ext uri="{FF2B5EF4-FFF2-40B4-BE49-F238E27FC236}">
              <a16:creationId xmlns:a16="http://schemas.microsoft.com/office/drawing/2014/main" id="{00000000-0008-0000-0F00-00006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4" name="AutoShape 1">
          <a:extLst>
            <a:ext uri="{FF2B5EF4-FFF2-40B4-BE49-F238E27FC236}">
              <a16:creationId xmlns:a16="http://schemas.microsoft.com/office/drawing/2014/main" id="{00000000-0008-0000-0F00-00006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5" name="AutoShape 1">
          <a:extLst>
            <a:ext uri="{FF2B5EF4-FFF2-40B4-BE49-F238E27FC236}">
              <a16:creationId xmlns:a16="http://schemas.microsoft.com/office/drawing/2014/main" id="{00000000-0008-0000-0F00-00006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6" name="AutoShape 1">
          <a:extLst>
            <a:ext uri="{FF2B5EF4-FFF2-40B4-BE49-F238E27FC236}">
              <a16:creationId xmlns:a16="http://schemas.microsoft.com/office/drawing/2014/main" id="{00000000-0008-0000-0F00-00007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7" name="AutoShape 1">
          <a:extLst>
            <a:ext uri="{FF2B5EF4-FFF2-40B4-BE49-F238E27FC236}">
              <a16:creationId xmlns:a16="http://schemas.microsoft.com/office/drawing/2014/main" id="{00000000-0008-0000-0F00-00007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8" name="AutoShape 1">
          <a:extLst>
            <a:ext uri="{FF2B5EF4-FFF2-40B4-BE49-F238E27FC236}">
              <a16:creationId xmlns:a16="http://schemas.microsoft.com/office/drawing/2014/main" id="{00000000-0008-0000-0F00-00007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39" name="AutoShape 1">
          <a:extLst>
            <a:ext uri="{FF2B5EF4-FFF2-40B4-BE49-F238E27FC236}">
              <a16:creationId xmlns:a16="http://schemas.microsoft.com/office/drawing/2014/main" id="{00000000-0008-0000-0F00-00007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0" name="AutoShape 1">
          <a:extLst>
            <a:ext uri="{FF2B5EF4-FFF2-40B4-BE49-F238E27FC236}">
              <a16:creationId xmlns:a16="http://schemas.microsoft.com/office/drawing/2014/main" id="{00000000-0008-0000-0F00-00007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1" name="AutoShape 1">
          <a:extLst>
            <a:ext uri="{FF2B5EF4-FFF2-40B4-BE49-F238E27FC236}">
              <a16:creationId xmlns:a16="http://schemas.microsoft.com/office/drawing/2014/main" id="{00000000-0008-0000-0F00-00007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2" name="AutoShape 1">
          <a:extLst>
            <a:ext uri="{FF2B5EF4-FFF2-40B4-BE49-F238E27FC236}">
              <a16:creationId xmlns:a16="http://schemas.microsoft.com/office/drawing/2014/main" id="{00000000-0008-0000-0F00-00007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3" name="AutoShape 1">
          <a:extLst>
            <a:ext uri="{FF2B5EF4-FFF2-40B4-BE49-F238E27FC236}">
              <a16:creationId xmlns:a16="http://schemas.microsoft.com/office/drawing/2014/main" id="{00000000-0008-0000-0F00-00007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4" name="AutoShape 1">
          <a:extLst>
            <a:ext uri="{FF2B5EF4-FFF2-40B4-BE49-F238E27FC236}">
              <a16:creationId xmlns:a16="http://schemas.microsoft.com/office/drawing/2014/main" id="{00000000-0008-0000-0F00-00007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5" name="AutoShape 1">
          <a:extLst>
            <a:ext uri="{FF2B5EF4-FFF2-40B4-BE49-F238E27FC236}">
              <a16:creationId xmlns:a16="http://schemas.microsoft.com/office/drawing/2014/main" id="{00000000-0008-0000-0F00-00007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6" name="AutoShape 1">
          <a:extLst>
            <a:ext uri="{FF2B5EF4-FFF2-40B4-BE49-F238E27FC236}">
              <a16:creationId xmlns:a16="http://schemas.microsoft.com/office/drawing/2014/main" id="{00000000-0008-0000-0F00-00007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7" name="AutoShape 1">
          <a:extLst>
            <a:ext uri="{FF2B5EF4-FFF2-40B4-BE49-F238E27FC236}">
              <a16:creationId xmlns:a16="http://schemas.microsoft.com/office/drawing/2014/main" id="{00000000-0008-0000-0F00-00007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8" name="AutoShape 1">
          <a:extLst>
            <a:ext uri="{FF2B5EF4-FFF2-40B4-BE49-F238E27FC236}">
              <a16:creationId xmlns:a16="http://schemas.microsoft.com/office/drawing/2014/main" id="{00000000-0008-0000-0F00-00007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49" name="AutoShape 1">
          <a:extLst>
            <a:ext uri="{FF2B5EF4-FFF2-40B4-BE49-F238E27FC236}">
              <a16:creationId xmlns:a16="http://schemas.microsoft.com/office/drawing/2014/main" id="{00000000-0008-0000-0F00-00007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0" name="AutoShape 1">
          <a:extLst>
            <a:ext uri="{FF2B5EF4-FFF2-40B4-BE49-F238E27FC236}">
              <a16:creationId xmlns:a16="http://schemas.microsoft.com/office/drawing/2014/main" id="{00000000-0008-0000-0F00-00007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1" name="AutoShape 1">
          <a:extLst>
            <a:ext uri="{FF2B5EF4-FFF2-40B4-BE49-F238E27FC236}">
              <a16:creationId xmlns:a16="http://schemas.microsoft.com/office/drawing/2014/main" id="{00000000-0008-0000-0F00-00007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2" name="AutoShape 1">
          <a:extLst>
            <a:ext uri="{FF2B5EF4-FFF2-40B4-BE49-F238E27FC236}">
              <a16:creationId xmlns:a16="http://schemas.microsoft.com/office/drawing/2014/main" id="{00000000-0008-0000-0F00-00008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3" name="AutoShape 1">
          <a:extLst>
            <a:ext uri="{FF2B5EF4-FFF2-40B4-BE49-F238E27FC236}">
              <a16:creationId xmlns:a16="http://schemas.microsoft.com/office/drawing/2014/main" id="{00000000-0008-0000-0F00-00008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4" name="AutoShape 1">
          <a:extLst>
            <a:ext uri="{FF2B5EF4-FFF2-40B4-BE49-F238E27FC236}">
              <a16:creationId xmlns:a16="http://schemas.microsoft.com/office/drawing/2014/main" id="{00000000-0008-0000-0F00-00008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5" name="AutoShape 1">
          <a:extLst>
            <a:ext uri="{FF2B5EF4-FFF2-40B4-BE49-F238E27FC236}">
              <a16:creationId xmlns:a16="http://schemas.microsoft.com/office/drawing/2014/main" id="{00000000-0008-0000-0F00-00008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6" name="AutoShape 1">
          <a:extLst>
            <a:ext uri="{FF2B5EF4-FFF2-40B4-BE49-F238E27FC236}">
              <a16:creationId xmlns:a16="http://schemas.microsoft.com/office/drawing/2014/main" id="{00000000-0008-0000-0F00-00008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7" name="AutoShape 1">
          <a:extLst>
            <a:ext uri="{FF2B5EF4-FFF2-40B4-BE49-F238E27FC236}">
              <a16:creationId xmlns:a16="http://schemas.microsoft.com/office/drawing/2014/main" id="{00000000-0008-0000-0F00-00008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8" name="AutoShape 1">
          <a:extLst>
            <a:ext uri="{FF2B5EF4-FFF2-40B4-BE49-F238E27FC236}">
              <a16:creationId xmlns:a16="http://schemas.microsoft.com/office/drawing/2014/main" id="{00000000-0008-0000-0F00-00008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59" name="AutoShape 1">
          <a:extLst>
            <a:ext uri="{FF2B5EF4-FFF2-40B4-BE49-F238E27FC236}">
              <a16:creationId xmlns:a16="http://schemas.microsoft.com/office/drawing/2014/main" id="{00000000-0008-0000-0F00-00008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0" name="AutoShape 1">
          <a:extLst>
            <a:ext uri="{FF2B5EF4-FFF2-40B4-BE49-F238E27FC236}">
              <a16:creationId xmlns:a16="http://schemas.microsoft.com/office/drawing/2014/main" id="{00000000-0008-0000-0F00-00008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1" name="AutoShape 1">
          <a:extLst>
            <a:ext uri="{FF2B5EF4-FFF2-40B4-BE49-F238E27FC236}">
              <a16:creationId xmlns:a16="http://schemas.microsoft.com/office/drawing/2014/main" id="{00000000-0008-0000-0F00-00008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2" name="AutoShape 1">
          <a:extLst>
            <a:ext uri="{FF2B5EF4-FFF2-40B4-BE49-F238E27FC236}">
              <a16:creationId xmlns:a16="http://schemas.microsoft.com/office/drawing/2014/main" id="{00000000-0008-0000-0F00-00008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3" name="AutoShape 1">
          <a:extLst>
            <a:ext uri="{FF2B5EF4-FFF2-40B4-BE49-F238E27FC236}">
              <a16:creationId xmlns:a16="http://schemas.microsoft.com/office/drawing/2014/main" id="{00000000-0008-0000-0F00-00008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4" name="AutoShape 1">
          <a:extLst>
            <a:ext uri="{FF2B5EF4-FFF2-40B4-BE49-F238E27FC236}">
              <a16:creationId xmlns:a16="http://schemas.microsoft.com/office/drawing/2014/main" id="{00000000-0008-0000-0F00-00008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5" name="AutoShape 1">
          <a:extLst>
            <a:ext uri="{FF2B5EF4-FFF2-40B4-BE49-F238E27FC236}">
              <a16:creationId xmlns:a16="http://schemas.microsoft.com/office/drawing/2014/main" id="{00000000-0008-0000-0F00-00008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6" name="AutoShape 1">
          <a:extLst>
            <a:ext uri="{FF2B5EF4-FFF2-40B4-BE49-F238E27FC236}">
              <a16:creationId xmlns:a16="http://schemas.microsoft.com/office/drawing/2014/main" id="{00000000-0008-0000-0F00-00008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7" name="AutoShape 1">
          <a:extLst>
            <a:ext uri="{FF2B5EF4-FFF2-40B4-BE49-F238E27FC236}">
              <a16:creationId xmlns:a16="http://schemas.microsoft.com/office/drawing/2014/main" id="{00000000-0008-0000-0F00-00008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8" name="AutoShape 1">
          <a:extLst>
            <a:ext uri="{FF2B5EF4-FFF2-40B4-BE49-F238E27FC236}">
              <a16:creationId xmlns:a16="http://schemas.microsoft.com/office/drawing/2014/main" id="{00000000-0008-0000-0F00-00009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69" name="AutoShape 1">
          <a:extLst>
            <a:ext uri="{FF2B5EF4-FFF2-40B4-BE49-F238E27FC236}">
              <a16:creationId xmlns:a16="http://schemas.microsoft.com/office/drawing/2014/main" id="{00000000-0008-0000-0F00-00009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0" name="AutoShape 1">
          <a:extLst>
            <a:ext uri="{FF2B5EF4-FFF2-40B4-BE49-F238E27FC236}">
              <a16:creationId xmlns:a16="http://schemas.microsoft.com/office/drawing/2014/main" id="{00000000-0008-0000-0F00-00009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1" name="AutoShape 1">
          <a:extLst>
            <a:ext uri="{FF2B5EF4-FFF2-40B4-BE49-F238E27FC236}">
              <a16:creationId xmlns:a16="http://schemas.microsoft.com/office/drawing/2014/main" id="{00000000-0008-0000-0F00-000093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2" name="AutoShape 1">
          <a:extLst>
            <a:ext uri="{FF2B5EF4-FFF2-40B4-BE49-F238E27FC236}">
              <a16:creationId xmlns:a16="http://schemas.microsoft.com/office/drawing/2014/main" id="{00000000-0008-0000-0F00-000094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3" name="AutoShape 1">
          <a:extLst>
            <a:ext uri="{FF2B5EF4-FFF2-40B4-BE49-F238E27FC236}">
              <a16:creationId xmlns:a16="http://schemas.microsoft.com/office/drawing/2014/main" id="{00000000-0008-0000-0F00-00009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4" name="AutoShape 1">
          <a:extLst>
            <a:ext uri="{FF2B5EF4-FFF2-40B4-BE49-F238E27FC236}">
              <a16:creationId xmlns:a16="http://schemas.microsoft.com/office/drawing/2014/main" id="{00000000-0008-0000-0F00-00009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5" name="AutoShape 1">
          <a:extLst>
            <a:ext uri="{FF2B5EF4-FFF2-40B4-BE49-F238E27FC236}">
              <a16:creationId xmlns:a16="http://schemas.microsoft.com/office/drawing/2014/main" id="{00000000-0008-0000-0F00-00009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6" name="AutoShape 1">
          <a:extLst>
            <a:ext uri="{FF2B5EF4-FFF2-40B4-BE49-F238E27FC236}">
              <a16:creationId xmlns:a16="http://schemas.microsoft.com/office/drawing/2014/main" id="{00000000-0008-0000-0F00-00009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7" name="AutoShape 1">
          <a:extLst>
            <a:ext uri="{FF2B5EF4-FFF2-40B4-BE49-F238E27FC236}">
              <a16:creationId xmlns:a16="http://schemas.microsoft.com/office/drawing/2014/main" id="{00000000-0008-0000-0F00-000099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8" name="AutoShape 1">
          <a:extLst>
            <a:ext uri="{FF2B5EF4-FFF2-40B4-BE49-F238E27FC236}">
              <a16:creationId xmlns:a16="http://schemas.microsoft.com/office/drawing/2014/main" id="{00000000-0008-0000-0F00-00009A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79" name="AutoShape 1">
          <a:extLst>
            <a:ext uri="{FF2B5EF4-FFF2-40B4-BE49-F238E27FC236}">
              <a16:creationId xmlns:a16="http://schemas.microsoft.com/office/drawing/2014/main" id="{00000000-0008-0000-0F00-00009B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0" name="AutoShape 1">
          <a:extLst>
            <a:ext uri="{FF2B5EF4-FFF2-40B4-BE49-F238E27FC236}">
              <a16:creationId xmlns:a16="http://schemas.microsoft.com/office/drawing/2014/main" id="{00000000-0008-0000-0F00-00009C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1" name="AutoShape 1">
          <a:extLst>
            <a:ext uri="{FF2B5EF4-FFF2-40B4-BE49-F238E27FC236}">
              <a16:creationId xmlns:a16="http://schemas.microsoft.com/office/drawing/2014/main" id="{00000000-0008-0000-0F00-00009D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2" name="AutoShape 1">
          <a:extLst>
            <a:ext uri="{FF2B5EF4-FFF2-40B4-BE49-F238E27FC236}">
              <a16:creationId xmlns:a16="http://schemas.microsoft.com/office/drawing/2014/main" id="{00000000-0008-0000-0F00-00009E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3" name="AutoShape 1">
          <a:extLst>
            <a:ext uri="{FF2B5EF4-FFF2-40B4-BE49-F238E27FC236}">
              <a16:creationId xmlns:a16="http://schemas.microsoft.com/office/drawing/2014/main" id="{00000000-0008-0000-0F00-00009F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4" name="AutoShape 1">
          <a:extLst>
            <a:ext uri="{FF2B5EF4-FFF2-40B4-BE49-F238E27FC236}">
              <a16:creationId xmlns:a16="http://schemas.microsoft.com/office/drawing/2014/main" id="{00000000-0008-0000-0F00-0000A0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5" name="AutoShape 1">
          <a:extLst>
            <a:ext uri="{FF2B5EF4-FFF2-40B4-BE49-F238E27FC236}">
              <a16:creationId xmlns:a16="http://schemas.microsoft.com/office/drawing/2014/main" id="{00000000-0008-0000-0F00-0000A1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6" name="AutoShape 1">
          <a:extLst>
            <a:ext uri="{FF2B5EF4-FFF2-40B4-BE49-F238E27FC236}">
              <a16:creationId xmlns:a16="http://schemas.microsoft.com/office/drawing/2014/main" id="{00000000-0008-0000-0F00-0000A2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7" name="AutoShape 1">
          <a:extLst>
            <a:ext uri="{FF2B5EF4-FFF2-40B4-BE49-F238E27FC236}">
              <a16:creationId xmlns:a16="http://schemas.microsoft.com/office/drawing/2014/main" id="{00000000-0008-0000-0F00-0000A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8" name="AutoShape 1">
          <a:extLst>
            <a:ext uri="{FF2B5EF4-FFF2-40B4-BE49-F238E27FC236}">
              <a16:creationId xmlns:a16="http://schemas.microsoft.com/office/drawing/2014/main" id="{00000000-0008-0000-0F00-0000A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89" name="AutoShape 1">
          <a:extLst>
            <a:ext uri="{FF2B5EF4-FFF2-40B4-BE49-F238E27FC236}">
              <a16:creationId xmlns:a16="http://schemas.microsoft.com/office/drawing/2014/main" id="{00000000-0008-0000-0F00-0000A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0" name="AutoShape 1">
          <a:extLst>
            <a:ext uri="{FF2B5EF4-FFF2-40B4-BE49-F238E27FC236}">
              <a16:creationId xmlns:a16="http://schemas.microsoft.com/office/drawing/2014/main" id="{00000000-0008-0000-0F00-0000A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1" name="AutoShape 1">
          <a:extLst>
            <a:ext uri="{FF2B5EF4-FFF2-40B4-BE49-F238E27FC236}">
              <a16:creationId xmlns:a16="http://schemas.microsoft.com/office/drawing/2014/main" id="{00000000-0008-0000-0F00-0000A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2" name="AutoShape 1">
          <a:extLst>
            <a:ext uri="{FF2B5EF4-FFF2-40B4-BE49-F238E27FC236}">
              <a16:creationId xmlns:a16="http://schemas.microsoft.com/office/drawing/2014/main" id="{00000000-0008-0000-0F00-0000A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3" name="AutoShape 1">
          <a:extLst>
            <a:ext uri="{FF2B5EF4-FFF2-40B4-BE49-F238E27FC236}">
              <a16:creationId xmlns:a16="http://schemas.microsoft.com/office/drawing/2014/main" id="{00000000-0008-0000-0F00-0000A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4" name="AutoShape 1">
          <a:extLst>
            <a:ext uri="{FF2B5EF4-FFF2-40B4-BE49-F238E27FC236}">
              <a16:creationId xmlns:a16="http://schemas.microsoft.com/office/drawing/2014/main" id="{00000000-0008-0000-0F00-0000A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5" name="AutoShape 1">
          <a:extLst>
            <a:ext uri="{FF2B5EF4-FFF2-40B4-BE49-F238E27FC236}">
              <a16:creationId xmlns:a16="http://schemas.microsoft.com/office/drawing/2014/main" id="{00000000-0008-0000-0F00-0000A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6" name="AutoShape 1">
          <a:extLst>
            <a:ext uri="{FF2B5EF4-FFF2-40B4-BE49-F238E27FC236}">
              <a16:creationId xmlns:a16="http://schemas.microsoft.com/office/drawing/2014/main" id="{00000000-0008-0000-0F00-0000A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7" name="AutoShape 1">
          <a:extLst>
            <a:ext uri="{FF2B5EF4-FFF2-40B4-BE49-F238E27FC236}">
              <a16:creationId xmlns:a16="http://schemas.microsoft.com/office/drawing/2014/main" id="{00000000-0008-0000-0F00-0000A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8" name="AutoShape 1">
          <a:extLst>
            <a:ext uri="{FF2B5EF4-FFF2-40B4-BE49-F238E27FC236}">
              <a16:creationId xmlns:a16="http://schemas.microsoft.com/office/drawing/2014/main" id="{00000000-0008-0000-0F00-0000A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199" name="AutoShape 1">
          <a:extLst>
            <a:ext uri="{FF2B5EF4-FFF2-40B4-BE49-F238E27FC236}">
              <a16:creationId xmlns:a16="http://schemas.microsoft.com/office/drawing/2014/main" id="{00000000-0008-0000-0F00-0000AF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0" name="AutoShape 1">
          <a:extLst>
            <a:ext uri="{FF2B5EF4-FFF2-40B4-BE49-F238E27FC236}">
              <a16:creationId xmlns:a16="http://schemas.microsoft.com/office/drawing/2014/main" id="{00000000-0008-0000-0F00-0000B0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1" name="AutoShape 1">
          <a:extLst>
            <a:ext uri="{FF2B5EF4-FFF2-40B4-BE49-F238E27FC236}">
              <a16:creationId xmlns:a16="http://schemas.microsoft.com/office/drawing/2014/main" id="{00000000-0008-0000-0F00-0000B1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2" name="AutoShape 1">
          <a:extLst>
            <a:ext uri="{FF2B5EF4-FFF2-40B4-BE49-F238E27FC236}">
              <a16:creationId xmlns:a16="http://schemas.microsoft.com/office/drawing/2014/main" id="{00000000-0008-0000-0F00-0000B2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3" name="AutoShape 1">
          <a:extLst>
            <a:ext uri="{FF2B5EF4-FFF2-40B4-BE49-F238E27FC236}">
              <a16:creationId xmlns:a16="http://schemas.microsoft.com/office/drawing/2014/main" id="{00000000-0008-0000-0F00-0000B3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4" name="AutoShape 1">
          <a:extLst>
            <a:ext uri="{FF2B5EF4-FFF2-40B4-BE49-F238E27FC236}">
              <a16:creationId xmlns:a16="http://schemas.microsoft.com/office/drawing/2014/main" id="{00000000-0008-0000-0F00-0000B4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5" name="AutoShape 1">
          <a:extLst>
            <a:ext uri="{FF2B5EF4-FFF2-40B4-BE49-F238E27FC236}">
              <a16:creationId xmlns:a16="http://schemas.microsoft.com/office/drawing/2014/main" id="{00000000-0008-0000-0F00-0000B5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6" name="AutoShape 1">
          <a:extLst>
            <a:ext uri="{FF2B5EF4-FFF2-40B4-BE49-F238E27FC236}">
              <a16:creationId xmlns:a16="http://schemas.microsoft.com/office/drawing/2014/main" id="{00000000-0008-0000-0F00-0000B6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7" name="AutoShape 1">
          <a:extLst>
            <a:ext uri="{FF2B5EF4-FFF2-40B4-BE49-F238E27FC236}">
              <a16:creationId xmlns:a16="http://schemas.microsoft.com/office/drawing/2014/main" id="{00000000-0008-0000-0F00-0000B7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8" name="AutoShape 1">
          <a:extLst>
            <a:ext uri="{FF2B5EF4-FFF2-40B4-BE49-F238E27FC236}">
              <a16:creationId xmlns:a16="http://schemas.microsoft.com/office/drawing/2014/main" id="{00000000-0008-0000-0F00-0000B8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09" name="AutoShape 1">
          <a:extLst>
            <a:ext uri="{FF2B5EF4-FFF2-40B4-BE49-F238E27FC236}">
              <a16:creationId xmlns:a16="http://schemas.microsoft.com/office/drawing/2014/main" id="{00000000-0008-0000-0F00-0000B9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0" name="AutoShape 1">
          <a:extLst>
            <a:ext uri="{FF2B5EF4-FFF2-40B4-BE49-F238E27FC236}">
              <a16:creationId xmlns:a16="http://schemas.microsoft.com/office/drawing/2014/main" id="{00000000-0008-0000-0F00-0000BA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1" name="AutoShape 1">
          <a:extLst>
            <a:ext uri="{FF2B5EF4-FFF2-40B4-BE49-F238E27FC236}">
              <a16:creationId xmlns:a16="http://schemas.microsoft.com/office/drawing/2014/main" id="{00000000-0008-0000-0F00-0000BB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2" name="AutoShape 1">
          <a:extLst>
            <a:ext uri="{FF2B5EF4-FFF2-40B4-BE49-F238E27FC236}">
              <a16:creationId xmlns:a16="http://schemas.microsoft.com/office/drawing/2014/main" id="{00000000-0008-0000-0F00-0000BC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3" name="AutoShape 1">
          <a:extLst>
            <a:ext uri="{FF2B5EF4-FFF2-40B4-BE49-F238E27FC236}">
              <a16:creationId xmlns:a16="http://schemas.microsoft.com/office/drawing/2014/main" id="{00000000-0008-0000-0F00-0000BD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4" name="AutoShape 1">
          <a:extLst>
            <a:ext uri="{FF2B5EF4-FFF2-40B4-BE49-F238E27FC236}">
              <a16:creationId xmlns:a16="http://schemas.microsoft.com/office/drawing/2014/main" id="{00000000-0008-0000-0F00-0000BE040000}"/>
            </a:ext>
          </a:extLst>
        </xdr:cNvPr>
        <xdr:cNvSpPr>
          <a:spLocks noChangeAspect="1" noChangeArrowheads="1"/>
        </xdr:cNvSpPr>
      </xdr:nvSpPr>
      <xdr:spPr bwMode="auto">
        <a:xfrm>
          <a:off x="97790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5" name="AutoShape 1">
          <a:extLst>
            <a:ext uri="{FF2B5EF4-FFF2-40B4-BE49-F238E27FC236}">
              <a16:creationId xmlns:a16="http://schemas.microsoft.com/office/drawing/2014/main" id="{00000000-0008-0000-0F00-0000BF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6" name="AutoShape 1">
          <a:extLst>
            <a:ext uri="{FF2B5EF4-FFF2-40B4-BE49-F238E27FC236}">
              <a16:creationId xmlns:a16="http://schemas.microsoft.com/office/drawing/2014/main" id="{00000000-0008-0000-0F00-0000C0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7" name="AutoShape 1">
          <a:extLst>
            <a:ext uri="{FF2B5EF4-FFF2-40B4-BE49-F238E27FC236}">
              <a16:creationId xmlns:a16="http://schemas.microsoft.com/office/drawing/2014/main" id="{00000000-0008-0000-0F00-0000C1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8" name="AutoShape 1">
          <a:extLst>
            <a:ext uri="{FF2B5EF4-FFF2-40B4-BE49-F238E27FC236}">
              <a16:creationId xmlns:a16="http://schemas.microsoft.com/office/drawing/2014/main" id="{00000000-0008-0000-0F00-0000C2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19" name="AutoShape 1">
          <a:extLst>
            <a:ext uri="{FF2B5EF4-FFF2-40B4-BE49-F238E27FC236}">
              <a16:creationId xmlns:a16="http://schemas.microsoft.com/office/drawing/2014/main" id="{00000000-0008-0000-0F00-0000C3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0" name="AutoShape 1">
          <a:extLst>
            <a:ext uri="{FF2B5EF4-FFF2-40B4-BE49-F238E27FC236}">
              <a16:creationId xmlns:a16="http://schemas.microsoft.com/office/drawing/2014/main" id="{00000000-0008-0000-0F00-0000C4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1" name="AutoShape 1">
          <a:extLst>
            <a:ext uri="{FF2B5EF4-FFF2-40B4-BE49-F238E27FC236}">
              <a16:creationId xmlns:a16="http://schemas.microsoft.com/office/drawing/2014/main" id="{00000000-0008-0000-0F00-0000C5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2" name="AutoShape 1">
          <a:extLst>
            <a:ext uri="{FF2B5EF4-FFF2-40B4-BE49-F238E27FC236}">
              <a16:creationId xmlns:a16="http://schemas.microsoft.com/office/drawing/2014/main" id="{00000000-0008-0000-0F00-0000C6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3" name="AutoShape 1">
          <a:extLst>
            <a:ext uri="{FF2B5EF4-FFF2-40B4-BE49-F238E27FC236}">
              <a16:creationId xmlns:a16="http://schemas.microsoft.com/office/drawing/2014/main" id="{00000000-0008-0000-0F00-0000C7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4" name="AutoShape 1">
          <a:extLst>
            <a:ext uri="{FF2B5EF4-FFF2-40B4-BE49-F238E27FC236}">
              <a16:creationId xmlns:a16="http://schemas.microsoft.com/office/drawing/2014/main" id="{00000000-0008-0000-0F00-0000C8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5" name="AutoShape 1">
          <a:extLst>
            <a:ext uri="{FF2B5EF4-FFF2-40B4-BE49-F238E27FC236}">
              <a16:creationId xmlns:a16="http://schemas.microsoft.com/office/drawing/2014/main" id="{00000000-0008-0000-0F00-0000C9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6" name="AutoShape 1">
          <a:extLst>
            <a:ext uri="{FF2B5EF4-FFF2-40B4-BE49-F238E27FC236}">
              <a16:creationId xmlns:a16="http://schemas.microsoft.com/office/drawing/2014/main" id="{00000000-0008-0000-0F00-0000CA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7" name="AutoShape 1">
          <a:extLst>
            <a:ext uri="{FF2B5EF4-FFF2-40B4-BE49-F238E27FC236}">
              <a16:creationId xmlns:a16="http://schemas.microsoft.com/office/drawing/2014/main" id="{00000000-0008-0000-0F00-0000CB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8" name="AutoShape 1">
          <a:extLst>
            <a:ext uri="{FF2B5EF4-FFF2-40B4-BE49-F238E27FC236}">
              <a16:creationId xmlns:a16="http://schemas.microsoft.com/office/drawing/2014/main" id="{00000000-0008-0000-0F00-0000CC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29" name="AutoShape 1">
          <a:extLst>
            <a:ext uri="{FF2B5EF4-FFF2-40B4-BE49-F238E27FC236}">
              <a16:creationId xmlns:a16="http://schemas.microsoft.com/office/drawing/2014/main" id="{00000000-0008-0000-0F00-0000CD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0" name="AutoShape 1">
          <a:extLst>
            <a:ext uri="{FF2B5EF4-FFF2-40B4-BE49-F238E27FC236}">
              <a16:creationId xmlns:a16="http://schemas.microsoft.com/office/drawing/2014/main" id="{00000000-0008-0000-0F00-0000CE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1" name="AutoShape 1">
          <a:extLst>
            <a:ext uri="{FF2B5EF4-FFF2-40B4-BE49-F238E27FC236}">
              <a16:creationId xmlns:a16="http://schemas.microsoft.com/office/drawing/2014/main" id="{00000000-0008-0000-0F00-0000CF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2" name="AutoShape 1">
          <a:extLst>
            <a:ext uri="{FF2B5EF4-FFF2-40B4-BE49-F238E27FC236}">
              <a16:creationId xmlns:a16="http://schemas.microsoft.com/office/drawing/2014/main" id="{00000000-0008-0000-0F00-0000D0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3" name="AutoShape 1">
          <a:extLst>
            <a:ext uri="{FF2B5EF4-FFF2-40B4-BE49-F238E27FC236}">
              <a16:creationId xmlns:a16="http://schemas.microsoft.com/office/drawing/2014/main" id="{00000000-0008-0000-0F00-0000D1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4" name="AutoShape 1">
          <a:extLst>
            <a:ext uri="{FF2B5EF4-FFF2-40B4-BE49-F238E27FC236}">
              <a16:creationId xmlns:a16="http://schemas.microsoft.com/office/drawing/2014/main" id="{00000000-0008-0000-0F00-0000D2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5" name="AutoShape 1">
          <a:extLst>
            <a:ext uri="{FF2B5EF4-FFF2-40B4-BE49-F238E27FC236}">
              <a16:creationId xmlns:a16="http://schemas.microsoft.com/office/drawing/2014/main" id="{00000000-0008-0000-0F00-0000D3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6" name="AutoShape 1">
          <a:extLst>
            <a:ext uri="{FF2B5EF4-FFF2-40B4-BE49-F238E27FC236}">
              <a16:creationId xmlns:a16="http://schemas.microsoft.com/office/drawing/2014/main" id="{00000000-0008-0000-0F00-0000D4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7" name="AutoShape 1">
          <a:extLst>
            <a:ext uri="{FF2B5EF4-FFF2-40B4-BE49-F238E27FC236}">
              <a16:creationId xmlns:a16="http://schemas.microsoft.com/office/drawing/2014/main" id="{00000000-0008-0000-0F00-0000D5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8" name="AutoShape 1">
          <a:extLst>
            <a:ext uri="{FF2B5EF4-FFF2-40B4-BE49-F238E27FC236}">
              <a16:creationId xmlns:a16="http://schemas.microsoft.com/office/drawing/2014/main" id="{00000000-0008-0000-0F00-0000D6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39" name="AutoShape 1">
          <a:extLst>
            <a:ext uri="{FF2B5EF4-FFF2-40B4-BE49-F238E27FC236}">
              <a16:creationId xmlns:a16="http://schemas.microsoft.com/office/drawing/2014/main" id="{00000000-0008-0000-0F00-0000D7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0" name="AutoShape 1">
          <a:extLst>
            <a:ext uri="{FF2B5EF4-FFF2-40B4-BE49-F238E27FC236}">
              <a16:creationId xmlns:a16="http://schemas.microsoft.com/office/drawing/2014/main" id="{00000000-0008-0000-0F00-0000D8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1" name="AutoShape 1">
          <a:extLst>
            <a:ext uri="{FF2B5EF4-FFF2-40B4-BE49-F238E27FC236}">
              <a16:creationId xmlns:a16="http://schemas.microsoft.com/office/drawing/2014/main" id="{00000000-0008-0000-0F00-0000D9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2" name="AutoShape 1">
          <a:extLst>
            <a:ext uri="{FF2B5EF4-FFF2-40B4-BE49-F238E27FC236}">
              <a16:creationId xmlns:a16="http://schemas.microsoft.com/office/drawing/2014/main" id="{00000000-0008-0000-0F00-0000DA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3" name="AutoShape 1">
          <a:extLst>
            <a:ext uri="{FF2B5EF4-FFF2-40B4-BE49-F238E27FC236}">
              <a16:creationId xmlns:a16="http://schemas.microsoft.com/office/drawing/2014/main" id="{00000000-0008-0000-0F00-0000DB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4" name="AutoShape 1">
          <a:extLst>
            <a:ext uri="{FF2B5EF4-FFF2-40B4-BE49-F238E27FC236}">
              <a16:creationId xmlns:a16="http://schemas.microsoft.com/office/drawing/2014/main" id="{00000000-0008-0000-0F00-0000DC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5" name="AutoShape 1">
          <a:extLst>
            <a:ext uri="{FF2B5EF4-FFF2-40B4-BE49-F238E27FC236}">
              <a16:creationId xmlns:a16="http://schemas.microsoft.com/office/drawing/2014/main" id="{00000000-0008-0000-0F00-0000DD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6" name="AutoShape 1">
          <a:extLst>
            <a:ext uri="{FF2B5EF4-FFF2-40B4-BE49-F238E27FC236}">
              <a16:creationId xmlns:a16="http://schemas.microsoft.com/office/drawing/2014/main" id="{00000000-0008-0000-0F00-0000DE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7" name="AutoShape 1">
          <a:extLst>
            <a:ext uri="{FF2B5EF4-FFF2-40B4-BE49-F238E27FC236}">
              <a16:creationId xmlns:a16="http://schemas.microsoft.com/office/drawing/2014/main" id="{00000000-0008-0000-0F00-0000DF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8" name="AutoShape 1">
          <a:extLst>
            <a:ext uri="{FF2B5EF4-FFF2-40B4-BE49-F238E27FC236}">
              <a16:creationId xmlns:a16="http://schemas.microsoft.com/office/drawing/2014/main" id="{00000000-0008-0000-0F00-0000E0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49" name="AutoShape 1">
          <a:extLst>
            <a:ext uri="{FF2B5EF4-FFF2-40B4-BE49-F238E27FC236}">
              <a16:creationId xmlns:a16="http://schemas.microsoft.com/office/drawing/2014/main" id="{00000000-0008-0000-0F00-0000E1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0" name="AutoShape 1">
          <a:extLst>
            <a:ext uri="{FF2B5EF4-FFF2-40B4-BE49-F238E27FC236}">
              <a16:creationId xmlns:a16="http://schemas.microsoft.com/office/drawing/2014/main" id="{00000000-0008-0000-0F00-0000E2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1" name="AutoShape 1">
          <a:extLst>
            <a:ext uri="{FF2B5EF4-FFF2-40B4-BE49-F238E27FC236}">
              <a16:creationId xmlns:a16="http://schemas.microsoft.com/office/drawing/2014/main" id="{00000000-0008-0000-0F00-0000E3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2" name="AutoShape 1">
          <a:extLst>
            <a:ext uri="{FF2B5EF4-FFF2-40B4-BE49-F238E27FC236}">
              <a16:creationId xmlns:a16="http://schemas.microsoft.com/office/drawing/2014/main" id="{00000000-0008-0000-0F00-0000E4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3" name="AutoShape 1">
          <a:extLst>
            <a:ext uri="{FF2B5EF4-FFF2-40B4-BE49-F238E27FC236}">
              <a16:creationId xmlns:a16="http://schemas.microsoft.com/office/drawing/2014/main" id="{00000000-0008-0000-0F00-0000E5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4" name="AutoShape 1">
          <a:extLst>
            <a:ext uri="{FF2B5EF4-FFF2-40B4-BE49-F238E27FC236}">
              <a16:creationId xmlns:a16="http://schemas.microsoft.com/office/drawing/2014/main" id="{00000000-0008-0000-0F00-0000E6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5" name="AutoShape 1">
          <a:extLst>
            <a:ext uri="{FF2B5EF4-FFF2-40B4-BE49-F238E27FC236}">
              <a16:creationId xmlns:a16="http://schemas.microsoft.com/office/drawing/2014/main" id="{00000000-0008-0000-0F00-0000E7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6" name="AutoShape 1">
          <a:extLst>
            <a:ext uri="{FF2B5EF4-FFF2-40B4-BE49-F238E27FC236}">
              <a16:creationId xmlns:a16="http://schemas.microsoft.com/office/drawing/2014/main" id="{00000000-0008-0000-0F00-0000E8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7" name="AutoShape 1">
          <a:extLst>
            <a:ext uri="{FF2B5EF4-FFF2-40B4-BE49-F238E27FC236}">
              <a16:creationId xmlns:a16="http://schemas.microsoft.com/office/drawing/2014/main" id="{00000000-0008-0000-0F00-0000E9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8" name="AutoShape 1">
          <a:extLst>
            <a:ext uri="{FF2B5EF4-FFF2-40B4-BE49-F238E27FC236}">
              <a16:creationId xmlns:a16="http://schemas.microsoft.com/office/drawing/2014/main" id="{00000000-0008-0000-0F00-0000EA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59" name="AutoShape 1">
          <a:extLst>
            <a:ext uri="{FF2B5EF4-FFF2-40B4-BE49-F238E27FC236}">
              <a16:creationId xmlns:a16="http://schemas.microsoft.com/office/drawing/2014/main" id="{00000000-0008-0000-0F00-0000EB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0" name="AutoShape 1">
          <a:extLst>
            <a:ext uri="{FF2B5EF4-FFF2-40B4-BE49-F238E27FC236}">
              <a16:creationId xmlns:a16="http://schemas.microsoft.com/office/drawing/2014/main" id="{00000000-0008-0000-0F00-0000EC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1" name="AutoShape 1">
          <a:extLst>
            <a:ext uri="{FF2B5EF4-FFF2-40B4-BE49-F238E27FC236}">
              <a16:creationId xmlns:a16="http://schemas.microsoft.com/office/drawing/2014/main" id="{00000000-0008-0000-0F00-0000ED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2" name="AutoShape 1">
          <a:extLst>
            <a:ext uri="{FF2B5EF4-FFF2-40B4-BE49-F238E27FC236}">
              <a16:creationId xmlns:a16="http://schemas.microsoft.com/office/drawing/2014/main" id="{00000000-0008-0000-0F00-0000EE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3" name="AutoShape 1">
          <a:extLst>
            <a:ext uri="{FF2B5EF4-FFF2-40B4-BE49-F238E27FC236}">
              <a16:creationId xmlns:a16="http://schemas.microsoft.com/office/drawing/2014/main" id="{00000000-0008-0000-0F00-0000EF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4" name="AutoShape 1">
          <a:extLst>
            <a:ext uri="{FF2B5EF4-FFF2-40B4-BE49-F238E27FC236}">
              <a16:creationId xmlns:a16="http://schemas.microsoft.com/office/drawing/2014/main" id="{00000000-0008-0000-0F00-0000F0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5" name="AutoShape 1">
          <a:extLst>
            <a:ext uri="{FF2B5EF4-FFF2-40B4-BE49-F238E27FC236}">
              <a16:creationId xmlns:a16="http://schemas.microsoft.com/office/drawing/2014/main" id="{00000000-0008-0000-0F00-0000F1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6" name="AutoShape 1">
          <a:extLst>
            <a:ext uri="{FF2B5EF4-FFF2-40B4-BE49-F238E27FC236}">
              <a16:creationId xmlns:a16="http://schemas.microsoft.com/office/drawing/2014/main" id="{00000000-0008-0000-0F00-0000F2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7" name="AutoShape 1">
          <a:extLst>
            <a:ext uri="{FF2B5EF4-FFF2-40B4-BE49-F238E27FC236}">
              <a16:creationId xmlns:a16="http://schemas.microsoft.com/office/drawing/2014/main" id="{00000000-0008-0000-0F00-0000F3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8" name="AutoShape 1">
          <a:extLst>
            <a:ext uri="{FF2B5EF4-FFF2-40B4-BE49-F238E27FC236}">
              <a16:creationId xmlns:a16="http://schemas.microsoft.com/office/drawing/2014/main" id="{00000000-0008-0000-0F00-0000F4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69" name="AutoShape 1">
          <a:extLst>
            <a:ext uri="{FF2B5EF4-FFF2-40B4-BE49-F238E27FC236}">
              <a16:creationId xmlns:a16="http://schemas.microsoft.com/office/drawing/2014/main" id="{00000000-0008-0000-0F00-0000F5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0" name="AutoShape 1">
          <a:extLst>
            <a:ext uri="{FF2B5EF4-FFF2-40B4-BE49-F238E27FC236}">
              <a16:creationId xmlns:a16="http://schemas.microsoft.com/office/drawing/2014/main" id="{00000000-0008-0000-0F00-0000F6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1" name="AutoShape 1">
          <a:extLst>
            <a:ext uri="{FF2B5EF4-FFF2-40B4-BE49-F238E27FC236}">
              <a16:creationId xmlns:a16="http://schemas.microsoft.com/office/drawing/2014/main" id="{00000000-0008-0000-0F00-0000F7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2" name="AutoShape 1">
          <a:extLst>
            <a:ext uri="{FF2B5EF4-FFF2-40B4-BE49-F238E27FC236}">
              <a16:creationId xmlns:a16="http://schemas.microsoft.com/office/drawing/2014/main" id="{00000000-0008-0000-0F00-0000F8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3" name="AutoShape 1">
          <a:extLst>
            <a:ext uri="{FF2B5EF4-FFF2-40B4-BE49-F238E27FC236}">
              <a16:creationId xmlns:a16="http://schemas.microsoft.com/office/drawing/2014/main" id="{00000000-0008-0000-0F00-0000F9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4" name="AutoShape 1">
          <a:extLst>
            <a:ext uri="{FF2B5EF4-FFF2-40B4-BE49-F238E27FC236}">
              <a16:creationId xmlns:a16="http://schemas.microsoft.com/office/drawing/2014/main" id="{00000000-0008-0000-0F00-0000FA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5" name="AutoShape 1">
          <a:extLst>
            <a:ext uri="{FF2B5EF4-FFF2-40B4-BE49-F238E27FC236}">
              <a16:creationId xmlns:a16="http://schemas.microsoft.com/office/drawing/2014/main" id="{00000000-0008-0000-0F00-0000FB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6" name="AutoShape 1">
          <a:extLst>
            <a:ext uri="{FF2B5EF4-FFF2-40B4-BE49-F238E27FC236}">
              <a16:creationId xmlns:a16="http://schemas.microsoft.com/office/drawing/2014/main" id="{00000000-0008-0000-0F00-0000FC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7" name="AutoShape 1">
          <a:extLst>
            <a:ext uri="{FF2B5EF4-FFF2-40B4-BE49-F238E27FC236}">
              <a16:creationId xmlns:a16="http://schemas.microsoft.com/office/drawing/2014/main" id="{00000000-0008-0000-0F00-0000FD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8" name="AutoShape 1">
          <a:extLst>
            <a:ext uri="{FF2B5EF4-FFF2-40B4-BE49-F238E27FC236}">
              <a16:creationId xmlns:a16="http://schemas.microsoft.com/office/drawing/2014/main" id="{00000000-0008-0000-0F00-0000FE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79" name="AutoShape 1">
          <a:extLst>
            <a:ext uri="{FF2B5EF4-FFF2-40B4-BE49-F238E27FC236}">
              <a16:creationId xmlns:a16="http://schemas.microsoft.com/office/drawing/2014/main" id="{00000000-0008-0000-0F00-0000FF04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0" name="AutoShape 1">
          <a:extLst>
            <a:ext uri="{FF2B5EF4-FFF2-40B4-BE49-F238E27FC236}">
              <a16:creationId xmlns:a16="http://schemas.microsoft.com/office/drawing/2014/main" id="{00000000-0008-0000-0F00-000000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1" name="AutoShape 1">
          <a:extLst>
            <a:ext uri="{FF2B5EF4-FFF2-40B4-BE49-F238E27FC236}">
              <a16:creationId xmlns:a16="http://schemas.microsoft.com/office/drawing/2014/main" id="{00000000-0008-0000-0F00-000001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2" name="AutoShape 1">
          <a:extLst>
            <a:ext uri="{FF2B5EF4-FFF2-40B4-BE49-F238E27FC236}">
              <a16:creationId xmlns:a16="http://schemas.microsoft.com/office/drawing/2014/main" id="{00000000-0008-0000-0F00-000002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3" name="AutoShape 1">
          <a:extLst>
            <a:ext uri="{FF2B5EF4-FFF2-40B4-BE49-F238E27FC236}">
              <a16:creationId xmlns:a16="http://schemas.microsoft.com/office/drawing/2014/main" id="{00000000-0008-0000-0F00-000003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4" name="AutoShape 1">
          <a:extLst>
            <a:ext uri="{FF2B5EF4-FFF2-40B4-BE49-F238E27FC236}">
              <a16:creationId xmlns:a16="http://schemas.microsoft.com/office/drawing/2014/main" id="{00000000-0008-0000-0F00-000004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5" name="AutoShape 1">
          <a:extLst>
            <a:ext uri="{FF2B5EF4-FFF2-40B4-BE49-F238E27FC236}">
              <a16:creationId xmlns:a16="http://schemas.microsoft.com/office/drawing/2014/main" id="{00000000-0008-0000-0F00-000005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6" name="AutoShape 1">
          <a:extLst>
            <a:ext uri="{FF2B5EF4-FFF2-40B4-BE49-F238E27FC236}">
              <a16:creationId xmlns:a16="http://schemas.microsoft.com/office/drawing/2014/main" id="{00000000-0008-0000-0F00-000006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7" name="AutoShape 1">
          <a:extLst>
            <a:ext uri="{FF2B5EF4-FFF2-40B4-BE49-F238E27FC236}">
              <a16:creationId xmlns:a16="http://schemas.microsoft.com/office/drawing/2014/main" id="{00000000-0008-0000-0F00-000007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8" name="AutoShape 1">
          <a:extLst>
            <a:ext uri="{FF2B5EF4-FFF2-40B4-BE49-F238E27FC236}">
              <a16:creationId xmlns:a16="http://schemas.microsoft.com/office/drawing/2014/main" id="{00000000-0008-0000-0F00-000008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89" name="AutoShape 1">
          <a:extLst>
            <a:ext uri="{FF2B5EF4-FFF2-40B4-BE49-F238E27FC236}">
              <a16:creationId xmlns:a16="http://schemas.microsoft.com/office/drawing/2014/main" id="{00000000-0008-0000-0F00-000009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0" name="AutoShape 1">
          <a:extLst>
            <a:ext uri="{FF2B5EF4-FFF2-40B4-BE49-F238E27FC236}">
              <a16:creationId xmlns:a16="http://schemas.microsoft.com/office/drawing/2014/main" id="{00000000-0008-0000-0F00-00000A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1" name="AutoShape 1">
          <a:extLst>
            <a:ext uri="{FF2B5EF4-FFF2-40B4-BE49-F238E27FC236}">
              <a16:creationId xmlns:a16="http://schemas.microsoft.com/office/drawing/2014/main" id="{00000000-0008-0000-0F00-00000B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2" name="AutoShape 1">
          <a:extLst>
            <a:ext uri="{FF2B5EF4-FFF2-40B4-BE49-F238E27FC236}">
              <a16:creationId xmlns:a16="http://schemas.microsoft.com/office/drawing/2014/main" id="{00000000-0008-0000-0F00-00000C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3" name="AutoShape 1">
          <a:extLst>
            <a:ext uri="{FF2B5EF4-FFF2-40B4-BE49-F238E27FC236}">
              <a16:creationId xmlns:a16="http://schemas.microsoft.com/office/drawing/2014/main" id="{00000000-0008-0000-0F00-00000D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4" name="AutoShape 1">
          <a:extLst>
            <a:ext uri="{FF2B5EF4-FFF2-40B4-BE49-F238E27FC236}">
              <a16:creationId xmlns:a16="http://schemas.microsoft.com/office/drawing/2014/main" id="{00000000-0008-0000-0F00-00000E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5" name="AutoShape 1">
          <a:extLst>
            <a:ext uri="{FF2B5EF4-FFF2-40B4-BE49-F238E27FC236}">
              <a16:creationId xmlns:a16="http://schemas.microsoft.com/office/drawing/2014/main" id="{00000000-0008-0000-0F00-00000F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6" name="AutoShape 1">
          <a:extLst>
            <a:ext uri="{FF2B5EF4-FFF2-40B4-BE49-F238E27FC236}">
              <a16:creationId xmlns:a16="http://schemas.microsoft.com/office/drawing/2014/main" id="{00000000-0008-0000-0F00-000010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7" name="AutoShape 1">
          <a:extLst>
            <a:ext uri="{FF2B5EF4-FFF2-40B4-BE49-F238E27FC236}">
              <a16:creationId xmlns:a16="http://schemas.microsoft.com/office/drawing/2014/main" id="{00000000-0008-0000-0F00-000011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8" name="AutoShape 1">
          <a:extLst>
            <a:ext uri="{FF2B5EF4-FFF2-40B4-BE49-F238E27FC236}">
              <a16:creationId xmlns:a16="http://schemas.microsoft.com/office/drawing/2014/main" id="{00000000-0008-0000-0F00-000012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299" name="AutoShape 1">
          <a:extLst>
            <a:ext uri="{FF2B5EF4-FFF2-40B4-BE49-F238E27FC236}">
              <a16:creationId xmlns:a16="http://schemas.microsoft.com/office/drawing/2014/main" id="{00000000-0008-0000-0F00-000013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0" name="AutoShape 1">
          <a:extLst>
            <a:ext uri="{FF2B5EF4-FFF2-40B4-BE49-F238E27FC236}">
              <a16:creationId xmlns:a16="http://schemas.microsoft.com/office/drawing/2014/main" id="{00000000-0008-0000-0F00-000014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1" name="AutoShape 1">
          <a:extLst>
            <a:ext uri="{FF2B5EF4-FFF2-40B4-BE49-F238E27FC236}">
              <a16:creationId xmlns:a16="http://schemas.microsoft.com/office/drawing/2014/main" id="{00000000-0008-0000-0F00-000015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2" name="AutoShape 1">
          <a:extLst>
            <a:ext uri="{FF2B5EF4-FFF2-40B4-BE49-F238E27FC236}">
              <a16:creationId xmlns:a16="http://schemas.microsoft.com/office/drawing/2014/main" id="{00000000-0008-0000-0F00-000016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3" name="AutoShape 1">
          <a:extLst>
            <a:ext uri="{FF2B5EF4-FFF2-40B4-BE49-F238E27FC236}">
              <a16:creationId xmlns:a16="http://schemas.microsoft.com/office/drawing/2014/main" id="{00000000-0008-0000-0F00-000017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4" name="AutoShape 1">
          <a:extLst>
            <a:ext uri="{FF2B5EF4-FFF2-40B4-BE49-F238E27FC236}">
              <a16:creationId xmlns:a16="http://schemas.microsoft.com/office/drawing/2014/main" id="{00000000-0008-0000-0F00-000018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5" name="AutoShape 1">
          <a:extLst>
            <a:ext uri="{FF2B5EF4-FFF2-40B4-BE49-F238E27FC236}">
              <a16:creationId xmlns:a16="http://schemas.microsoft.com/office/drawing/2014/main" id="{00000000-0008-0000-0F00-000019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6" name="AutoShape 1">
          <a:extLst>
            <a:ext uri="{FF2B5EF4-FFF2-40B4-BE49-F238E27FC236}">
              <a16:creationId xmlns:a16="http://schemas.microsoft.com/office/drawing/2014/main" id="{00000000-0008-0000-0F00-00001A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7" name="AutoShape 1">
          <a:extLst>
            <a:ext uri="{FF2B5EF4-FFF2-40B4-BE49-F238E27FC236}">
              <a16:creationId xmlns:a16="http://schemas.microsoft.com/office/drawing/2014/main" id="{00000000-0008-0000-0F00-00001B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8" name="AutoShape 1">
          <a:extLst>
            <a:ext uri="{FF2B5EF4-FFF2-40B4-BE49-F238E27FC236}">
              <a16:creationId xmlns:a16="http://schemas.microsoft.com/office/drawing/2014/main" id="{00000000-0008-0000-0F00-00001C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09" name="AutoShape 1">
          <a:extLst>
            <a:ext uri="{FF2B5EF4-FFF2-40B4-BE49-F238E27FC236}">
              <a16:creationId xmlns:a16="http://schemas.microsoft.com/office/drawing/2014/main" id="{00000000-0008-0000-0F00-00001D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0" name="AutoShape 1">
          <a:extLst>
            <a:ext uri="{FF2B5EF4-FFF2-40B4-BE49-F238E27FC236}">
              <a16:creationId xmlns:a16="http://schemas.microsoft.com/office/drawing/2014/main" id="{00000000-0008-0000-0F00-00001E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1" name="AutoShape 1">
          <a:extLst>
            <a:ext uri="{FF2B5EF4-FFF2-40B4-BE49-F238E27FC236}">
              <a16:creationId xmlns:a16="http://schemas.microsoft.com/office/drawing/2014/main" id="{00000000-0008-0000-0F00-00001F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2" name="AutoShape 1">
          <a:extLst>
            <a:ext uri="{FF2B5EF4-FFF2-40B4-BE49-F238E27FC236}">
              <a16:creationId xmlns:a16="http://schemas.microsoft.com/office/drawing/2014/main" id="{00000000-0008-0000-0F00-000020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3" name="AutoShape 1">
          <a:extLst>
            <a:ext uri="{FF2B5EF4-FFF2-40B4-BE49-F238E27FC236}">
              <a16:creationId xmlns:a16="http://schemas.microsoft.com/office/drawing/2014/main" id="{00000000-0008-0000-0F00-000021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4" name="AutoShape 1">
          <a:extLst>
            <a:ext uri="{FF2B5EF4-FFF2-40B4-BE49-F238E27FC236}">
              <a16:creationId xmlns:a16="http://schemas.microsoft.com/office/drawing/2014/main" id="{00000000-0008-0000-0F00-000022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5" name="AutoShape 1">
          <a:extLst>
            <a:ext uri="{FF2B5EF4-FFF2-40B4-BE49-F238E27FC236}">
              <a16:creationId xmlns:a16="http://schemas.microsoft.com/office/drawing/2014/main" id="{00000000-0008-0000-0F00-000023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6" name="AutoShape 1">
          <a:extLst>
            <a:ext uri="{FF2B5EF4-FFF2-40B4-BE49-F238E27FC236}">
              <a16:creationId xmlns:a16="http://schemas.microsoft.com/office/drawing/2014/main" id="{00000000-0008-0000-0F00-000024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7" name="AutoShape 1">
          <a:extLst>
            <a:ext uri="{FF2B5EF4-FFF2-40B4-BE49-F238E27FC236}">
              <a16:creationId xmlns:a16="http://schemas.microsoft.com/office/drawing/2014/main" id="{00000000-0008-0000-0F00-000025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8" name="AutoShape 1">
          <a:extLst>
            <a:ext uri="{FF2B5EF4-FFF2-40B4-BE49-F238E27FC236}">
              <a16:creationId xmlns:a16="http://schemas.microsoft.com/office/drawing/2014/main" id="{00000000-0008-0000-0F00-000026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19" name="AutoShape 1">
          <a:extLst>
            <a:ext uri="{FF2B5EF4-FFF2-40B4-BE49-F238E27FC236}">
              <a16:creationId xmlns:a16="http://schemas.microsoft.com/office/drawing/2014/main" id="{00000000-0008-0000-0F00-000027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0" name="AutoShape 1">
          <a:extLst>
            <a:ext uri="{FF2B5EF4-FFF2-40B4-BE49-F238E27FC236}">
              <a16:creationId xmlns:a16="http://schemas.microsoft.com/office/drawing/2014/main" id="{00000000-0008-0000-0F00-000028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1" name="AutoShape 1">
          <a:extLst>
            <a:ext uri="{FF2B5EF4-FFF2-40B4-BE49-F238E27FC236}">
              <a16:creationId xmlns:a16="http://schemas.microsoft.com/office/drawing/2014/main" id="{00000000-0008-0000-0F00-000029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2" name="AutoShape 1">
          <a:extLst>
            <a:ext uri="{FF2B5EF4-FFF2-40B4-BE49-F238E27FC236}">
              <a16:creationId xmlns:a16="http://schemas.microsoft.com/office/drawing/2014/main" id="{00000000-0008-0000-0F00-00002A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3" name="AutoShape 1">
          <a:extLst>
            <a:ext uri="{FF2B5EF4-FFF2-40B4-BE49-F238E27FC236}">
              <a16:creationId xmlns:a16="http://schemas.microsoft.com/office/drawing/2014/main" id="{00000000-0008-0000-0F00-00002B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4" name="AutoShape 1">
          <a:extLst>
            <a:ext uri="{FF2B5EF4-FFF2-40B4-BE49-F238E27FC236}">
              <a16:creationId xmlns:a16="http://schemas.microsoft.com/office/drawing/2014/main" id="{00000000-0008-0000-0F00-00002C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5" name="AutoShape 1">
          <a:extLst>
            <a:ext uri="{FF2B5EF4-FFF2-40B4-BE49-F238E27FC236}">
              <a16:creationId xmlns:a16="http://schemas.microsoft.com/office/drawing/2014/main" id="{00000000-0008-0000-0F00-00002D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6" name="AutoShape 1">
          <a:extLst>
            <a:ext uri="{FF2B5EF4-FFF2-40B4-BE49-F238E27FC236}">
              <a16:creationId xmlns:a16="http://schemas.microsoft.com/office/drawing/2014/main" id="{00000000-0008-0000-0F00-00002E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7" name="AutoShape 1">
          <a:extLst>
            <a:ext uri="{FF2B5EF4-FFF2-40B4-BE49-F238E27FC236}">
              <a16:creationId xmlns:a16="http://schemas.microsoft.com/office/drawing/2014/main" id="{00000000-0008-0000-0F00-00002F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8" name="AutoShape 1">
          <a:extLst>
            <a:ext uri="{FF2B5EF4-FFF2-40B4-BE49-F238E27FC236}">
              <a16:creationId xmlns:a16="http://schemas.microsoft.com/office/drawing/2014/main" id="{00000000-0008-0000-0F00-000030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29" name="AutoShape 1">
          <a:extLst>
            <a:ext uri="{FF2B5EF4-FFF2-40B4-BE49-F238E27FC236}">
              <a16:creationId xmlns:a16="http://schemas.microsoft.com/office/drawing/2014/main" id="{00000000-0008-0000-0F00-000031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0" name="AutoShape 1">
          <a:extLst>
            <a:ext uri="{FF2B5EF4-FFF2-40B4-BE49-F238E27FC236}">
              <a16:creationId xmlns:a16="http://schemas.microsoft.com/office/drawing/2014/main" id="{00000000-0008-0000-0F00-000032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1" name="AutoShape 1">
          <a:extLst>
            <a:ext uri="{FF2B5EF4-FFF2-40B4-BE49-F238E27FC236}">
              <a16:creationId xmlns:a16="http://schemas.microsoft.com/office/drawing/2014/main" id="{00000000-0008-0000-0F00-000033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2" name="AutoShape 1">
          <a:extLst>
            <a:ext uri="{FF2B5EF4-FFF2-40B4-BE49-F238E27FC236}">
              <a16:creationId xmlns:a16="http://schemas.microsoft.com/office/drawing/2014/main" id="{00000000-0008-0000-0F00-000034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3" name="AutoShape 1">
          <a:extLst>
            <a:ext uri="{FF2B5EF4-FFF2-40B4-BE49-F238E27FC236}">
              <a16:creationId xmlns:a16="http://schemas.microsoft.com/office/drawing/2014/main" id="{00000000-0008-0000-0F00-000035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4" name="AutoShape 1">
          <a:extLst>
            <a:ext uri="{FF2B5EF4-FFF2-40B4-BE49-F238E27FC236}">
              <a16:creationId xmlns:a16="http://schemas.microsoft.com/office/drawing/2014/main" id="{00000000-0008-0000-0F00-000036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5" name="AutoShape 1">
          <a:extLst>
            <a:ext uri="{FF2B5EF4-FFF2-40B4-BE49-F238E27FC236}">
              <a16:creationId xmlns:a16="http://schemas.microsoft.com/office/drawing/2014/main" id="{00000000-0008-0000-0F00-000037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6" name="AutoShape 1">
          <a:extLst>
            <a:ext uri="{FF2B5EF4-FFF2-40B4-BE49-F238E27FC236}">
              <a16:creationId xmlns:a16="http://schemas.microsoft.com/office/drawing/2014/main" id="{00000000-0008-0000-0F00-000038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7" name="AutoShape 1">
          <a:extLst>
            <a:ext uri="{FF2B5EF4-FFF2-40B4-BE49-F238E27FC236}">
              <a16:creationId xmlns:a16="http://schemas.microsoft.com/office/drawing/2014/main" id="{00000000-0008-0000-0F00-000039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8" name="AutoShape 1">
          <a:extLst>
            <a:ext uri="{FF2B5EF4-FFF2-40B4-BE49-F238E27FC236}">
              <a16:creationId xmlns:a16="http://schemas.microsoft.com/office/drawing/2014/main" id="{00000000-0008-0000-0F00-00003A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39" name="AutoShape 1">
          <a:extLst>
            <a:ext uri="{FF2B5EF4-FFF2-40B4-BE49-F238E27FC236}">
              <a16:creationId xmlns:a16="http://schemas.microsoft.com/office/drawing/2014/main" id="{00000000-0008-0000-0F00-00003B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0" name="AutoShape 1">
          <a:extLst>
            <a:ext uri="{FF2B5EF4-FFF2-40B4-BE49-F238E27FC236}">
              <a16:creationId xmlns:a16="http://schemas.microsoft.com/office/drawing/2014/main" id="{00000000-0008-0000-0F00-00003C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1" name="AutoShape 1">
          <a:extLst>
            <a:ext uri="{FF2B5EF4-FFF2-40B4-BE49-F238E27FC236}">
              <a16:creationId xmlns:a16="http://schemas.microsoft.com/office/drawing/2014/main" id="{00000000-0008-0000-0F00-00003D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2" name="AutoShape 1">
          <a:extLst>
            <a:ext uri="{FF2B5EF4-FFF2-40B4-BE49-F238E27FC236}">
              <a16:creationId xmlns:a16="http://schemas.microsoft.com/office/drawing/2014/main" id="{00000000-0008-0000-0F00-00003E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3" name="AutoShape 1">
          <a:extLst>
            <a:ext uri="{FF2B5EF4-FFF2-40B4-BE49-F238E27FC236}">
              <a16:creationId xmlns:a16="http://schemas.microsoft.com/office/drawing/2014/main" id="{00000000-0008-0000-0F00-00003F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4" name="AutoShape 1">
          <a:extLst>
            <a:ext uri="{FF2B5EF4-FFF2-40B4-BE49-F238E27FC236}">
              <a16:creationId xmlns:a16="http://schemas.microsoft.com/office/drawing/2014/main" id="{00000000-0008-0000-0F00-000040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5" name="AutoShape 1">
          <a:extLst>
            <a:ext uri="{FF2B5EF4-FFF2-40B4-BE49-F238E27FC236}">
              <a16:creationId xmlns:a16="http://schemas.microsoft.com/office/drawing/2014/main" id="{00000000-0008-0000-0F00-000041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6" name="AutoShape 1">
          <a:extLst>
            <a:ext uri="{FF2B5EF4-FFF2-40B4-BE49-F238E27FC236}">
              <a16:creationId xmlns:a16="http://schemas.microsoft.com/office/drawing/2014/main" id="{00000000-0008-0000-0F00-000042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7" name="AutoShape 1">
          <a:extLst>
            <a:ext uri="{FF2B5EF4-FFF2-40B4-BE49-F238E27FC236}">
              <a16:creationId xmlns:a16="http://schemas.microsoft.com/office/drawing/2014/main" id="{00000000-0008-0000-0F00-000043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8" name="AutoShape 1">
          <a:extLst>
            <a:ext uri="{FF2B5EF4-FFF2-40B4-BE49-F238E27FC236}">
              <a16:creationId xmlns:a16="http://schemas.microsoft.com/office/drawing/2014/main" id="{00000000-0008-0000-0F00-000044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49" name="AutoShape 1">
          <a:extLst>
            <a:ext uri="{FF2B5EF4-FFF2-40B4-BE49-F238E27FC236}">
              <a16:creationId xmlns:a16="http://schemas.microsoft.com/office/drawing/2014/main" id="{00000000-0008-0000-0F00-000045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0" name="AutoShape 1">
          <a:extLst>
            <a:ext uri="{FF2B5EF4-FFF2-40B4-BE49-F238E27FC236}">
              <a16:creationId xmlns:a16="http://schemas.microsoft.com/office/drawing/2014/main" id="{00000000-0008-0000-0F00-000046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1" name="AutoShape 1">
          <a:extLst>
            <a:ext uri="{FF2B5EF4-FFF2-40B4-BE49-F238E27FC236}">
              <a16:creationId xmlns:a16="http://schemas.microsoft.com/office/drawing/2014/main" id="{00000000-0008-0000-0F00-000047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2" name="AutoShape 1">
          <a:extLst>
            <a:ext uri="{FF2B5EF4-FFF2-40B4-BE49-F238E27FC236}">
              <a16:creationId xmlns:a16="http://schemas.microsoft.com/office/drawing/2014/main" id="{00000000-0008-0000-0F00-000048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3" name="AutoShape 1">
          <a:extLst>
            <a:ext uri="{FF2B5EF4-FFF2-40B4-BE49-F238E27FC236}">
              <a16:creationId xmlns:a16="http://schemas.microsoft.com/office/drawing/2014/main" id="{00000000-0008-0000-0F00-000049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4" name="AutoShape 1">
          <a:extLst>
            <a:ext uri="{FF2B5EF4-FFF2-40B4-BE49-F238E27FC236}">
              <a16:creationId xmlns:a16="http://schemas.microsoft.com/office/drawing/2014/main" id="{00000000-0008-0000-0F00-00004A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5" name="AutoShape 1">
          <a:extLst>
            <a:ext uri="{FF2B5EF4-FFF2-40B4-BE49-F238E27FC236}">
              <a16:creationId xmlns:a16="http://schemas.microsoft.com/office/drawing/2014/main" id="{00000000-0008-0000-0F00-00004B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6" name="AutoShape 1">
          <a:extLst>
            <a:ext uri="{FF2B5EF4-FFF2-40B4-BE49-F238E27FC236}">
              <a16:creationId xmlns:a16="http://schemas.microsoft.com/office/drawing/2014/main" id="{00000000-0008-0000-0F00-00004C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7" name="AutoShape 1">
          <a:extLst>
            <a:ext uri="{FF2B5EF4-FFF2-40B4-BE49-F238E27FC236}">
              <a16:creationId xmlns:a16="http://schemas.microsoft.com/office/drawing/2014/main" id="{00000000-0008-0000-0F00-00004D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8" name="AutoShape 1">
          <a:extLst>
            <a:ext uri="{FF2B5EF4-FFF2-40B4-BE49-F238E27FC236}">
              <a16:creationId xmlns:a16="http://schemas.microsoft.com/office/drawing/2014/main" id="{00000000-0008-0000-0F00-00004E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59" name="AutoShape 1">
          <a:extLst>
            <a:ext uri="{FF2B5EF4-FFF2-40B4-BE49-F238E27FC236}">
              <a16:creationId xmlns:a16="http://schemas.microsoft.com/office/drawing/2014/main" id="{00000000-0008-0000-0F00-00004F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0" name="AutoShape 1">
          <a:extLst>
            <a:ext uri="{FF2B5EF4-FFF2-40B4-BE49-F238E27FC236}">
              <a16:creationId xmlns:a16="http://schemas.microsoft.com/office/drawing/2014/main" id="{00000000-0008-0000-0F00-000050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1" name="AutoShape 1">
          <a:extLst>
            <a:ext uri="{FF2B5EF4-FFF2-40B4-BE49-F238E27FC236}">
              <a16:creationId xmlns:a16="http://schemas.microsoft.com/office/drawing/2014/main" id="{00000000-0008-0000-0F00-000051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2" name="AutoShape 1">
          <a:extLst>
            <a:ext uri="{FF2B5EF4-FFF2-40B4-BE49-F238E27FC236}">
              <a16:creationId xmlns:a16="http://schemas.microsoft.com/office/drawing/2014/main" id="{00000000-0008-0000-0F00-000052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3" name="AutoShape 1">
          <a:extLst>
            <a:ext uri="{FF2B5EF4-FFF2-40B4-BE49-F238E27FC236}">
              <a16:creationId xmlns:a16="http://schemas.microsoft.com/office/drawing/2014/main" id="{00000000-0008-0000-0F00-00005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4" name="AutoShape 1">
          <a:extLst>
            <a:ext uri="{FF2B5EF4-FFF2-40B4-BE49-F238E27FC236}">
              <a16:creationId xmlns:a16="http://schemas.microsoft.com/office/drawing/2014/main" id="{00000000-0008-0000-0F00-00005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5" name="AutoShape 1">
          <a:extLst>
            <a:ext uri="{FF2B5EF4-FFF2-40B4-BE49-F238E27FC236}">
              <a16:creationId xmlns:a16="http://schemas.microsoft.com/office/drawing/2014/main" id="{00000000-0008-0000-0F00-000055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6" name="AutoShape 1">
          <a:extLst>
            <a:ext uri="{FF2B5EF4-FFF2-40B4-BE49-F238E27FC236}">
              <a16:creationId xmlns:a16="http://schemas.microsoft.com/office/drawing/2014/main" id="{00000000-0008-0000-0F00-000056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7" name="AutoShape 1">
          <a:extLst>
            <a:ext uri="{FF2B5EF4-FFF2-40B4-BE49-F238E27FC236}">
              <a16:creationId xmlns:a16="http://schemas.microsoft.com/office/drawing/2014/main" id="{00000000-0008-0000-0F00-000057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8" name="AutoShape 1">
          <a:extLst>
            <a:ext uri="{FF2B5EF4-FFF2-40B4-BE49-F238E27FC236}">
              <a16:creationId xmlns:a16="http://schemas.microsoft.com/office/drawing/2014/main" id="{00000000-0008-0000-0F00-000058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69" name="AutoShape 1">
          <a:extLst>
            <a:ext uri="{FF2B5EF4-FFF2-40B4-BE49-F238E27FC236}">
              <a16:creationId xmlns:a16="http://schemas.microsoft.com/office/drawing/2014/main" id="{00000000-0008-0000-0F00-00005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0" name="AutoShape 1">
          <a:extLst>
            <a:ext uri="{FF2B5EF4-FFF2-40B4-BE49-F238E27FC236}">
              <a16:creationId xmlns:a16="http://schemas.microsoft.com/office/drawing/2014/main" id="{00000000-0008-0000-0F00-00005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1" name="AutoShape 1">
          <a:extLst>
            <a:ext uri="{FF2B5EF4-FFF2-40B4-BE49-F238E27FC236}">
              <a16:creationId xmlns:a16="http://schemas.microsoft.com/office/drawing/2014/main" id="{00000000-0008-0000-0F00-00005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2" name="AutoShape 1">
          <a:extLst>
            <a:ext uri="{FF2B5EF4-FFF2-40B4-BE49-F238E27FC236}">
              <a16:creationId xmlns:a16="http://schemas.microsoft.com/office/drawing/2014/main" id="{00000000-0008-0000-0F00-00005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3" name="AutoShape 1">
          <a:extLst>
            <a:ext uri="{FF2B5EF4-FFF2-40B4-BE49-F238E27FC236}">
              <a16:creationId xmlns:a16="http://schemas.microsoft.com/office/drawing/2014/main" id="{00000000-0008-0000-0F00-00005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4" name="AutoShape 1">
          <a:extLst>
            <a:ext uri="{FF2B5EF4-FFF2-40B4-BE49-F238E27FC236}">
              <a16:creationId xmlns:a16="http://schemas.microsoft.com/office/drawing/2014/main" id="{00000000-0008-0000-0F00-00005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5" name="AutoShape 1">
          <a:extLst>
            <a:ext uri="{FF2B5EF4-FFF2-40B4-BE49-F238E27FC236}">
              <a16:creationId xmlns:a16="http://schemas.microsoft.com/office/drawing/2014/main" id="{00000000-0008-0000-0F00-00005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6" name="AutoShape 1">
          <a:extLst>
            <a:ext uri="{FF2B5EF4-FFF2-40B4-BE49-F238E27FC236}">
              <a16:creationId xmlns:a16="http://schemas.microsoft.com/office/drawing/2014/main" id="{00000000-0008-0000-0F00-00006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7" name="AutoShape 1">
          <a:extLst>
            <a:ext uri="{FF2B5EF4-FFF2-40B4-BE49-F238E27FC236}">
              <a16:creationId xmlns:a16="http://schemas.microsoft.com/office/drawing/2014/main" id="{00000000-0008-0000-0F00-00006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8" name="AutoShape 1">
          <a:extLst>
            <a:ext uri="{FF2B5EF4-FFF2-40B4-BE49-F238E27FC236}">
              <a16:creationId xmlns:a16="http://schemas.microsoft.com/office/drawing/2014/main" id="{00000000-0008-0000-0F00-00006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79" name="AutoShape 1">
          <a:extLst>
            <a:ext uri="{FF2B5EF4-FFF2-40B4-BE49-F238E27FC236}">
              <a16:creationId xmlns:a16="http://schemas.microsoft.com/office/drawing/2014/main" id="{00000000-0008-0000-0F00-000063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0" name="AutoShape 1">
          <a:extLst>
            <a:ext uri="{FF2B5EF4-FFF2-40B4-BE49-F238E27FC236}">
              <a16:creationId xmlns:a16="http://schemas.microsoft.com/office/drawing/2014/main" id="{00000000-0008-0000-0F00-000064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1" name="AutoShape 1">
          <a:extLst>
            <a:ext uri="{FF2B5EF4-FFF2-40B4-BE49-F238E27FC236}">
              <a16:creationId xmlns:a16="http://schemas.microsoft.com/office/drawing/2014/main" id="{00000000-0008-0000-0F00-000065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2" name="AutoShape 1">
          <a:extLst>
            <a:ext uri="{FF2B5EF4-FFF2-40B4-BE49-F238E27FC236}">
              <a16:creationId xmlns:a16="http://schemas.microsoft.com/office/drawing/2014/main" id="{00000000-0008-0000-0F00-000066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3" name="AutoShape 1">
          <a:extLst>
            <a:ext uri="{FF2B5EF4-FFF2-40B4-BE49-F238E27FC236}">
              <a16:creationId xmlns:a16="http://schemas.microsoft.com/office/drawing/2014/main" id="{00000000-0008-0000-0F00-000067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4" name="AutoShape 1">
          <a:extLst>
            <a:ext uri="{FF2B5EF4-FFF2-40B4-BE49-F238E27FC236}">
              <a16:creationId xmlns:a16="http://schemas.microsoft.com/office/drawing/2014/main" id="{00000000-0008-0000-0F00-000068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5" name="AutoShape 1">
          <a:extLst>
            <a:ext uri="{FF2B5EF4-FFF2-40B4-BE49-F238E27FC236}">
              <a16:creationId xmlns:a16="http://schemas.microsoft.com/office/drawing/2014/main" id="{00000000-0008-0000-0F00-000069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6" name="AutoShape 1">
          <a:extLst>
            <a:ext uri="{FF2B5EF4-FFF2-40B4-BE49-F238E27FC236}">
              <a16:creationId xmlns:a16="http://schemas.microsoft.com/office/drawing/2014/main" id="{00000000-0008-0000-0F00-00006A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7" name="AutoShape 1">
          <a:extLst>
            <a:ext uri="{FF2B5EF4-FFF2-40B4-BE49-F238E27FC236}">
              <a16:creationId xmlns:a16="http://schemas.microsoft.com/office/drawing/2014/main" id="{00000000-0008-0000-0F00-00006B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8" name="AutoShape 1">
          <a:extLst>
            <a:ext uri="{FF2B5EF4-FFF2-40B4-BE49-F238E27FC236}">
              <a16:creationId xmlns:a16="http://schemas.microsoft.com/office/drawing/2014/main" id="{00000000-0008-0000-0F00-00006C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89" name="AutoShape 1">
          <a:extLst>
            <a:ext uri="{FF2B5EF4-FFF2-40B4-BE49-F238E27FC236}">
              <a16:creationId xmlns:a16="http://schemas.microsoft.com/office/drawing/2014/main" id="{00000000-0008-0000-0F00-00006D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0" name="AutoShape 1">
          <a:extLst>
            <a:ext uri="{FF2B5EF4-FFF2-40B4-BE49-F238E27FC236}">
              <a16:creationId xmlns:a16="http://schemas.microsoft.com/office/drawing/2014/main" id="{00000000-0008-0000-0F00-00006E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1" name="AutoShape 1">
          <a:extLst>
            <a:ext uri="{FF2B5EF4-FFF2-40B4-BE49-F238E27FC236}">
              <a16:creationId xmlns:a16="http://schemas.microsoft.com/office/drawing/2014/main" id="{00000000-0008-0000-0F00-00006F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2" name="AutoShape 1">
          <a:extLst>
            <a:ext uri="{FF2B5EF4-FFF2-40B4-BE49-F238E27FC236}">
              <a16:creationId xmlns:a16="http://schemas.microsoft.com/office/drawing/2014/main" id="{00000000-0008-0000-0F00-000070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3" name="AutoShape 1">
          <a:extLst>
            <a:ext uri="{FF2B5EF4-FFF2-40B4-BE49-F238E27FC236}">
              <a16:creationId xmlns:a16="http://schemas.microsoft.com/office/drawing/2014/main" id="{00000000-0008-0000-0F00-000071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4" name="AutoShape 1">
          <a:extLst>
            <a:ext uri="{FF2B5EF4-FFF2-40B4-BE49-F238E27FC236}">
              <a16:creationId xmlns:a16="http://schemas.microsoft.com/office/drawing/2014/main" id="{00000000-0008-0000-0F00-000072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5" name="AutoShape 1">
          <a:extLst>
            <a:ext uri="{FF2B5EF4-FFF2-40B4-BE49-F238E27FC236}">
              <a16:creationId xmlns:a16="http://schemas.microsoft.com/office/drawing/2014/main" id="{00000000-0008-0000-0F00-000073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6" name="AutoShape 1">
          <a:extLst>
            <a:ext uri="{FF2B5EF4-FFF2-40B4-BE49-F238E27FC236}">
              <a16:creationId xmlns:a16="http://schemas.microsoft.com/office/drawing/2014/main" id="{00000000-0008-0000-0F00-000074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7" name="AutoShape 1">
          <a:extLst>
            <a:ext uri="{FF2B5EF4-FFF2-40B4-BE49-F238E27FC236}">
              <a16:creationId xmlns:a16="http://schemas.microsoft.com/office/drawing/2014/main" id="{00000000-0008-0000-0F00-000075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8" name="AutoShape 1">
          <a:extLst>
            <a:ext uri="{FF2B5EF4-FFF2-40B4-BE49-F238E27FC236}">
              <a16:creationId xmlns:a16="http://schemas.microsoft.com/office/drawing/2014/main" id="{00000000-0008-0000-0F00-000076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399" name="AutoShape 1">
          <a:extLst>
            <a:ext uri="{FF2B5EF4-FFF2-40B4-BE49-F238E27FC236}">
              <a16:creationId xmlns:a16="http://schemas.microsoft.com/office/drawing/2014/main" id="{00000000-0008-0000-0F00-000077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0" name="AutoShape 1">
          <a:extLst>
            <a:ext uri="{FF2B5EF4-FFF2-40B4-BE49-F238E27FC236}">
              <a16:creationId xmlns:a16="http://schemas.microsoft.com/office/drawing/2014/main" id="{00000000-0008-0000-0F00-000078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1" name="AutoShape 1">
          <a:extLst>
            <a:ext uri="{FF2B5EF4-FFF2-40B4-BE49-F238E27FC236}">
              <a16:creationId xmlns:a16="http://schemas.microsoft.com/office/drawing/2014/main" id="{00000000-0008-0000-0F00-000079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2" name="AutoShape 1">
          <a:extLst>
            <a:ext uri="{FF2B5EF4-FFF2-40B4-BE49-F238E27FC236}">
              <a16:creationId xmlns:a16="http://schemas.microsoft.com/office/drawing/2014/main" id="{00000000-0008-0000-0F00-00007A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3" name="AutoShape 1">
          <a:extLst>
            <a:ext uri="{FF2B5EF4-FFF2-40B4-BE49-F238E27FC236}">
              <a16:creationId xmlns:a16="http://schemas.microsoft.com/office/drawing/2014/main" id="{00000000-0008-0000-0F00-00007B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4" name="AutoShape 1">
          <a:extLst>
            <a:ext uri="{FF2B5EF4-FFF2-40B4-BE49-F238E27FC236}">
              <a16:creationId xmlns:a16="http://schemas.microsoft.com/office/drawing/2014/main" id="{00000000-0008-0000-0F00-00007C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5" name="AutoShape 1">
          <a:extLst>
            <a:ext uri="{FF2B5EF4-FFF2-40B4-BE49-F238E27FC236}">
              <a16:creationId xmlns:a16="http://schemas.microsoft.com/office/drawing/2014/main" id="{00000000-0008-0000-0F00-00007D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6" name="AutoShape 1">
          <a:extLst>
            <a:ext uri="{FF2B5EF4-FFF2-40B4-BE49-F238E27FC236}">
              <a16:creationId xmlns:a16="http://schemas.microsoft.com/office/drawing/2014/main" id="{00000000-0008-0000-0F00-00007E050000}"/>
            </a:ext>
          </a:extLst>
        </xdr:cNvPr>
        <xdr:cNvSpPr>
          <a:spLocks noChangeAspect="1" noChangeArrowheads="1"/>
        </xdr:cNvSpPr>
      </xdr:nvSpPr>
      <xdr:spPr bwMode="auto">
        <a:xfrm>
          <a:off x="9779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7" name="AutoShape 1">
          <a:extLst>
            <a:ext uri="{FF2B5EF4-FFF2-40B4-BE49-F238E27FC236}">
              <a16:creationId xmlns:a16="http://schemas.microsoft.com/office/drawing/2014/main" id="{00000000-0008-0000-0F00-00007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8" name="AutoShape 1">
          <a:extLst>
            <a:ext uri="{FF2B5EF4-FFF2-40B4-BE49-F238E27FC236}">
              <a16:creationId xmlns:a16="http://schemas.microsoft.com/office/drawing/2014/main" id="{00000000-0008-0000-0F00-00008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09" name="AutoShape 1">
          <a:extLst>
            <a:ext uri="{FF2B5EF4-FFF2-40B4-BE49-F238E27FC236}">
              <a16:creationId xmlns:a16="http://schemas.microsoft.com/office/drawing/2014/main" id="{00000000-0008-0000-0F00-00008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0" name="AutoShape 1">
          <a:extLst>
            <a:ext uri="{FF2B5EF4-FFF2-40B4-BE49-F238E27FC236}">
              <a16:creationId xmlns:a16="http://schemas.microsoft.com/office/drawing/2014/main" id="{00000000-0008-0000-0F00-00008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1" name="AutoShape 1">
          <a:extLst>
            <a:ext uri="{FF2B5EF4-FFF2-40B4-BE49-F238E27FC236}">
              <a16:creationId xmlns:a16="http://schemas.microsoft.com/office/drawing/2014/main" id="{00000000-0008-0000-0F00-00008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2" name="AutoShape 1">
          <a:extLst>
            <a:ext uri="{FF2B5EF4-FFF2-40B4-BE49-F238E27FC236}">
              <a16:creationId xmlns:a16="http://schemas.microsoft.com/office/drawing/2014/main" id="{00000000-0008-0000-0F00-00008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3" name="AutoShape 1">
          <a:extLst>
            <a:ext uri="{FF2B5EF4-FFF2-40B4-BE49-F238E27FC236}">
              <a16:creationId xmlns:a16="http://schemas.microsoft.com/office/drawing/2014/main" id="{00000000-0008-0000-0F00-000085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4" name="AutoShape 1">
          <a:extLst>
            <a:ext uri="{FF2B5EF4-FFF2-40B4-BE49-F238E27FC236}">
              <a16:creationId xmlns:a16="http://schemas.microsoft.com/office/drawing/2014/main" id="{00000000-0008-0000-0F00-000086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5" name="AutoShape 1">
          <a:extLst>
            <a:ext uri="{FF2B5EF4-FFF2-40B4-BE49-F238E27FC236}">
              <a16:creationId xmlns:a16="http://schemas.microsoft.com/office/drawing/2014/main" id="{00000000-0008-0000-0F00-000087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6" name="AutoShape 1">
          <a:extLst>
            <a:ext uri="{FF2B5EF4-FFF2-40B4-BE49-F238E27FC236}">
              <a16:creationId xmlns:a16="http://schemas.microsoft.com/office/drawing/2014/main" id="{00000000-0008-0000-0F00-000088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7" name="AutoShape 1">
          <a:extLst>
            <a:ext uri="{FF2B5EF4-FFF2-40B4-BE49-F238E27FC236}">
              <a16:creationId xmlns:a16="http://schemas.microsoft.com/office/drawing/2014/main" id="{00000000-0008-0000-0F00-00008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8" name="AutoShape 1">
          <a:extLst>
            <a:ext uri="{FF2B5EF4-FFF2-40B4-BE49-F238E27FC236}">
              <a16:creationId xmlns:a16="http://schemas.microsoft.com/office/drawing/2014/main" id="{00000000-0008-0000-0F00-00008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19" name="AutoShape 1">
          <a:extLst>
            <a:ext uri="{FF2B5EF4-FFF2-40B4-BE49-F238E27FC236}">
              <a16:creationId xmlns:a16="http://schemas.microsoft.com/office/drawing/2014/main" id="{00000000-0008-0000-0F00-00008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0" name="AutoShape 1">
          <a:extLst>
            <a:ext uri="{FF2B5EF4-FFF2-40B4-BE49-F238E27FC236}">
              <a16:creationId xmlns:a16="http://schemas.microsoft.com/office/drawing/2014/main" id="{00000000-0008-0000-0F00-00008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1" name="AutoShape 1">
          <a:extLst>
            <a:ext uri="{FF2B5EF4-FFF2-40B4-BE49-F238E27FC236}">
              <a16:creationId xmlns:a16="http://schemas.microsoft.com/office/drawing/2014/main" id="{00000000-0008-0000-0F00-00008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2" name="AutoShape 1">
          <a:extLst>
            <a:ext uri="{FF2B5EF4-FFF2-40B4-BE49-F238E27FC236}">
              <a16:creationId xmlns:a16="http://schemas.microsoft.com/office/drawing/2014/main" id="{00000000-0008-0000-0F00-00008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3" name="AutoShape 1">
          <a:extLst>
            <a:ext uri="{FF2B5EF4-FFF2-40B4-BE49-F238E27FC236}">
              <a16:creationId xmlns:a16="http://schemas.microsoft.com/office/drawing/2014/main" id="{00000000-0008-0000-0F00-00008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4" name="AutoShape 1">
          <a:extLst>
            <a:ext uri="{FF2B5EF4-FFF2-40B4-BE49-F238E27FC236}">
              <a16:creationId xmlns:a16="http://schemas.microsoft.com/office/drawing/2014/main" id="{00000000-0008-0000-0F00-00009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5" name="AutoShape 1">
          <a:extLst>
            <a:ext uri="{FF2B5EF4-FFF2-40B4-BE49-F238E27FC236}">
              <a16:creationId xmlns:a16="http://schemas.microsoft.com/office/drawing/2014/main" id="{00000000-0008-0000-0F00-00009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6" name="AutoShape 1">
          <a:extLst>
            <a:ext uri="{FF2B5EF4-FFF2-40B4-BE49-F238E27FC236}">
              <a16:creationId xmlns:a16="http://schemas.microsoft.com/office/drawing/2014/main" id="{00000000-0008-0000-0F00-00009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7" name="AutoShape 1">
          <a:extLst>
            <a:ext uri="{FF2B5EF4-FFF2-40B4-BE49-F238E27FC236}">
              <a16:creationId xmlns:a16="http://schemas.microsoft.com/office/drawing/2014/main" id="{00000000-0008-0000-0F00-00009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8" name="AutoShape 1">
          <a:extLst>
            <a:ext uri="{FF2B5EF4-FFF2-40B4-BE49-F238E27FC236}">
              <a16:creationId xmlns:a16="http://schemas.microsoft.com/office/drawing/2014/main" id="{00000000-0008-0000-0F00-00009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29" name="AutoShape 1">
          <a:extLst>
            <a:ext uri="{FF2B5EF4-FFF2-40B4-BE49-F238E27FC236}">
              <a16:creationId xmlns:a16="http://schemas.microsoft.com/office/drawing/2014/main" id="{00000000-0008-0000-0F00-000095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0" name="AutoShape 1">
          <a:extLst>
            <a:ext uri="{FF2B5EF4-FFF2-40B4-BE49-F238E27FC236}">
              <a16:creationId xmlns:a16="http://schemas.microsoft.com/office/drawing/2014/main" id="{00000000-0008-0000-0F00-000096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1" name="AutoShape 1">
          <a:extLst>
            <a:ext uri="{FF2B5EF4-FFF2-40B4-BE49-F238E27FC236}">
              <a16:creationId xmlns:a16="http://schemas.microsoft.com/office/drawing/2014/main" id="{00000000-0008-0000-0F00-000097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2" name="AutoShape 1">
          <a:extLst>
            <a:ext uri="{FF2B5EF4-FFF2-40B4-BE49-F238E27FC236}">
              <a16:creationId xmlns:a16="http://schemas.microsoft.com/office/drawing/2014/main" id="{00000000-0008-0000-0F00-000098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3" name="AutoShape 1">
          <a:extLst>
            <a:ext uri="{FF2B5EF4-FFF2-40B4-BE49-F238E27FC236}">
              <a16:creationId xmlns:a16="http://schemas.microsoft.com/office/drawing/2014/main" id="{00000000-0008-0000-0F00-00009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4" name="AutoShape 1">
          <a:extLst>
            <a:ext uri="{FF2B5EF4-FFF2-40B4-BE49-F238E27FC236}">
              <a16:creationId xmlns:a16="http://schemas.microsoft.com/office/drawing/2014/main" id="{00000000-0008-0000-0F00-00009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5" name="AutoShape 1">
          <a:extLst>
            <a:ext uri="{FF2B5EF4-FFF2-40B4-BE49-F238E27FC236}">
              <a16:creationId xmlns:a16="http://schemas.microsoft.com/office/drawing/2014/main" id="{00000000-0008-0000-0F00-00009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6" name="AutoShape 1">
          <a:extLst>
            <a:ext uri="{FF2B5EF4-FFF2-40B4-BE49-F238E27FC236}">
              <a16:creationId xmlns:a16="http://schemas.microsoft.com/office/drawing/2014/main" id="{00000000-0008-0000-0F00-00009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7" name="AutoShape 1">
          <a:extLst>
            <a:ext uri="{FF2B5EF4-FFF2-40B4-BE49-F238E27FC236}">
              <a16:creationId xmlns:a16="http://schemas.microsoft.com/office/drawing/2014/main" id="{00000000-0008-0000-0F00-00009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8" name="AutoShape 1">
          <a:extLst>
            <a:ext uri="{FF2B5EF4-FFF2-40B4-BE49-F238E27FC236}">
              <a16:creationId xmlns:a16="http://schemas.microsoft.com/office/drawing/2014/main" id="{00000000-0008-0000-0F00-00009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39" name="AutoShape 1">
          <a:extLst>
            <a:ext uri="{FF2B5EF4-FFF2-40B4-BE49-F238E27FC236}">
              <a16:creationId xmlns:a16="http://schemas.microsoft.com/office/drawing/2014/main" id="{00000000-0008-0000-0F00-00009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0" name="AutoShape 1">
          <a:extLst>
            <a:ext uri="{FF2B5EF4-FFF2-40B4-BE49-F238E27FC236}">
              <a16:creationId xmlns:a16="http://schemas.microsoft.com/office/drawing/2014/main" id="{00000000-0008-0000-0F00-0000A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1" name="AutoShape 1">
          <a:extLst>
            <a:ext uri="{FF2B5EF4-FFF2-40B4-BE49-F238E27FC236}">
              <a16:creationId xmlns:a16="http://schemas.microsoft.com/office/drawing/2014/main" id="{00000000-0008-0000-0F00-0000A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2" name="AutoShape 1">
          <a:extLst>
            <a:ext uri="{FF2B5EF4-FFF2-40B4-BE49-F238E27FC236}">
              <a16:creationId xmlns:a16="http://schemas.microsoft.com/office/drawing/2014/main" id="{00000000-0008-0000-0F00-0000A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3" name="AutoShape 1">
          <a:extLst>
            <a:ext uri="{FF2B5EF4-FFF2-40B4-BE49-F238E27FC236}">
              <a16:creationId xmlns:a16="http://schemas.microsoft.com/office/drawing/2014/main" id="{00000000-0008-0000-0F00-0000A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4" name="AutoShape 1">
          <a:extLst>
            <a:ext uri="{FF2B5EF4-FFF2-40B4-BE49-F238E27FC236}">
              <a16:creationId xmlns:a16="http://schemas.microsoft.com/office/drawing/2014/main" id="{00000000-0008-0000-0F00-0000A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5" name="AutoShape 1">
          <a:extLst>
            <a:ext uri="{FF2B5EF4-FFF2-40B4-BE49-F238E27FC236}">
              <a16:creationId xmlns:a16="http://schemas.microsoft.com/office/drawing/2014/main" id="{00000000-0008-0000-0F00-0000A5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6" name="AutoShape 1">
          <a:extLst>
            <a:ext uri="{FF2B5EF4-FFF2-40B4-BE49-F238E27FC236}">
              <a16:creationId xmlns:a16="http://schemas.microsoft.com/office/drawing/2014/main" id="{00000000-0008-0000-0F00-0000A6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7" name="AutoShape 1">
          <a:extLst>
            <a:ext uri="{FF2B5EF4-FFF2-40B4-BE49-F238E27FC236}">
              <a16:creationId xmlns:a16="http://schemas.microsoft.com/office/drawing/2014/main" id="{00000000-0008-0000-0F00-0000A7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8" name="AutoShape 1">
          <a:extLst>
            <a:ext uri="{FF2B5EF4-FFF2-40B4-BE49-F238E27FC236}">
              <a16:creationId xmlns:a16="http://schemas.microsoft.com/office/drawing/2014/main" id="{00000000-0008-0000-0F00-0000A8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49" name="AutoShape 1">
          <a:extLst>
            <a:ext uri="{FF2B5EF4-FFF2-40B4-BE49-F238E27FC236}">
              <a16:creationId xmlns:a16="http://schemas.microsoft.com/office/drawing/2014/main" id="{00000000-0008-0000-0F00-0000A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0" name="AutoShape 1">
          <a:extLst>
            <a:ext uri="{FF2B5EF4-FFF2-40B4-BE49-F238E27FC236}">
              <a16:creationId xmlns:a16="http://schemas.microsoft.com/office/drawing/2014/main" id="{00000000-0008-0000-0F00-0000A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1" name="AutoShape 1">
          <a:extLst>
            <a:ext uri="{FF2B5EF4-FFF2-40B4-BE49-F238E27FC236}">
              <a16:creationId xmlns:a16="http://schemas.microsoft.com/office/drawing/2014/main" id="{00000000-0008-0000-0F00-0000A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2" name="AutoShape 1">
          <a:extLst>
            <a:ext uri="{FF2B5EF4-FFF2-40B4-BE49-F238E27FC236}">
              <a16:creationId xmlns:a16="http://schemas.microsoft.com/office/drawing/2014/main" id="{00000000-0008-0000-0F00-0000A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3" name="AutoShape 1">
          <a:extLst>
            <a:ext uri="{FF2B5EF4-FFF2-40B4-BE49-F238E27FC236}">
              <a16:creationId xmlns:a16="http://schemas.microsoft.com/office/drawing/2014/main" id="{00000000-0008-0000-0F00-0000A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4" name="AutoShape 1">
          <a:extLst>
            <a:ext uri="{FF2B5EF4-FFF2-40B4-BE49-F238E27FC236}">
              <a16:creationId xmlns:a16="http://schemas.microsoft.com/office/drawing/2014/main" id="{00000000-0008-0000-0F00-0000A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5" name="AutoShape 1">
          <a:extLst>
            <a:ext uri="{FF2B5EF4-FFF2-40B4-BE49-F238E27FC236}">
              <a16:creationId xmlns:a16="http://schemas.microsoft.com/office/drawing/2014/main" id="{00000000-0008-0000-0F00-0000A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6" name="AutoShape 1">
          <a:extLst>
            <a:ext uri="{FF2B5EF4-FFF2-40B4-BE49-F238E27FC236}">
              <a16:creationId xmlns:a16="http://schemas.microsoft.com/office/drawing/2014/main" id="{00000000-0008-0000-0F00-0000B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7" name="AutoShape 1">
          <a:extLst>
            <a:ext uri="{FF2B5EF4-FFF2-40B4-BE49-F238E27FC236}">
              <a16:creationId xmlns:a16="http://schemas.microsoft.com/office/drawing/2014/main" id="{00000000-0008-0000-0F00-0000B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8" name="AutoShape 1">
          <a:extLst>
            <a:ext uri="{FF2B5EF4-FFF2-40B4-BE49-F238E27FC236}">
              <a16:creationId xmlns:a16="http://schemas.microsoft.com/office/drawing/2014/main" id="{00000000-0008-0000-0F00-0000B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59" name="AutoShape 1">
          <a:extLst>
            <a:ext uri="{FF2B5EF4-FFF2-40B4-BE49-F238E27FC236}">
              <a16:creationId xmlns:a16="http://schemas.microsoft.com/office/drawing/2014/main" id="{00000000-0008-0000-0F00-0000B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0" name="AutoShape 1">
          <a:extLst>
            <a:ext uri="{FF2B5EF4-FFF2-40B4-BE49-F238E27FC236}">
              <a16:creationId xmlns:a16="http://schemas.microsoft.com/office/drawing/2014/main" id="{00000000-0008-0000-0F00-0000B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1" name="AutoShape 1">
          <a:extLst>
            <a:ext uri="{FF2B5EF4-FFF2-40B4-BE49-F238E27FC236}">
              <a16:creationId xmlns:a16="http://schemas.microsoft.com/office/drawing/2014/main" id="{00000000-0008-0000-0F00-0000B5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2" name="AutoShape 1">
          <a:extLst>
            <a:ext uri="{FF2B5EF4-FFF2-40B4-BE49-F238E27FC236}">
              <a16:creationId xmlns:a16="http://schemas.microsoft.com/office/drawing/2014/main" id="{00000000-0008-0000-0F00-0000B6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3" name="AutoShape 1">
          <a:extLst>
            <a:ext uri="{FF2B5EF4-FFF2-40B4-BE49-F238E27FC236}">
              <a16:creationId xmlns:a16="http://schemas.microsoft.com/office/drawing/2014/main" id="{00000000-0008-0000-0F00-0000B7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4" name="AutoShape 1">
          <a:extLst>
            <a:ext uri="{FF2B5EF4-FFF2-40B4-BE49-F238E27FC236}">
              <a16:creationId xmlns:a16="http://schemas.microsoft.com/office/drawing/2014/main" id="{00000000-0008-0000-0F00-0000B8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5" name="AutoShape 1">
          <a:extLst>
            <a:ext uri="{FF2B5EF4-FFF2-40B4-BE49-F238E27FC236}">
              <a16:creationId xmlns:a16="http://schemas.microsoft.com/office/drawing/2014/main" id="{00000000-0008-0000-0F00-0000B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6" name="AutoShape 1">
          <a:extLst>
            <a:ext uri="{FF2B5EF4-FFF2-40B4-BE49-F238E27FC236}">
              <a16:creationId xmlns:a16="http://schemas.microsoft.com/office/drawing/2014/main" id="{00000000-0008-0000-0F00-0000B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7" name="AutoShape 1">
          <a:extLst>
            <a:ext uri="{FF2B5EF4-FFF2-40B4-BE49-F238E27FC236}">
              <a16:creationId xmlns:a16="http://schemas.microsoft.com/office/drawing/2014/main" id="{00000000-0008-0000-0F00-0000B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8" name="AutoShape 1">
          <a:extLst>
            <a:ext uri="{FF2B5EF4-FFF2-40B4-BE49-F238E27FC236}">
              <a16:creationId xmlns:a16="http://schemas.microsoft.com/office/drawing/2014/main" id="{00000000-0008-0000-0F00-0000B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69" name="AutoShape 1">
          <a:extLst>
            <a:ext uri="{FF2B5EF4-FFF2-40B4-BE49-F238E27FC236}">
              <a16:creationId xmlns:a16="http://schemas.microsoft.com/office/drawing/2014/main" id="{00000000-0008-0000-0F00-0000B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0" name="AutoShape 1">
          <a:extLst>
            <a:ext uri="{FF2B5EF4-FFF2-40B4-BE49-F238E27FC236}">
              <a16:creationId xmlns:a16="http://schemas.microsoft.com/office/drawing/2014/main" id="{00000000-0008-0000-0F00-0000B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1" name="AutoShape 1">
          <a:extLst>
            <a:ext uri="{FF2B5EF4-FFF2-40B4-BE49-F238E27FC236}">
              <a16:creationId xmlns:a16="http://schemas.microsoft.com/office/drawing/2014/main" id="{00000000-0008-0000-0F00-0000B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2" name="AutoShape 1">
          <a:extLst>
            <a:ext uri="{FF2B5EF4-FFF2-40B4-BE49-F238E27FC236}">
              <a16:creationId xmlns:a16="http://schemas.microsoft.com/office/drawing/2014/main" id="{00000000-0008-0000-0F00-0000C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3" name="AutoShape 1">
          <a:extLst>
            <a:ext uri="{FF2B5EF4-FFF2-40B4-BE49-F238E27FC236}">
              <a16:creationId xmlns:a16="http://schemas.microsoft.com/office/drawing/2014/main" id="{00000000-0008-0000-0F00-0000C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4" name="AutoShape 1">
          <a:extLst>
            <a:ext uri="{FF2B5EF4-FFF2-40B4-BE49-F238E27FC236}">
              <a16:creationId xmlns:a16="http://schemas.microsoft.com/office/drawing/2014/main" id="{00000000-0008-0000-0F00-0000C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5" name="AutoShape 1">
          <a:extLst>
            <a:ext uri="{FF2B5EF4-FFF2-40B4-BE49-F238E27FC236}">
              <a16:creationId xmlns:a16="http://schemas.microsoft.com/office/drawing/2014/main" id="{00000000-0008-0000-0F00-0000C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6" name="AutoShape 1">
          <a:extLst>
            <a:ext uri="{FF2B5EF4-FFF2-40B4-BE49-F238E27FC236}">
              <a16:creationId xmlns:a16="http://schemas.microsoft.com/office/drawing/2014/main" id="{00000000-0008-0000-0F00-0000C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7" name="AutoShape 1">
          <a:extLst>
            <a:ext uri="{FF2B5EF4-FFF2-40B4-BE49-F238E27FC236}">
              <a16:creationId xmlns:a16="http://schemas.microsoft.com/office/drawing/2014/main" id="{00000000-0008-0000-0F00-0000C5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8" name="AutoShape 1">
          <a:extLst>
            <a:ext uri="{FF2B5EF4-FFF2-40B4-BE49-F238E27FC236}">
              <a16:creationId xmlns:a16="http://schemas.microsoft.com/office/drawing/2014/main" id="{00000000-0008-0000-0F00-0000C6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79" name="AutoShape 1">
          <a:extLst>
            <a:ext uri="{FF2B5EF4-FFF2-40B4-BE49-F238E27FC236}">
              <a16:creationId xmlns:a16="http://schemas.microsoft.com/office/drawing/2014/main" id="{00000000-0008-0000-0F00-0000C7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0" name="AutoShape 1">
          <a:extLst>
            <a:ext uri="{FF2B5EF4-FFF2-40B4-BE49-F238E27FC236}">
              <a16:creationId xmlns:a16="http://schemas.microsoft.com/office/drawing/2014/main" id="{00000000-0008-0000-0F00-0000C8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1" name="AutoShape 1">
          <a:extLst>
            <a:ext uri="{FF2B5EF4-FFF2-40B4-BE49-F238E27FC236}">
              <a16:creationId xmlns:a16="http://schemas.microsoft.com/office/drawing/2014/main" id="{00000000-0008-0000-0F00-0000C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2" name="AutoShape 1">
          <a:extLst>
            <a:ext uri="{FF2B5EF4-FFF2-40B4-BE49-F238E27FC236}">
              <a16:creationId xmlns:a16="http://schemas.microsoft.com/office/drawing/2014/main" id="{00000000-0008-0000-0F00-0000C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3" name="AutoShape 1">
          <a:extLst>
            <a:ext uri="{FF2B5EF4-FFF2-40B4-BE49-F238E27FC236}">
              <a16:creationId xmlns:a16="http://schemas.microsoft.com/office/drawing/2014/main" id="{00000000-0008-0000-0F00-0000C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4" name="AutoShape 1">
          <a:extLst>
            <a:ext uri="{FF2B5EF4-FFF2-40B4-BE49-F238E27FC236}">
              <a16:creationId xmlns:a16="http://schemas.microsoft.com/office/drawing/2014/main" id="{00000000-0008-0000-0F00-0000C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5" name="AutoShape 1">
          <a:extLst>
            <a:ext uri="{FF2B5EF4-FFF2-40B4-BE49-F238E27FC236}">
              <a16:creationId xmlns:a16="http://schemas.microsoft.com/office/drawing/2014/main" id="{00000000-0008-0000-0F00-0000C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6" name="AutoShape 1">
          <a:extLst>
            <a:ext uri="{FF2B5EF4-FFF2-40B4-BE49-F238E27FC236}">
              <a16:creationId xmlns:a16="http://schemas.microsoft.com/office/drawing/2014/main" id="{00000000-0008-0000-0F00-0000C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7" name="AutoShape 1">
          <a:extLst>
            <a:ext uri="{FF2B5EF4-FFF2-40B4-BE49-F238E27FC236}">
              <a16:creationId xmlns:a16="http://schemas.microsoft.com/office/drawing/2014/main" id="{00000000-0008-0000-0F00-0000C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8" name="AutoShape 1">
          <a:extLst>
            <a:ext uri="{FF2B5EF4-FFF2-40B4-BE49-F238E27FC236}">
              <a16:creationId xmlns:a16="http://schemas.microsoft.com/office/drawing/2014/main" id="{00000000-0008-0000-0F00-0000D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89" name="AutoShape 1">
          <a:extLst>
            <a:ext uri="{FF2B5EF4-FFF2-40B4-BE49-F238E27FC236}">
              <a16:creationId xmlns:a16="http://schemas.microsoft.com/office/drawing/2014/main" id="{00000000-0008-0000-0F00-0000D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0" name="AutoShape 1">
          <a:extLst>
            <a:ext uri="{FF2B5EF4-FFF2-40B4-BE49-F238E27FC236}">
              <a16:creationId xmlns:a16="http://schemas.microsoft.com/office/drawing/2014/main" id="{00000000-0008-0000-0F00-0000D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1" name="AutoShape 1">
          <a:extLst>
            <a:ext uri="{FF2B5EF4-FFF2-40B4-BE49-F238E27FC236}">
              <a16:creationId xmlns:a16="http://schemas.microsoft.com/office/drawing/2014/main" id="{00000000-0008-0000-0F00-0000D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2" name="AutoShape 1">
          <a:extLst>
            <a:ext uri="{FF2B5EF4-FFF2-40B4-BE49-F238E27FC236}">
              <a16:creationId xmlns:a16="http://schemas.microsoft.com/office/drawing/2014/main" id="{00000000-0008-0000-0F00-0000D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3" name="AutoShape 1">
          <a:extLst>
            <a:ext uri="{FF2B5EF4-FFF2-40B4-BE49-F238E27FC236}">
              <a16:creationId xmlns:a16="http://schemas.microsoft.com/office/drawing/2014/main" id="{00000000-0008-0000-0F00-0000D5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4" name="AutoShape 1">
          <a:extLst>
            <a:ext uri="{FF2B5EF4-FFF2-40B4-BE49-F238E27FC236}">
              <a16:creationId xmlns:a16="http://schemas.microsoft.com/office/drawing/2014/main" id="{00000000-0008-0000-0F00-0000D6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5" name="AutoShape 1">
          <a:extLst>
            <a:ext uri="{FF2B5EF4-FFF2-40B4-BE49-F238E27FC236}">
              <a16:creationId xmlns:a16="http://schemas.microsoft.com/office/drawing/2014/main" id="{00000000-0008-0000-0F00-0000D7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6" name="AutoShape 1">
          <a:extLst>
            <a:ext uri="{FF2B5EF4-FFF2-40B4-BE49-F238E27FC236}">
              <a16:creationId xmlns:a16="http://schemas.microsoft.com/office/drawing/2014/main" id="{00000000-0008-0000-0F00-0000D8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7" name="AutoShape 1">
          <a:extLst>
            <a:ext uri="{FF2B5EF4-FFF2-40B4-BE49-F238E27FC236}">
              <a16:creationId xmlns:a16="http://schemas.microsoft.com/office/drawing/2014/main" id="{00000000-0008-0000-0F00-0000D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8" name="AutoShape 1">
          <a:extLst>
            <a:ext uri="{FF2B5EF4-FFF2-40B4-BE49-F238E27FC236}">
              <a16:creationId xmlns:a16="http://schemas.microsoft.com/office/drawing/2014/main" id="{00000000-0008-0000-0F00-0000D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499" name="AutoShape 1">
          <a:extLst>
            <a:ext uri="{FF2B5EF4-FFF2-40B4-BE49-F238E27FC236}">
              <a16:creationId xmlns:a16="http://schemas.microsoft.com/office/drawing/2014/main" id="{00000000-0008-0000-0F00-0000D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0" name="AutoShape 1">
          <a:extLst>
            <a:ext uri="{FF2B5EF4-FFF2-40B4-BE49-F238E27FC236}">
              <a16:creationId xmlns:a16="http://schemas.microsoft.com/office/drawing/2014/main" id="{00000000-0008-0000-0F00-0000D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1" name="AutoShape 1">
          <a:extLst>
            <a:ext uri="{FF2B5EF4-FFF2-40B4-BE49-F238E27FC236}">
              <a16:creationId xmlns:a16="http://schemas.microsoft.com/office/drawing/2014/main" id="{00000000-0008-0000-0F00-0000D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2" name="AutoShape 1">
          <a:extLst>
            <a:ext uri="{FF2B5EF4-FFF2-40B4-BE49-F238E27FC236}">
              <a16:creationId xmlns:a16="http://schemas.microsoft.com/office/drawing/2014/main" id="{00000000-0008-0000-0F00-0000D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3" name="AutoShape 1">
          <a:extLst>
            <a:ext uri="{FF2B5EF4-FFF2-40B4-BE49-F238E27FC236}">
              <a16:creationId xmlns:a16="http://schemas.microsoft.com/office/drawing/2014/main" id="{00000000-0008-0000-0F00-0000D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4" name="AutoShape 1">
          <a:extLst>
            <a:ext uri="{FF2B5EF4-FFF2-40B4-BE49-F238E27FC236}">
              <a16:creationId xmlns:a16="http://schemas.microsoft.com/office/drawing/2014/main" id="{00000000-0008-0000-0F00-0000E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5" name="AutoShape 1">
          <a:extLst>
            <a:ext uri="{FF2B5EF4-FFF2-40B4-BE49-F238E27FC236}">
              <a16:creationId xmlns:a16="http://schemas.microsoft.com/office/drawing/2014/main" id="{00000000-0008-0000-0F00-0000E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6" name="AutoShape 1">
          <a:extLst>
            <a:ext uri="{FF2B5EF4-FFF2-40B4-BE49-F238E27FC236}">
              <a16:creationId xmlns:a16="http://schemas.microsoft.com/office/drawing/2014/main" id="{00000000-0008-0000-0F00-0000E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7" name="AutoShape 1">
          <a:extLst>
            <a:ext uri="{FF2B5EF4-FFF2-40B4-BE49-F238E27FC236}">
              <a16:creationId xmlns:a16="http://schemas.microsoft.com/office/drawing/2014/main" id="{00000000-0008-0000-0F00-0000E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8" name="AutoShape 1">
          <a:extLst>
            <a:ext uri="{FF2B5EF4-FFF2-40B4-BE49-F238E27FC236}">
              <a16:creationId xmlns:a16="http://schemas.microsoft.com/office/drawing/2014/main" id="{00000000-0008-0000-0F00-0000E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09" name="AutoShape 1">
          <a:extLst>
            <a:ext uri="{FF2B5EF4-FFF2-40B4-BE49-F238E27FC236}">
              <a16:creationId xmlns:a16="http://schemas.microsoft.com/office/drawing/2014/main" id="{00000000-0008-0000-0F00-0000E5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0" name="AutoShape 1">
          <a:extLst>
            <a:ext uri="{FF2B5EF4-FFF2-40B4-BE49-F238E27FC236}">
              <a16:creationId xmlns:a16="http://schemas.microsoft.com/office/drawing/2014/main" id="{00000000-0008-0000-0F00-0000E6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1" name="AutoShape 1">
          <a:extLst>
            <a:ext uri="{FF2B5EF4-FFF2-40B4-BE49-F238E27FC236}">
              <a16:creationId xmlns:a16="http://schemas.microsoft.com/office/drawing/2014/main" id="{00000000-0008-0000-0F00-0000E7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2" name="AutoShape 1">
          <a:extLst>
            <a:ext uri="{FF2B5EF4-FFF2-40B4-BE49-F238E27FC236}">
              <a16:creationId xmlns:a16="http://schemas.microsoft.com/office/drawing/2014/main" id="{00000000-0008-0000-0F00-0000E8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3" name="AutoShape 1">
          <a:extLst>
            <a:ext uri="{FF2B5EF4-FFF2-40B4-BE49-F238E27FC236}">
              <a16:creationId xmlns:a16="http://schemas.microsoft.com/office/drawing/2014/main" id="{00000000-0008-0000-0F00-0000E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4" name="AutoShape 1">
          <a:extLst>
            <a:ext uri="{FF2B5EF4-FFF2-40B4-BE49-F238E27FC236}">
              <a16:creationId xmlns:a16="http://schemas.microsoft.com/office/drawing/2014/main" id="{00000000-0008-0000-0F00-0000E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5" name="AutoShape 1">
          <a:extLst>
            <a:ext uri="{FF2B5EF4-FFF2-40B4-BE49-F238E27FC236}">
              <a16:creationId xmlns:a16="http://schemas.microsoft.com/office/drawing/2014/main" id="{00000000-0008-0000-0F00-0000E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6" name="AutoShape 1">
          <a:extLst>
            <a:ext uri="{FF2B5EF4-FFF2-40B4-BE49-F238E27FC236}">
              <a16:creationId xmlns:a16="http://schemas.microsoft.com/office/drawing/2014/main" id="{00000000-0008-0000-0F00-0000E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7" name="AutoShape 1">
          <a:extLst>
            <a:ext uri="{FF2B5EF4-FFF2-40B4-BE49-F238E27FC236}">
              <a16:creationId xmlns:a16="http://schemas.microsoft.com/office/drawing/2014/main" id="{00000000-0008-0000-0F00-0000E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8" name="AutoShape 1">
          <a:extLst>
            <a:ext uri="{FF2B5EF4-FFF2-40B4-BE49-F238E27FC236}">
              <a16:creationId xmlns:a16="http://schemas.microsoft.com/office/drawing/2014/main" id="{00000000-0008-0000-0F00-0000E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19" name="AutoShape 1">
          <a:extLst>
            <a:ext uri="{FF2B5EF4-FFF2-40B4-BE49-F238E27FC236}">
              <a16:creationId xmlns:a16="http://schemas.microsoft.com/office/drawing/2014/main" id="{00000000-0008-0000-0F00-0000E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0" name="AutoShape 1">
          <a:extLst>
            <a:ext uri="{FF2B5EF4-FFF2-40B4-BE49-F238E27FC236}">
              <a16:creationId xmlns:a16="http://schemas.microsoft.com/office/drawing/2014/main" id="{00000000-0008-0000-0F00-0000F0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1" name="AutoShape 1">
          <a:extLst>
            <a:ext uri="{FF2B5EF4-FFF2-40B4-BE49-F238E27FC236}">
              <a16:creationId xmlns:a16="http://schemas.microsoft.com/office/drawing/2014/main" id="{00000000-0008-0000-0F00-0000F1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2" name="AutoShape 1">
          <a:extLst>
            <a:ext uri="{FF2B5EF4-FFF2-40B4-BE49-F238E27FC236}">
              <a16:creationId xmlns:a16="http://schemas.microsoft.com/office/drawing/2014/main" id="{00000000-0008-0000-0F00-0000F2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3" name="AutoShape 1">
          <a:extLst>
            <a:ext uri="{FF2B5EF4-FFF2-40B4-BE49-F238E27FC236}">
              <a16:creationId xmlns:a16="http://schemas.microsoft.com/office/drawing/2014/main" id="{00000000-0008-0000-0F00-0000F3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4" name="AutoShape 1">
          <a:extLst>
            <a:ext uri="{FF2B5EF4-FFF2-40B4-BE49-F238E27FC236}">
              <a16:creationId xmlns:a16="http://schemas.microsoft.com/office/drawing/2014/main" id="{00000000-0008-0000-0F00-0000F4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5" name="AutoShape 1">
          <a:extLst>
            <a:ext uri="{FF2B5EF4-FFF2-40B4-BE49-F238E27FC236}">
              <a16:creationId xmlns:a16="http://schemas.microsoft.com/office/drawing/2014/main" id="{00000000-0008-0000-0F00-0000F5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6" name="AutoShape 1">
          <a:extLst>
            <a:ext uri="{FF2B5EF4-FFF2-40B4-BE49-F238E27FC236}">
              <a16:creationId xmlns:a16="http://schemas.microsoft.com/office/drawing/2014/main" id="{00000000-0008-0000-0F00-0000F6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7" name="AutoShape 1">
          <a:extLst>
            <a:ext uri="{FF2B5EF4-FFF2-40B4-BE49-F238E27FC236}">
              <a16:creationId xmlns:a16="http://schemas.microsoft.com/office/drawing/2014/main" id="{00000000-0008-0000-0F00-0000F7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8" name="AutoShape 1">
          <a:extLst>
            <a:ext uri="{FF2B5EF4-FFF2-40B4-BE49-F238E27FC236}">
              <a16:creationId xmlns:a16="http://schemas.microsoft.com/office/drawing/2014/main" id="{00000000-0008-0000-0F00-0000F8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29" name="AutoShape 1">
          <a:extLst>
            <a:ext uri="{FF2B5EF4-FFF2-40B4-BE49-F238E27FC236}">
              <a16:creationId xmlns:a16="http://schemas.microsoft.com/office/drawing/2014/main" id="{00000000-0008-0000-0F00-0000F9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0" name="AutoShape 1">
          <a:extLst>
            <a:ext uri="{FF2B5EF4-FFF2-40B4-BE49-F238E27FC236}">
              <a16:creationId xmlns:a16="http://schemas.microsoft.com/office/drawing/2014/main" id="{00000000-0008-0000-0F00-0000FA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1" name="AutoShape 1">
          <a:extLst>
            <a:ext uri="{FF2B5EF4-FFF2-40B4-BE49-F238E27FC236}">
              <a16:creationId xmlns:a16="http://schemas.microsoft.com/office/drawing/2014/main" id="{00000000-0008-0000-0F00-0000FB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2" name="AutoShape 1">
          <a:extLst>
            <a:ext uri="{FF2B5EF4-FFF2-40B4-BE49-F238E27FC236}">
              <a16:creationId xmlns:a16="http://schemas.microsoft.com/office/drawing/2014/main" id="{00000000-0008-0000-0F00-0000FC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3" name="AutoShape 1">
          <a:extLst>
            <a:ext uri="{FF2B5EF4-FFF2-40B4-BE49-F238E27FC236}">
              <a16:creationId xmlns:a16="http://schemas.microsoft.com/office/drawing/2014/main" id="{00000000-0008-0000-0F00-0000FD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4" name="AutoShape 1">
          <a:extLst>
            <a:ext uri="{FF2B5EF4-FFF2-40B4-BE49-F238E27FC236}">
              <a16:creationId xmlns:a16="http://schemas.microsoft.com/office/drawing/2014/main" id="{00000000-0008-0000-0F00-0000FE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5" name="AutoShape 1">
          <a:extLst>
            <a:ext uri="{FF2B5EF4-FFF2-40B4-BE49-F238E27FC236}">
              <a16:creationId xmlns:a16="http://schemas.microsoft.com/office/drawing/2014/main" id="{00000000-0008-0000-0F00-0000FF05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6" name="AutoShape 1">
          <a:extLst>
            <a:ext uri="{FF2B5EF4-FFF2-40B4-BE49-F238E27FC236}">
              <a16:creationId xmlns:a16="http://schemas.microsoft.com/office/drawing/2014/main" id="{00000000-0008-0000-0F00-00000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7" name="AutoShape 1">
          <a:extLst>
            <a:ext uri="{FF2B5EF4-FFF2-40B4-BE49-F238E27FC236}">
              <a16:creationId xmlns:a16="http://schemas.microsoft.com/office/drawing/2014/main" id="{00000000-0008-0000-0F00-00000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8" name="AutoShape 1">
          <a:extLst>
            <a:ext uri="{FF2B5EF4-FFF2-40B4-BE49-F238E27FC236}">
              <a16:creationId xmlns:a16="http://schemas.microsoft.com/office/drawing/2014/main" id="{00000000-0008-0000-0F00-00000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39" name="AutoShape 1">
          <a:extLst>
            <a:ext uri="{FF2B5EF4-FFF2-40B4-BE49-F238E27FC236}">
              <a16:creationId xmlns:a16="http://schemas.microsoft.com/office/drawing/2014/main" id="{00000000-0008-0000-0F00-00000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0" name="AutoShape 1">
          <a:extLst>
            <a:ext uri="{FF2B5EF4-FFF2-40B4-BE49-F238E27FC236}">
              <a16:creationId xmlns:a16="http://schemas.microsoft.com/office/drawing/2014/main" id="{00000000-0008-0000-0F00-00000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1" name="AutoShape 1">
          <a:extLst>
            <a:ext uri="{FF2B5EF4-FFF2-40B4-BE49-F238E27FC236}">
              <a16:creationId xmlns:a16="http://schemas.microsoft.com/office/drawing/2014/main" id="{00000000-0008-0000-0F00-00000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2" name="AutoShape 1">
          <a:extLst>
            <a:ext uri="{FF2B5EF4-FFF2-40B4-BE49-F238E27FC236}">
              <a16:creationId xmlns:a16="http://schemas.microsoft.com/office/drawing/2014/main" id="{00000000-0008-0000-0F00-00000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3" name="AutoShape 1">
          <a:extLst>
            <a:ext uri="{FF2B5EF4-FFF2-40B4-BE49-F238E27FC236}">
              <a16:creationId xmlns:a16="http://schemas.microsoft.com/office/drawing/2014/main" id="{00000000-0008-0000-0F00-00000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4" name="AutoShape 1">
          <a:extLst>
            <a:ext uri="{FF2B5EF4-FFF2-40B4-BE49-F238E27FC236}">
              <a16:creationId xmlns:a16="http://schemas.microsoft.com/office/drawing/2014/main" id="{00000000-0008-0000-0F00-00000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5" name="AutoShape 1">
          <a:extLst>
            <a:ext uri="{FF2B5EF4-FFF2-40B4-BE49-F238E27FC236}">
              <a16:creationId xmlns:a16="http://schemas.microsoft.com/office/drawing/2014/main" id="{00000000-0008-0000-0F00-00000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6" name="AutoShape 1">
          <a:extLst>
            <a:ext uri="{FF2B5EF4-FFF2-40B4-BE49-F238E27FC236}">
              <a16:creationId xmlns:a16="http://schemas.microsoft.com/office/drawing/2014/main" id="{00000000-0008-0000-0F00-00000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7" name="AutoShape 1">
          <a:extLst>
            <a:ext uri="{FF2B5EF4-FFF2-40B4-BE49-F238E27FC236}">
              <a16:creationId xmlns:a16="http://schemas.microsoft.com/office/drawing/2014/main" id="{00000000-0008-0000-0F00-00000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8" name="AutoShape 1">
          <a:extLst>
            <a:ext uri="{FF2B5EF4-FFF2-40B4-BE49-F238E27FC236}">
              <a16:creationId xmlns:a16="http://schemas.microsoft.com/office/drawing/2014/main" id="{00000000-0008-0000-0F00-00000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49" name="AutoShape 1">
          <a:extLst>
            <a:ext uri="{FF2B5EF4-FFF2-40B4-BE49-F238E27FC236}">
              <a16:creationId xmlns:a16="http://schemas.microsoft.com/office/drawing/2014/main" id="{00000000-0008-0000-0F00-00000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0" name="AutoShape 1">
          <a:extLst>
            <a:ext uri="{FF2B5EF4-FFF2-40B4-BE49-F238E27FC236}">
              <a16:creationId xmlns:a16="http://schemas.microsoft.com/office/drawing/2014/main" id="{00000000-0008-0000-0F00-00000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1" name="AutoShape 1">
          <a:extLst>
            <a:ext uri="{FF2B5EF4-FFF2-40B4-BE49-F238E27FC236}">
              <a16:creationId xmlns:a16="http://schemas.microsoft.com/office/drawing/2014/main" id="{00000000-0008-0000-0F00-00000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2" name="AutoShape 1">
          <a:extLst>
            <a:ext uri="{FF2B5EF4-FFF2-40B4-BE49-F238E27FC236}">
              <a16:creationId xmlns:a16="http://schemas.microsoft.com/office/drawing/2014/main" id="{00000000-0008-0000-0F00-00001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3" name="AutoShape 1">
          <a:extLst>
            <a:ext uri="{FF2B5EF4-FFF2-40B4-BE49-F238E27FC236}">
              <a16:creationId xmlns:a16="http://schemas.microsoft.com/office/drawing/2014/main" id="{00000000-0008-0000-0F00-00001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4" name="AutoShape 1">
          <a:extLst>
            <a:ext uri="{FF2B5EF4-FFF2-40B4-BE49-F238E27FC236}">
              <a16:creationId xmlns:a16="http://schemas.microsoft.com/office/drawing/2014/main" id="{00000000-0008-0000-0F00-00001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5" name="AutoShape 1">
          <a:extLst>
            <a:ext uri="{FF2B5EF4-FFF2-40B4-BE49-F238E27FC236}">
              <a16:creationId xmlns:a16="http://schemas.microsoft.com/office/drawing/2014/main" id="{00000000-0008-0000-0F00-00001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6" name="AutoShape 1">
          <a:extLst>
            <a:ext uri="{FF2B5EF4-FFF2-40B4-BE49-F238E27FC236}">
              <a16:creationId xmlns:a16="http://schemas.microsoft.com/office/drawing/2014/main" id="{00000000-0008-0000-0F00-00001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7" name="AutoShape 1">
          <a:extLst>
            <a:ext uri="{FF2B5EF4-FFF2-40B4-BE49-F238E27FC236}">
              <a16:creationId xmlns:a16="http://schemas.microsoft.com/office/drawing/2014/main" id="{00000000-0008-0000-0F00-00001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8" name="AutoShape 1">
          <a:extLst>
            <a:ext uri="{FF2B5EF4-FFF2-40B4-BE49-F238E27FC236}">
              <a16:creationId xmlns:a16="http://schemas.microsoft.com/office/drawing/2014/main" id="{00000000-0008-0000-0F00-00001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59" name="AutoShape 1">
          <a:extLst>
            <a:ext uri="{FF2B5EF4-FFF2-40B4-BE49-F238E27FC236}">
              <a16:creationId xmlns:a16="http://schemas.microsoft.com/office/drawing/2014/main" id="{00000000-0008-0000-0F00-00001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0" name="AutoShape 1">
          <a:extLst>
            <a:ext uri="{FF2B5EF4-FFF2-40B4-BE49-F238E27FC236}">
              <a16:creationId xmlns:a16="http://schemas.microsoft.com/office/drawing/2014/main" id="{00000000-0008-0000-0F00-00001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1" name="AutoShape 1">
          <a:extLst>
            <a:ext uri="{FF2B5EF4-FFF2-40B4-BE49-F238E27FC236}">
              <a16:creationId xmlns:a16="http://schemas.microsoft.com/office/drawing/2014/main" id="{00000000-0008-0000-0F00-00001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2" name="AutoShape 1">
          <a:extLst>
            <a:ext uri="{FF2B5EF4-FFF2-40B4-BE49-F238E27FC236}">
              <a16:creationId xmlns:a16="http://schemas.microsoft.com/office/drawing/2014/main" id="{00000000-0008-0000-0F00-00001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3" name="AutoShape 1">
          <a:extLst>
            <a:ext uri="{FF2B5EF4-FFF2-40B4-BE49-F238E27FC236}">
              <a16:creationId xmlns:a16="http://schemas.microsoft.com/office/drawing/2014/main" id="{00000000-0008-0000-0F00-00001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4" name="AutoShape 1">
          <a:extLst>
            <a:ext uri="{FF2B5EF4-FFF2-40B4-BE49-F238E27FC236}">
              <a16:creationId xmlns:a16="http://schemas.microsoft.com/office/drawing/2014/main" id="{00000000-0008-0000-0F00-00001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5" name="AutoShape 1">
          <a:extLst>
            <a:ext uri="{FF2B5EF4-FFF2-40B4-BE49-F238E27FC236}">
              <a16:creationId xmlns:a16="http://schemas.microsoft.com/office/drawing/2014/main" id="{00000000-0008-0000-0F00-00001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6" name="AutoShape 1">
          <a:extLst>
            <a:ext uri="{FF2B5EF4-FFF2-40B4-BE49-F238E27FC236}">
              <a16:creationId xmlns:a16="http://schemas.microsoft.com/office/drawing/2014/main" id="{00000000-0008-0000-0F00-00001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7" name="AutoShape 1">
          <a:extLst>
            <a:ext uri="{FF2B5EF4-FFF2-40B4-BE49-F238E27FC236}">
              <a16:creationId xmlns:a16="http://schemas.microsoft.com/office/drawing/2014/main" id="{00000000-0008-0000-0F00-00001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8" name="AutoShape 1">
          <a:extLst>
            <a:ext uri="{FF2B5EF4-FFF2-40B4-BE49-F238E27FC236}">
              <a16:creationId xmlns:a16="http://schemas.microsoft.com/office/drawing/2014/main" id="{00000000-0008-0000-0F00-00002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69" name="AutoShape 1">
          <a:extLst>
            <a:ext uri="{FF2B5EF4-FFF2-40B4-BE49-F238E27FC236}">
              <a16:creationId xmlns:a16="http://schemas.microsoft.com/office/drawing/2014/main" id="{00000000-0008-0000-0F00-00002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0" name="AutoShape 1">
          <a:extLst>
            <a:ext uri="{FF2B5EF4-FFF2-40B4-BE49-F238E27FC236}">
              <a16:creationId xmlns:a16="http://schemas.microsoft.com/office/drawing/2014/main" id="{00000000-0008-0000-0F00-00002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1" name="AutoShape 1">
          <a:extLst>
            <a:ext uri="{FF2B5EF4-FFF2-40B4-BE49-F238E27FC236}">
              <a16:creationId xmlns:a16="http://schemas.microsoft.com/office/drawing/2014/main" id="{00000000-0008-0000-0F00-00002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2" name="AutoShape 1">
          <a:extLst>
            <a:ext uri="{FF2B5EF4-FFF2-40B4-BE49-F238E27FC236}">
              <a16:creationId xmlns:a16="http://schemas.microsoft.com/office/drawing/2014/main" id="{00000000-0008-0000-0F00-00002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3" name="AutoShape 1">
          <a:extLst>
            <a:ext uri="{FF2B5EF4-FFF2-40B4-BE49-F238E27FC236}">
              <a16:creationId xmlns:a16="http://schemas.microsoft.com/office/drawing/2014/main" id="{00000000-0008-0000-0F00-00002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4" name="AutoShape 1">
          <a:extLst>
            <a:ext uri="{FF2B5EF4-FFF2-40B4-BE49-F238E27FC236}">
              <a16:creationId xmlns:a16="http://schemas.microsoft.com/office/drawing/2014/main" id="{00000000-0008-0000-0F00-00002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5" name="AutoShape 1">
          <a:extLst>
            <a:ext uri="{FF2B5EF4-FFF2-40B4-BE49-F238E27FC236}">
              <a16:creationId xmlns:a16="http://schemas.microsoft.com/office/drawing/2014/main" id="{00000000-0008-0000-0F00-00002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6" name="AutoShape 1">
          <a:extLst>
            <a:ext uri="{FF2B5EF4-FFF2-40B4-BE49-F238E27FC236}">
              <a16:creationId xmlns:a16="http://schemas.microsoft.com/office/drawing/2014/main" id="{00000000-0008-0000-0F00-00002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7" name="AutoShape 1">
          <a:extLst>
            <a:ext uri="{FF2B5EF4-FFF2-40B4-BE49-F238E27FC236}">
              <a16:creationId xmlns:a16="http://schemas.microsoft.com/office/drawing/2014/main" id="{00000000-0008-0000-0F00-00002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8" name="AutoShape 1">
          <a:extLst>
            <a:ext uri="{FF2B5EF4-FFF2-40B4-BE49-F238E27FC236}">
              <a16:creationId xmlns:a16="http://schemas.microsoft.com/office/drawing/2014/main" id="{00000000-0008-0000-0F00-00002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79" name="AutoShape 1">
          <a:extLst>
            <a:ext uri="{FF2B5EF4-FFF2-40B4-BE49-F238E27FC236}">
              <a16:creationId xmlns:a16="http://schemas.microsoft.com/office/drawing/2014/main" id="{00000000-0008-0000-0F00-00002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0" name="AutoShape 1">
          <a:extLst>
            <a:ext uri="{FF2B5EF4-FFF2-40B4-BE49-F238E27FC236}">
              <a16:creationId xmlns:a16="http://schemas.microsoft.com/office/drawing/2014/main" id="{00000000-0008-0000-0F00-00002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1" name="AutoShape 1">
          <a:extLst>
            <a:ext uri="{FF2B5EF4-FFF2-40B4-BE49-F238E27FC236}">
              <a16:creationId xmlns:a16="http://schemas.microsoft.com/office/drawing/2014/main" id="{00000000-0008-0000-0F00-00002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2" name="AutoShape 1">
          <a:extLst>
            <a:ext uri="{FF2B5EF4-FFF2-40B4-BE49-F238E27FC236}">
              <a16:creationId xmlns:a16="http://schemas.microsoft.com/office/drawing/2014/main" id="{00000000-0008-0000-0F00-00002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3" name="AutoShape 1">
          <a:extLst>
            <a:ext uri="{FF2B5EF4-FFF2-40B4-BE49-F238E27FC236}">
              <a16:creationId xmlns:a16="http://schemas.microsoft.com/office/drawing/2014/main" id="{00000000-0008-0000-0F00-00002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4" name="AutoShape 1">
          <a:extLst>
            <a:ext uri="{FF2B5EF4-FFF2-40B4-BE49-F238E27FC236}">
              <a16:creationId xmlns:a16="http://schemas.microsoft.com/office/drawing/2014/main" id="{00000000-0008-0000-0F00-00003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5" name="AutoShape 1">
          <a:extLst>
            <a:ext uri="{FF2B5EF4-FFF2-40B4-BE49-F238E27FC236}">
              <a16:creationId xmlns:a16="http://schemas.microsoft.com/office/drawing/2014/main" id="{00000000-0008-0000-0F00-00003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6" name="AutoShape 1">
          <a:extLst>
            <a:ext uri="{FF2B5EF4-FFF2-40B4-BE49-F238E27FC236}">
              <a16:creationId xmlns:a16="http://schemas.microsoft.com/office/drawing/2014/main" id="{00000000-0008-0000-0F00-00003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7" name="AutoShape 1">
          <a:extLst>
            <a:ext uri="{FF2B5EF4-FFF2-40B4-BE49-F238E27FC236}">
              <a16:creationId xmlns:a16="http://schemas.microsoft.com/office/drawing/2014/main" id="{00000000-0008-0000-0F00-00003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8" name="AutoShape 1">
          <a:extLst>
            <a:ext uri="{FF2B5EF4-FFF2-40B4-BE49-F238E27FC236}">
              <a16:creationId xmlns:a16="http://schemas.microsoft.com/office/drawing/2014/main" id="{00000000-0008-0000-0F00-00003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89" name="AutoShape 1">
          <a:extLst>
            <a:ext uri="{FF2B5EF4-FFF2-40B4-BE49-F238E27FC236}">
              <a16:creationId xmlns:a16="http://schemas.microsoft.com/office/drawing/2014/main" id="{00000000-0008-0000-0F00-00003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0" name="AutoShape 1">
          <a:extLst>
            <a:ext uri="{FF2B5EF4-FFF2-40B4-BE49-F238E27FC236}">
              <a16:creationId xmlns:a16="http://schemas.microsoft.com/office/drawing/2014/main" id="{00000000-0008-0000-0F00-00003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1" name="AutoShape 1">
          <a:extLst>
            <a:ext uri="{FF2B5EF4-FFF2-40B4-BE49-F238E27FC236}">
              <a16:creationId xmlns:a16="http://schemas.microsoft.com/office/drawing/2014/main" id="{00000000-0008-0000-0F00-00003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2" name="AutoShape 1">
          <a:extLst>
            <a:ext uri="{FF2B5EF4-FFF2-40B4-BE49-F238E27FC236}">
              <a16:creationId xmlns:a16="http://schemas.microsoft.com/office/drawing/2014/main" id="{00000000-0008-0000-0F00-00003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3" name="AutoShape 1">
          <a:extLst>
            <a:ext uri="{FF2B5EF4-FFF2-40B4-BE49-F238E27FC236}">
              <a16:creationId xmlns:a16="http://schemas.microsoft.com/office/drawing/2014/main" id="{00000000-0008-0000-0F00-00003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4" name="AutoShape 1">
          <a:extLst>
            <a:ext uri="{FF2B5EF4-FFF2-40B4-BE49-F238E27FC236}">
              <a16:creationId xmlns:a16="http://schemas.microsoft.com/office/drawing/2014/main" id="{00000000-0008-0000-0F00-00003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5" name="AutoShape 1">
          <a:extLst>
            <a:ext uri="{FF2B5EF4-FFF2-40B4-BE49-F238E27FC236}">
              <a16:creationId xmlns:a16="http://schemas.microsoft.com/office/drawing/2014/main" id="{00000000-0008-0000-0F00-00003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6" name="AutoShape 1">
          <a:extLst>
            <a:ext uri="{FF2B5EF4-FFF2-40B4-BE49-F238E27FC236}">
              <a16:creationId xmlns:a16="http://schemas.microsoft.com/office/drawing/2014/main" id="{00000000-0008-0000-0F00-00003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7" name="AutoShape 1">
          <a:extLst>
            <a:ext uri="{FF2B5EF4-FFF2-40B4-BE49-F238E27FC236}">
              <a16:creationId xmlns:a16="http://schemas.microsoft.com/office/drawing/2014/main" id="{00000000-0008-0000-0F00-00003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8" name="AutoShape 1">
          <a:extLst>
            <a:ext uri="{FF2B5EF4-FFF2-40B4-BE49-F238E27FC236}">
              <a16:creationId xmlns:a16="http://schemas.microsoft.com/office/drawing/2014/main" id="{00000000-0008-0000-0F00-00003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599" name="AutoShape 1">
          <a:extLst>
            <a:ext uri="{FF2B5EF4-FFF2-40B4-BE49-F238E27FC236}">
              <a16:creationId xmlns:a16="http://schemas.microsoft.com/office/drawing/2014/main" id="{00000000-0008-0000-0F00-00003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0" name="AutoShape 1">
          <a:extLst>
            <a:ext uri="{FF2B5EF4-FFF2-40B4-BE49-F238E27FC236}">
              <a16:creationId xmlns:a16="http://schemas.microsoft.com/office/drawing/2014/main" id="{00000000-0008-0000-0F00-00004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1" name="AutoShape 1">
          <a:extLst>
            <a:ext uri="{FF2B5EF4-FFF2-40B4-BE49-F238E27FC236}">
              <a16:creationId xmlns:a16="http://schemas.microsoft.com/office/drawing/2014/main" id="{00000000-0008-0000-0F00-00004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2" name="AutoShape 1">
          <a:extLst>
            <a:ext uri="{FF2B5EF4-FFF2-40B4-BE49-F238E27FC236}">
              <a16:creationId xmlns:a16="http://schemas.microsoft.com/office/drawing/2014/main" id="{00000000-0008-0000-0F00-00004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3" name="AutoShape 1">
          <a:extLst>
            <a:ext uri="{FF2B5EF4-FFF2-40B4-BE49-F238E27FC236}">
              <a16:creationId xmlns:a16="http://schemas.microsoft.com/office/drawing/2014/main" id="{00000000-0008-0000-0F00-00004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4" name="AutoShape 1">
          <a:extLst>
            <a:ext uri="{FF2B5EF4-FFF2-40B4-BE49-F238E27FC236}">
              <a16:creationId xmlns:a16="http://schemas.microsoft.com/office/drawing/2014/main" id="{00000000-0008-0000-0F00-00004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5" name="AutoShape 1">
          <a:extLst>
            <a:ext uri="{FF2B5EF4-FFF2-40B4-BE49-F238E27FC236}">
              <a16:creationId xmlns:a16="http://schemas.microsoft.com/office/drawing/2014/main" id="{00000000-0008-0000-0F00-00004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6" name="AutoShape 1">
          <a:extLst>
            <a:ext uri="{FF2B5EF4-FFF2-40B4-BE49-F238E27FC236}">
              <a16:creationId xmlns:a16="http://schemas.microsoft.com/office/drawing/2014/main" id="{00000000-0008-0000-0F00-00004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7" name="AutoShape 1">
          <a:extLst>
            <a:ext uri="{FF2B5EF4-FFF2-40B4-BE49-F238E27FC236}">
              <a16:creationId xmlns:a16="http://schemas.microsoft.com/office/drawing/2014/main" id="{00000000-0008-0000-0F00-00004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8" name="AutoShape 1">
          <a:extLst>
            <a:ext uri="{FF2B5EF4-FFF2-40B4-BE49-F238E27FC236}">
              <a16:creationId xmlns:a16="http://schemas.microsoft.com/office/drawing/2014/main" id="{00000000-0008-0000-0F00-00004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09" name="AutoShape 1">
          <a:extLst>
            <a:ext uri="{FF2B5EF4-FFF2-40B4-BE49-F238E27FC236}">
              <a16:creationId xmlns:a16="http://schemas.microsoft.com/office/drawing/2014/main" id="{00000000-0008-0000-0F00-00004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0" name="AutoShape 1">
          <a:extLst>
            <a:ext uri="{FF2B5EF4-FFF2-40B4-BE49-F238E27FC236}">
              <a16:creationId xmlns:a16="http://schemas.microsoft.com/office/drawing/2014/main" id="{00000000-0008-0000-0F00-00004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1" name="AutoShape 1">
          <a:extLst>
            <a:ext uri="{FF2B5EF4-FFF2-40B4-BE49-F238E27FC236}">
              <a16:creationId xmlns:a16="http://schemas.microsoft.com/office/drawing/2014/main" id="{00000000-0008-0000-0F00-00004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2" name="AutoShape 1">
          <a:extLst>
            <a:ext uri="{FF2B5EF4-FFF2-40B4-BE49-F238E27FC236}">
              <a16:creationId xmlns:a16="http://schemas.microsoft.com/office/drawing/2014/main" id="{00000000-0008-0000-0F00-00004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3" name="AutoShape 1">
          <a:extLst>
            <a:ext uri="{FF2B5EF4-FFF2-40B4-BE49-F238E27FC236}">
              <a16:creationId xmlns:a16="http://schemas.microsoft.com/office/drawing/2014/main" id="{00000000-0008-0000-0F00-00004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4" name="AutoShape 1">
          <a:extLst>
            <a:ext uri="{FF2B5EF4-FFF2-40B4-BE49-F238E27FC236}">
              <a16:creationId xmlns:a16="http://schemas.microsoft.com/office/drawing/2014/main" id="{00000000-0008-0000-0F00-00004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5" name="AutoShape 1">
          <a:extLst>
            <a:ext uri="{FF2B5EF4-FFF2-40B4-BE49-F238E27FC236}">
              <a16:creationId xmlns:a16="http://schemas.microsoft.com/office/drawing/2014/main" id="{00000000-0008-0000-0F00-00004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6" name="AutoShape 1">
          <a:extLst>
            <a:ext uri="{FF2B5EF4-FFF2-40B4-BE49-F238E27FC236}">
              <a16:creationId xmlns:a16="http://schemas.microsoft.com/office/drawing/2014/main" id="{00000000-0008-0000-0F00-00005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7" name="AutoShape 1">
          <a:extLst>
            <a:ext uri="{FF2B5EF4-FFF2-40B4-BE49-F238E27FC236}">
              <a16:creationId xmlns:a16="http://schemas.microsoft.com/office/drawing/2014/main" id="{00000000-0008-0000-0F00-00005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8" name="AutoShape 1">
          <a:extLst>
            <a:ext uri="{FF2B5EF4-FFF2-40B4-BE49-F238E27FC236}">
              <a16:creationId xmlns:a16="http://schemas.microsoft.com/office/drawing/2014/main" id="{00000000-0008-0000-0F00-00005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19" name="AutoShape 1">
          <a:extLst>
            <a:ext uri="{FF2B5EF4-FFF2-40B4-BE49-F238E27FC236}">
              <a16:creationId xmlns:a16="http://schemas.microsoft.com/office/drawing/2014/main" id="{00000000-0008-0000-0F00-00005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0" name="AutoShape 1">
          <a:extLst>
            <a:ext uri="{FF2B5EF4-FFF2-40B4-BE49-F238E27FC236}">
              <a16:creationId xmlns:a16="http://schemas.microsoft.com/office/drawing/2014/main" id="{00000000-0008-0000-0F00-00005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1" name="AutoShape 1">
          <a:extLst>
            <a:ext uri="{FF2B5EF4-FFF2-40B4-BE49-F238E27FC236}">
              <a16:creationId xmlns:a16="http://schemas.microsoft.com/office/drawing/2014/main" id="{00000000-0008-0000-0F00-00005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2" name="AutoShape 1">
          <a:extLst>
            <a:ext uri="{FF2B5EF4-FFF2-40B4-BE49-F238E27FC236}">
              <a16:creationId xmlns:a16="http://schemas.microsoft.com/office/drawing/2014/main" id="{00000000-0008-0000-0F00-00005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3" name="AutoShape 1">
          <a:extLst>
            <a:ext uri="{FF2B5EF4-FFF2-40B4-BE49-F238E27FC236}">
              <a16:creationId xmlns:a16="http://schemas.microsoft.com/office/drawing/2014/main" id="{00000000-0008-0000-0F00-00005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4" name="AutoShape 1">
          <a:extLst>
            <a:ext uri="{FF2B5EF4-FFF2-40B4-BE49-F238E27FC236}">
              <a16:creationId xmlns:a16="http://schemas.microsoft.com/office/drawing/2014/main" id="{00000000-0008-0000-0F00-00005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5" name="AutoShape 1">
          <a:extLst>
            <a:ext uri="{FF2B5EF4-FFF2-40B4-BE49-F238E27FC236}">
              <a16:creationId xmlns:a16="http://schemas.microsoft.com/office/drawing/2014/main" id="{00000000-0008-0000-0F00-00005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6" name="AutoShape 1">
          <a:extLst>
            <a:ext uri="{FF2B5EF4-FFF2-40B4-BE49-F238E27FC236}">
              <a16:creationId xmlns:a16="http://schemas.microsoft.com/office/drawing/2014/main" id="{00000000-0008-0000-0F00-00005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7" name="AutoShape 1">
          <a:extLst>
            <a:ext uri="{FF2B5EF4-FFF2-40B4-BE49-F238E27FC236}">
              <a16:creationId xmlns:a16="http://schemas.microsoft.com/office/drawing/2014/main" id="{00000000-0008-0000-0F00-00005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8" name="AutoShape 1">
          <a:extLst>
            <a:ext uri="{FF2B5EF4-FFF2-40B4-BE49-F238E27FC236}">
              <a16:creationId xmlns:a16="http://schemas.microsoft.com/office/drawing/2014/main" id="{00000000-0008-0000-0F00-00005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29" name="AutoShape 1">
          <a:extLst>
            <a:ext uri="{FF2B5EF4-FFF2-40B4-BE49-F238E27FC236}">
              <a16:creationId xmlns:a16="http://schemas.microsoft.com/office/drawing/2014/main" id="{00000000-0008-0000-0F00-00005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0" name="AutoShape 1">
          <a:extLst>
            <a:ext uri="{FF2B5EF4-FFF2-40B4-BE49-F238E27FC236}">
              <a16:creationId xmlns:a16="http://schemas.microsoft.com/office/drawing/2014/main" id="{00000000-0008-0000-0F00-00005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1" name="AutoShape 1">
          <a:extLst>
            <a:ext uri="{FF2B5EF4-FFF2-40B4-BE49-F238E27FC236}">
              <a16:creationId xmlns:a16="http://schemas.microsoft.com/office/drawing/2014/main" id="{00000000-0008-0000-0F00-00005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2" name="AutoShape 1">
          <a:extLst>
            <a:ext uri="{FF2B5EF4-FFF2-40B4-BE49-F238E27FC236}">
              <a16:creationId xmlns:a16="http://schemas.microsoft.com/office/drawing/2014/main" id="{00000000-0008-0000-0F00-00006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3" name="AutoShape 1">
          <a:extLst>
            <a:ext uri="{FF2B5EF4-FFF2-40B4-BE49-F238E27FC236}">
              <a16:creationId xmlns:a16="http://schemas.microsoft.com/office/drawing/2014/main" id="{00000000-0008-0000-0F00-00006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4" name="AutoShape 1">
          <a:extLst>
            <a:ext uri="{FF2B5EF4-FFF2-40B4-BE49-F238E27FC236}">
              <a16:creationId xmlns:a16="http://schemas.microsoft.com/office/drawing/2014/main" id="{00000000-0008-0000-0F00-00006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5" name="AutoShape 1">
          <a:extLst>
            <a:ext uri="{FF2B5EF4-FFF2-40B4-BE49-F238E27FC236}">
              <a16:creationId xmlns:a16="http://schemas.microsoft.com/office/drawing/2014/main" id="{00000000-0008-0000-0F00-00006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6" name="AutoShape 1">
          <a:extLst>
            <a:ext uri="{FF2B5EF4-FFF2-40B4-BE49-F238E27FC236}">
              <a16:creationId xmlns:a16="http://schemas.microsoft.com/office/drawing/2014/main" id="{00000000-0008-0000-0F00-00006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7" name="AutoShape 1">
          <a:extLst>
            <a:ext uri="{FF2B5EF4-FFF2-40B4-BE49-F238E27FC236}">
              <a16:creationId xmlns:a16="http://schemas.microsoft.com/office/drawing/2014/main" id="{00000000-0008-0000-0F00-00006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8" name="AutoShape 1">
          <a:extLst>
            <a:ext uri="{FF2B5EF4-FFF2-40B4-BE49-F238E27FC236}">
              <a16:creationId xmlns:a16="http://schemas.microsoft.com/office/drawing/2014/main" id="{00000000-0008-0000-0F00-00006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39" name="AutoShape 1">
          <a:extLst>
            <a:ext uri="{FF2B5EF4-FFF2-40B4-BE49-F238E27FC236}">
              <a16:creationId xmlns:a16="http://schemas.microsoft.com/office/drawing/2014/main" id="{00000000-0008-0000-0F00-00006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0" name="AutoShape 1">
          <a:extLst>
            <a:ext uri="{FF2B5EF4-FFF2-40B4-BE49-F238E27FC236}">
              <a16:creationId xmlns:a16="http://schemas.microsoft.com/office/drawing/2014/main" id="{00000000-0008-0000-0F00-00006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1" name="AutoShape 1">
          <a:extLst>
            <a:ext uri="{FF2B5EF4-FFF2-40B4-BE49-F238E27FC236}">
              <a16:creationId xmlns:a16="http://schemas.microsoft.com/office/drawing/2014/main" id="{00000000-0008-0000-0F00-00006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2" name="AutoShape 1">
          <a:extLst>
            <a:ext uri="{FF2B5EF4-FFF2-40B4-BE49-F238E27FC236}">
              <a16:creationId xmlns:a16="http://schemas.microsoft.com/office/drawing/2014/main" id="{00000000-0008-0000-0F00-00006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3" name="AutoShape 1">
          <a:extLst>
            <a:ext uri="{FF2B5EF4-FFF2-40B4-BE49-F238E27FC236}">
              <a16:creationId xmlns:a16="http://schemas.microsoft.com/office/drawing/2014/main" id="{00000000-0008-0000-0F00-00006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4" name="AutoShape 1">
          <a:extLst>
            <a:ext uri="{FF2B5EF4-FFF2-40B4-BE49-F238E27FC236}">
              <a16:creationId xmlns:a16="http://schemas.microsoft.com/office/drawing/2014/main" id="{00000000-0008-0000-0F00-00006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5" name="AutoShape 1">
          <a:extLst>
            <a:ext uri="{FF2B5EF4-FFF2-40B4-BE49-F238E27FC236}">
              <a16:creationId xmlns:a16="http://schemas.microsoft.com/office/drawing/2014/main" id="{00000000-0008-0000-0F00-00006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6" name="AutoShape 1">
          <a:extLst>
            <a:ext uri="{FF2B5EF4-FFF2-40B4-BE49-F238E27FC236}">
              <a16:creationId xmlns:a16="http://schemas.microsoft.com/office/drawing/2014/main" id="{00000000-0008-0000-0F00-00006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7" name="AutoShape 1">
          <a:extLst>
            <a:ext uri="{FF2B5EF4-FFF2-40B4-BE49-F238E27FC236}">
              <a16:creationId xmlns:a16="http://schemas.microsoft.com/office/drawing/2014/main" id="{00000000-0008-0000-0F00-00006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8" name="AutoShape 1">
          <a:extLst>
            <a:ext uri="{FF2B5EF4-FFF2-40B4-BE49-F238E27FC236}">
              <a16:creationId xmlns:a16="http://schemas.microsoft.com/office/drawing/2014/main" id="{00000000-0008-0000-0F00-00007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49" name="AutoShape 1">
          <a:extLst>
            <a:ext uri="{FF2B5EF4-FFF2-40B4-BE49-F238E27FC236}">
              <a16:creationId xmlns:a16="http://schemas.microsoft.com/office/drawing/2014/main" id="{00000000-0008-0000-0F00-00007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0" name="AutoShape 1">
          <a:extLst>
            <a:ext uri="{FF2B5EF4-FFF2-40B4-BE49-F238E27FC236}">
              <a16:creationId xmlns:a16="http://schemas.microsoft.com/office/drawing/2014/main" id="{00000000-0008-0000-0F00-00007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1" name="AutoShape 1">
          <a:extLst>
            <a:ext uri="{FF2B5EF4-FFF2-40B4-BE49-F238E27FC236}">
              <a16:creationId xmlns:a16="http://schemas.microsoft.com/office/drawing/2014/main" id="{00000000-0008-0000-0F00-00007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2" name="AutoShape 1">
          <a:extLst>
            <a:ext uri="{FF2B5EF4-FFF2-40B4-BE49-F238E27FC236}">
              <a16:creationId xmlns:a16="http://schemas.microsoft.com/office/drawing/2014/main" id="{00000000-0008-0000-0F00-00007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3" name="AutoShape 1">
          <a:extLst>
            <a:ext uri="{FF2B5EF4-FFF2-40B4-BE49-F238E27FC236}">
              <a16:creationId xmlns:a16="http://schemas.microsoft.com/office/drawing/2014/main" id="{00000000-0008-0000-0F00-00007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4" name="AutoShape 1">
          <a:extLst>
            <a:ext uri="{FF2B5EF4-FFF2-40B4-BE49-F238E27FC236}">
              <a16:creationId xmlns:a16="http://schemas.microsoft.com/office/drawing/2014/main" id="{00000000-0008-0000-0F00-00007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5" name="AutoShape 1">
          <a:extLst>
            <a:ext uri="{FF2B5EF4-FFF2-40B4-BE49-F238E27FC236}">
              <a16:creationId xmlns:a16="http://schemas.microsoft.com/office/drawing/2014/main" id="{00000000-0008-0000-0F00-00007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6" name="AutoShape 1">
          <a:extLst>
            <a:ext uri="{FF2B5EF4-FFF2-40B4-BE49-F238E27FC236}">
              <a16:creationId xmlns:a16="http://schemas.microsoft.com/office/drawing/2014/main" id="{00000000-0008-0000-0F00-00007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7" name="AutoShape 1">
          <a:extLst>
            <a:ext uri="{FF2B5EF4-FFF2-40B4-BE49-F238E27FC236}">
              <a16:creationId xmlns:a16="http://schemas.microsoft.com/office/drawing/2014/main" id="{00000000-0008-0000-0F00-00007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8" name="AutoShape 1">
          <a:extLst>
            <a:ext uri="{FF2B5EF4-FFF2-40B4-BE49-F238E27FC236}">
              <a16:creationId xmlns:a16="http://schemas.microsoft.com/office/drawing/2014/main" id="{00000000-0008-0000-0F00-00007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59" name="AutoShape 1">
          <a:extLst>
            <a:ext uri="{FF2B5EF4-FFF2-40B4-BE49-F238E27FC236}">
              <a16:creationId xmlns:a16="http://schemas.microsoft.com/office/drawing/2014/main" id="{00000000-0008-0000-0F00-00007B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0" name="AutoShape 1">
          <a:extLst>
            <a:ext uri="{FF2B5EF4-FFF2-40B4-BE49-F238E27FC236}">
              <a16:creationId xmlns:a16="http://schemas.microsoft.com/office/drawing/2014/main" id="{00000000-0008-0000-0F00-00007C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1" name="AutoShape 1">
          <a:extLst>
            <a:ext uri="{FF2B5EF4-FFF2-40B4-BE49-F238E27FC236}">
              <a16:creationId xmlns:a16="http://schemas.microsoft.com/office/drawing/2014/main" id="{00000000-0008-0000-0F00-00007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2" name="AutoShape 1">
          <a:extLst>
            <a:ext uri="{FF2B5EF4-FFF2-40B4-BE49-F238E27FC236}">
              <a16:creationId xmlns:a16="http://schemas.microsoft.com/office/drawing/2014/main" id="{00000000-0008-0000-0F00-00007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3" name="AutoShape 1">
          <a:extLst>
            <a:ext uri="{FF2B5EF4-FFF2-40B4-BE49-F238E27FC236}">
              <a16:creationId xmlns:a16="http://schemas.microsoft.com/office/drawing/2014/main" id="{00000000-0008-0000-0F00-00007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4" name="AutoShape 1">
          <a:extLst>
            <a:ext uri="{FF2B5EF4-FFF2-40B4-BE49-F238E27FC236}">
              <a16:creationId xmlns:a16="http://schemas.microsoft.com/office/drawing/2014/main" id="{00000000-0008-0000-0F00-00008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5" name="AutoShape 1">
          <a:extLst>
            <a:ext uri="{FF2B5EF4-FFF2-40B4-BE49-F238E27FC236}">
              <a16:creationId xmlns:a16="http://schemas.microsoft.com/office/drawing/2014/main" id="{00000000-0008-0000-0F00-000081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6" name="AutoShape 1">
          <a:extLst>
            <a:ext uri="{FF2B5EF4-FFF2-40B4-BE49-F238E27FC236}">
              <a16:creationId xmlns:a16="http://schemas.microsoft.com/office/drawing/2014/main" id="{00000000-0008-0000-0F00-000082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7" name="AutoShape 1">
          <a:extLst>
            <a:ext uri="{FF2B5EF4-FFF2-40B4-BE49-F238E27FC236}">
              <a16:creationId xmlns:a16="http://schemas.microsoft.com/office/drawing/2014/main" id="{00000000-0008-0000-0F00-000083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8" name="AutoShape 1">
          <a:extLst>
            <a:ext uri="{FF2B5EF4-FFF2-40B4-BE49-F238E27FC236}">
              <a16:creationId xmlns:a16="http://schemas.microsoft.com/office/drawing/2014/main" id="{00000000-0008-0000-0F00-000084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69" name="AutoShape 1">
          <a:extLst>
            <a:ext uri="{FF2B5EF4-FFF2-40B4-BE49-F238E27FC236}">
              <a16:creationId xmlns:a16="http://schemas.microsoft.com/office/drawing/2014/main" id="{00000000-0008-0000-0F00-000085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0" name="AutoShape 1">
          <a:extLst>
            <a:ext uri="{FF2B5EF4-FFF2-40B4-BE49-F238E27FC236}">
              <a16:creationId xmlns:a16="http://schemas.microsoft.com/office/drawing/2014/main" id="{00000000-0008-0000-0F00-000086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1" name="AutoShape 1">
          <a:extLst>
            <a:ext uri="{FF2B5EF4-FFF2-40B4-BE49-F238E27FC236}">
              <a16:creationId xmlns:a16="http://schemas.microsoft.com/office/drawing/2014/main" id="{00000000-0008-0000-0F00-000087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2" name="AutoShape 1">
          <a:extLst>
            <a:ext uri="{FF2B5EF4-FFF2-40B4-BE49-F238E27FC236}">
              <a16:creationId xmlns:a16="http://schemas.microsoft.com/office/drawing/2014/main" id="{00000000-0008-0000-0F00-000088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3" name="AutoShape 1">
          <a:extLst>
            <a:ext uri="{FF2B5EF4-FFF2-40B4-BE49-F238E27FC236}">
              <a16:creationId xmlns:a16="http://schemas.microsoft.com/office/drawing/2014/main" id="{00000000-0008-0000-0F00-000089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4" name="AutoShape 1">
          <a:extLst>
            <a:ext uri="{FF2B5EF4-FFF2-40B4-BE49-F238E27FC236}">
              <a16:creationId xmlns:a16="http://schemas.microsoft.com/office/drawing/2014/main" id="{00000000-0008-0000-0F00-00008A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5" name="AutoShape 1">
          <a:extLst>
            <a:ext uri="{FF2B5EF4-FFF2-40B4-BE49-F238E27FC236}">
              <a16:creationId xmlns:a16="http://schemas.microsoft.com/office/drawing/2014/main" id="{00000000-0008-0000-0F00-00008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6" name="AutoShape 1">
          <a:extLst>
            <a:ext uri="{FF2B5EF4-FFF2-40B4-BE49-F238E27FC236}">
              <a16:creationId xmlns:a16="http://schemas.microsoft.com/office/drawing/2014/main" id="{00000000-0008-0000-0F00-00008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7" name="AutoShape 1">
          <a:extLst>
            <a:ext uri="{FF2B5EF4-FFF2-40B4-BE49-F238E27FC236}">
              <a16:creationId xmlns:a16="http://schemas.microsoft.com/office/drawing/2014/main" id="{00000000-0008-0000-0F00-00008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8" name="AutoShape 1">
          <a:extLst>
            <a:ext uri="{FF2B5EF4-FFF2-40B4-BE49-F238E27FC236}">
              <a16:creationId xmlns:a16="http://schemas.microsoft.com/office/drawing/2014/main" id="{00000000-0008-0000-0F00-00008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79" name="AutoShape 1">
          <a:extLst>
            <a:ext uri="{FF2B5EF4-FFF2-40B4-BE49-F238E27FC236}">
              <a16:creationId xmlns:a16="http://schemas.microsoft.com/office/drawing/2014/main" id="{00000000-0008-0000-0F00-00008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0" name="AutoShape 1">
          <a:extLst>
            <a:ext uri="{FF2B5EF4-FFF2-40B4-BE49-F238E27FC236}">
              <a16:creationId xmlns:a16="http://schemas.microsoft.com/office/drawing/2014/main" id="{00000000-0008-0000-0F00-00009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1" name="AutoShape 1">
          <a:extLst>
            <a:ext uri="{FF2B5EF4-FFF2-40B4-BE49-F238E27FC236}">
              <a16:creationId xmlns:a16="http://schemas.microsoft.com/office/drawing/2014/main" id="{00000000-0008-0000-0F00-00009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2" name="AutoShape 1">
          <a:extLst>
            <a:ext uri="{FF2B5EF4-FFF2-40B4-BE49-F238E27FC236}">
              <a16:creationId xmlns:a16="http://schemas.microsoft.com/office/drawing/2014/main" id="{00000000-0008-0000-0F00-00009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3" name="AutoShape 1">
          <a:extLst>
            <a:ext uri="{FF2B5EF4-FFF2-40B4-BE49-F238E27FC236}">
              <a16:creationId xmlns:a16="http://schemas.microsoft.com/office/drawing/2014/main" id="{00000000-0008-0000-0F00-00009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4" name="AutoShape 1">
          <a:extLst>
            <a:ext uri="{FF2B5EF4-FFF2-40B4-BE49-F238E27FC236}">
              <a16:creationId xmlns:a16="http://schemas.microsoft.com/office/drawing/2014/main" id="{00000000-0008-0000-0F00-00009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5" name="AutoShape 1">
          <a:extLst>
            <a:ext uri="{FF2B5EF4-FFF2-40B4-BE49-F238E27FC236}">
              <a16:creationId xmlns:a16="http://schemas.microsoft.com/office/drawing/2014/main" id="{00000000-0008-0000-0F00-00009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6" name="AutoShape 1">
          <a:extLst>
            <a:ext uri="{FF2B5EF4-FFF2-40B4-BE49-F238E27FC236}">
              <a16:creationId xmlns:a16="http://schemas.microsoft.com/office/drawing/2014/main" id="{00000000-0008-0000-0F00-00009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7" name="AutoShape 1">
          <a:extLst>
            <a:ext uri="{FF2B5EF4-FFF2-40B4-BE49-F238E27FC236}">
              <a16:creationId xmlns:a16="http://schemas.microsoft.com/office/drawing/2014/main" id="{00000000-0008-0000-0F00-000097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8" name="AutoShape 1">
          <a:extLst>
            <a:ext uri="{FF2B5EF4-FFF2-40B4-BE49-F238E27FC236}">
              <a16:creationId xmlns:a16="http://schemas.microsoft.com/office/drawing/2014/main" id="{00000000-0008-0000-0F00-000098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89" name="AutoShape 1">
          <a:extLst>
            <a:ext uri="{FF2B5EF4-FFF2-40B4-BE49-F238E27FC236}">
              <a16:creationId xmlns:a16="http://schemas.microsoft.com/office/drawing/2014/main" id="{00000000-0008-0000-0F00-000099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0" name="AutoShape 1">
          <a:extLst>
            <a:ext uri="{FF2B5EF4-FFF2-40B4-BE49-F238E27FC236}">
              <a16:creationId xmlns:a16="http://schemas.microsoft.com/office/drawing/2014/main" id="{00000000-0008-0000-0F00-00009A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1" name="AutoShape 1">
          <a:extLst>
            <a:ext uri="{FF2B5EF4-FFF2-40B4-BE49-F238E27FC236}">
              <a16:creationId xmlns:a16="http://schemas.microsoft.com/office/drawing/2014/main" id="{00000000-0008-0000-0F00-00009B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2" name="AutoShape 1">
          <a:extLst>
            <a:ext uri="{FF2B5EF4-FFF2-40B4-BE49-F238E27FC236}">
              <a16:creationId xmlns:a16="http://schemas.microsoft.com/office/drawing/2014/main" id="{00000000-0008-0000-0F00-00009C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3" name="AutoShape 1">
          <a:extLst>
            <a:ext uri="{FF2B5EF4-FFF2-40B4-BE49-F238E27FC236}">
              <a16:creationId xmlns:a16="http://schemas.microsoft.com/office/drawing/2014/main" id="{00000000-0008-0000-0F00-00009D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4" name="AutoShape 1">
          <a:extLst>
            <a:ext uri="{FF2B5EF4-FFF2-40B4-BE49-F238E27FC236}">
              <a16:creationId xmlns:a16="http://schemas.microsoft.com/office/drawing/2014/main" id="{00000000-0008-0000-0F00-00009E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5" name="AutoShape 1">
          <a:extLst>
            <a:ext uri="{FF2B5EF4-FFF2-40B4-BE49-F238E27FC236}">
              <a16:creationId xmlns:a16="http://schemas.microsoft.com/office/drawing/2014/main" id="{00000000-0008-0000-0F00-00009F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6" name="AutoShape 1">
          <a:extLst>
            <a:ext uri="{FF2B5EF4-FFF2-40B4-BE49-F238E27FC236}">
              <a16:creationId xmlns:a16="http://schemas.microsoft.com/office/drawing/2014/main" id="{00000000-0008-0000-0F00-0000A0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7" name="AutoShape 1">
          <a:extLst>
            <a:ext uri="{FF2B5EF4-FFF2-40B4-BE49-F238E27FC236}">
              <a16:creationId xmlns:a16="http://schemas.microsoft.com/office/drawing/2014/main" id="{00000000-0008-0000-0F00-0000A1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8" name="AutoShape 1">
          <a:extLst>
            <a:ext uri="{FF2B5EF4-FFF2-40B4-BE49-F238E27FC236}">
              <a16:creationId xmlns:a16="http://schemas.microsoft.com/office/drawing/2014/main" id="{00000000-0008-0000-0F00-0000A2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699" name="AutoShape 1">
          <a:extLst>
            <a:ext uri="{FF2B5EF4-FFF2-40B4-BE49-F238E27FC236}">
              <a16:creationId xmlns:a16="http://schemas.microsoft.com/office/drawing/2014/main" id="{00000000-0008-0000-0F00-0000A3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0" name="AutoShape 1">
          <a:extLst>
            <a:ext uri="{FF2B5EF4-FFF2-40B4-BE49-F238E27FC236}">
              <a16:creationId xmlns:a16="http://schemas.microsoft.com/office/drawing/2014/main" id="{00000000-0008-0000-0F00-0000A4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1" name="AutoShape 1">
          <a:extLst>
            <a:ext uri="{FF2B5EF4-FFF2-40B4-BE49-F238E27FC236}">
              <a16:creationId xmlns:a16="http://schemas.microsoft.com/office/drawing/2014/main" id="{00000000-0008-0000-0F00-0000A5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2" name="AutoShape 1">
          <a:extLst>
            <a:ext uri="{FF2B5EF4-FFF2-40B4-BE49-F238E27FC236}">
              <a16:creationId xmlns:a16="http://schemas.microsoft.com/office/drawing/2014/main" id="{00000000-0008-0000-0F00-0000A6060000}"/>
            </a:ext>
          </a:extLst>
        </xdr:cNvPr>
        <xdr:cNvSpPr>
          <a:spLocks noChangeAspect="1" noChangeArrowheads="1"/>
        </xdr:cNvSpPr>
      </xdr:nvSpPr>
      <xdr:spPr bwMode="auto">
        <a:xfrm>
          <a:off x="977900" y="648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3" name="AutoShape 1">
          <a:extLst>
            <a:ext uri="{FF2B5EF4-FFF2-40B4-BE49-F238E27FC236}">
              <a16:creationId xmlns:a16="http://schemas.microsoft.com/office/drawing/2014/main" id="{00000000-0008-0000-0F00-0000A7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4" name="AutoShape 1">
          <a:extLst>
            <a:ext uri="{FF2B5EF4-FFF2-40B4-BE49-F238E27FC236}">
              <a16:creationId xmlns:a16="http://schemas.microsoft.com/office/drawing/2014/main" id="{00000000-0008-0000-0F00-0000A8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5" name="AutoShape 1">
          <a:extLst>
            <a:ext uri="{FF2B5EF4-FFF2-40B4-BE49-F238E27FC236}">
              <a16:creationId xmlns:a16="http://schemas.microsoft.com/office/drawing/2014/main" id="{00000000-0008-0000-0F00-0000A9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6" name="AutoShape 1">
          <a:extLst>
            <a:ext uri="{FF2B5EF4-FFF2-40B4-BE49-F238E27FC236}">
              <a16:creationId xmlns:a16="http://schemas.microsoft.com/office/drawing/2014/main" id="{00000000-0008-0000-0F00-0000AA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7" name="AutoShape 1">
          <a:extLst>
            <a:ext uri="{FF2B5EF4-FFF2-40B4-BE49-F238E27FC236}">
              <a16:creationId xmlns:a16="http://schemas.microsoft.com/office/drawing/2014/main" id="{00000000-0008-0000-0F00-0000AB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8" name="AutoShape 1">
          <a:extLst>
            <a:ext uri="{FF2B5EF4-FFF2-40B4-BE49-F238E27FC236}">
              <a16:creationId xmlns:a16="http://schemas.microsoft.com/office/drawing/2014/main" id="{00000000-0008-0000-0F00-0000AC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09" name="AutoShape 1">
          <a:extLst>
            <a:ext uri="{FF2B5EF4-FFF2-40B4-BE49-F238E27FC236}">
              <a16:creationId xmlns:a16="http://schemas.microsoft.com/office/drawing/2014/main" id="{00000000-0008-0000-0F00-0000AD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0" name="AutoShape 1">
          <a:extLst>
            <a:ext uri="{FF2B5EF4-FFF2-40B4-BE49-F238E27FC236}">
              <a16:creationId xmlns:a16="http://schemas.microsoft.com/office/drawing/2014/main" id="{00000000-0008-0000-0F00-0000AE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1" name="AutoShape 1">
          <a:extLst>
            <a:ext uri="{FF2B5EF4-FFF2-40B4-BE49-F238E27FC236}">
              <a16:creationId xmlns:a16="http://schemas.microsoft.com/office/drawing/2014/main" id="{00000000-0008-0000-0F00-0000AF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2" name="AutoShape 1">
          <a:extLst>
            <a:ext uri="{FF2B5EF4-FFF2-40B4-BE49-F238E27FC236}">
              <a16:creationId xmlns:a16="http://schemas.microsoft.com/office/drawing/2014/main" id="{00000000-0008-0000-0F00-0000B0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3" name="AutoShape 1">
          <a:extLst>
            <a:ext uri="{FF2B5EF4-FFF2-40B4-BE49-F238E27FC236}">
              <a16:creationId xmlns:a16="http://schemas.microsoft.com/office/drawing/2014/main" id="{00000000-0008-0000-0F00-0000B1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4" name="AutoShape 1">
          <a:extLst>
            <a:ext uri="{FF2B5EF4-FFF2-40B4-BE49-F238E27FC236}">
              <a16:creationId xmlns:a16="http://schemas.microsoft.com/office/drawing/2014/main" id="{00000000-0008-0000-0F00-0000B2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5" name="AutoShape 1">
          <a:extLst>
            <a:ext uri="{FF2B5EF4-FFF2-40B4-BE49-F238E27FC236}">
              <a16:creationId xmlns:a16="http://schemas.microsoft.com/office/drawing/2014/main" id="{00000000-0008-0000-0F00-0000B3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6" name="AutoShape 1">
          <a:extLst>
            <a:ext uri="{FF2B5EF4-FFF2-40B4-BE49-F238E27FC236}">
              <a16:creationId xmlns:a16="http://schemas.microsoft.com/office/drawing/2014/main" id="{00000000-0008-0000-0F00-0000B4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7" name="AutoShape 1">
          <a:extLst>
            <a:ext uri="{FF2B5EF4-FFF2-40B4-BE49-F238E27FC236}">
              <a16:creationId xmlns:a16="http://schemas.microsoft.com/office/drawing/2014/main" id="{00000000-0008-0000-0F00-0000B5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8" name="AutoShape 1">
          <a:extLst>
            <a:ext uri="{FF2B5EF4-FFF2-40B4-BE49-F238E27FC236}">
              <a16:creationId xmlns:a16="http://schemas.microsoft.com/office/drawing/2014/main" id="{00000000-0008-0000-0F00-0000B6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19" name="AutoShape 1">
          <a:extLst>
            <a:ext uri="{FF2B5EF4-FFF2-40B4-BE49-F238E27FC236}">
              <a16:creationId xmlns:a16="http://schemas.microsoft.com/office/drawing/2014/main" id="{00000000-0008-0000-0F00-0000B7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0" name="AutoShape 1">
          <a:extLst>
            <a:ext uri="{FF2B5EF4-FFF2-40B4-BE49-F238E27FC236}">
              <a16:creationId xmlns:a16="http://schemas.microsoft.com/office/drawing/2014/main" id="{00000000-0008-0000-0F00-0000B8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1" name="AutoShape 1">
          <a:extLst>
            <a:ext uri="{FF2B5EF4-FFF2-40B4-BE49-F238E27FC236}">
              <a16:creationId xmlns:a16="http://schemas.microsoft.com/office/drawing/2014/main" id="{00000000-0008-0000-0F00-0000B9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2" name="AutoShape 1">
          <a:extLst>
            <a:ext uri="{FF2B5EF4-FFF2-40B4-BE49-F238E27FC236}">
              <a16:creationId xmlns:a16="http://schemas.microsoft.com/office/drawing/2014/main" id="{00000000-0008-0000-0F00-0000BA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3" name="AutoShape 1">
          <a:extLst>
            <a:ext uri="{FF2B5EF4-FFF2-40B4-BE49-F238E27FC236}">
              <a16:creationId xmlns:a16="http://schemas.microsoft.com/office/drawing/2014/main" id="{00000000-0008-0000-0F00-0000BB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4" name="AutoShape 1">
          <a:extLst>
            <a:ext uri="{FF2B5EF4-FFF2-40B4-BE49-F238E27FC236}">
              <a16:creationId xmlns:a16="http://schemas.microsoft.com/office/drawing/2014/main" id="{00000000-0008-0000-0F00-0000BC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5" name="AutoShape 1">
          <a:extLst>
            <a:ext uri="{FF2B5EF4-FFF2-40B4-BE49-F238E27FC236}">
              <a16:creationId xmlns:a16="http://schemas.microsoft.com/office/drawing/2014/main" id="{00000000-0008-0000-0F00-0000BD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6" name="AutoShape 1">
          <a:extLst>
            <a:ext uri="{FF2B5EF4-FFF2-40B4-BE49-F238E27FC236}">
              <a16:creationId xmlns:a16="http://schemas.microsoft.com/office/drawing/2014/main" id="{00000000-0008-0000-0F00-0000BE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7" name="AutoShape 1">
          <a:extLst>
            <a:ext uri="{FF2B5EF4-FFF2-40B4-BE49-F238E27FC236}">
              <a16:creationId xmlns:a16="http://schemas.microsoft.com/office/drawing/2014/main" id="{00000000-0008-0000-0F00-0000BF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8" name="AutoShape 1">
          <a:extLst>
            <a:ext uri="{FF2B5EF4-FFF2-40B4-BE49-F238E27FC236}">
              <a16:creationId xmlns:a16="http://schemas.microsoft.com/office/drawing/2014/main" id="{00000000-0008-0000-0F00-0000C0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29" name="AutoShape 1">
          <a:extLst>
            <a:ext uri="{FF2B5EF4-FFF2-40B4-BE49-F238E27FC236}">
              <a16:creationId xmlns:a16="http://schemas.microsoft.com/office/drawing/2014/main" id="{00000000-0008-0000-0F00-0000C1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0" name="AutoShape 1">
          <a:extLst>
            <a:ext uri="{FF2B5EF4-FFF2-40B4-BE49-F238E27FC236}">
              <a16:creationId xmlns:a16="http://schemas.microsoft.com/office/drawing/2014/main" id="{00000000-0008-0000-0F00-0000C2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1" name="AutoShape 1">
          <a:extLst>
            <a:ext uri="{FF2B5EF4-FFF2-40B4-BE49-F238E27FC236}">
              <a16:creationId xmlns:a16="http://schemas.microsoft.com/office/drawing/2014/main" id="{00000000-0008-0000-0F00-0000C3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2" name="AutoShape 1">
          <a:extLst>
            <a:ext uri="{FF2B5EF4-FFF2-40B4-BE49-F238E27FC236}">
              <a16:creationId xmlns:a16="http://schemas.microsoft.com/office/drawing/2014/main" id="{00000000-0008-0000-0F00-0000C4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3" name="AutoShape 1">
          <a:extLst>
            <a:ext uri="{FF2B5EF4-FFF2-40B4-BE49-F238E27FC236}">
              <a16:creationId xmlns:a16="http://schemas.microsoft.com/office/drawing/2014/main" id="{00000000-0008-0000-0F00-0000C5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4" name="AutoShape 1">
          <a:extLst>
            <a:ext uri="{FF2B5EF4-FFF2-40B4-BE49-F238E27FC236}">
              <a16:creationId xmlns:a16="http://schemas.microsoft.com/office/drawing/2014/main" id="{00000000-0008-0000-0F00-0000C6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5" name="AutoShape 1">
          <a:extLst>
            <a:ext uri="{FF2B5EF4-FFF2-40B4-BE49-F238E27FC236}">
              <a16:creationId xmlns:a16="http://schemas.microsoft.com/office/drawing/2014/main" id="{00000000-0008-0000-0F00-0000C7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6" name="AutoShape 1">
          <a:extLst>
            <a:ext uri="{FF2B5EF4-FFF2-40B4-BE49-F238E27FC236}">
              <a16:creationId xmlns:a16="http://schemas.microsoft.com/office/drawing/2014/main" id="{00000000-0008-0000-0F00-0000C8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7" name="AutoShape 1">
          <a:extLst>
            <a:ext uri="{FF2B5EF4-FFF2-40B4-BE49-F238E27FC236}">
              <a16:creationId xmlns:a16="http://schemas.microsoft.com/office/drawing/2014/main" id="{00000000-0008-0000-0F00-0000C9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8" name="AutoShape 1">
          <a:extLst>
            <a:ext uri="{FF2B5EF4-FFF2-40B4-BE49-F238E27FC236}">
              <a16:creationId xmlns:a16="http://schemas.microsoft.com/office/drawing/2014/main" id="{00000000-0008-0000-0F00-0000CA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39" name="AutoShape 1">
          <a:extLst>
            <a:ext uri="{FF2B5EF4-FFF2-40B4-BE49-F238E27FC236}">
              <a16:creationId xmlns:a16="http://schemas.microsoft.com/office/drawing/2014/main" id="{00000000-0008-0000-0F00-0000CB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0" name="AutoShape 1">
          <a:extLst>
            <a:ext uri="{FF2B5EF4-FFF2-40B4-BE49-F238E27FC236}">
              <a16:creationId xmlns:a16="http://schemas.microsoft.com/office/drawing/2014/main" id="{00000000-0008-0000-0F00-0000CC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1" name="AutoShape 1">
          <a:extLst>
            <a:ext uri="{FF2B5EF4-FFF2-40B4-BE49-F238E27FC236}">
              <a16:creationId xmlns:a16="http://schemas.microsoft.com/office/drawing/2014/main" id="{00000000-0008-0000-0F00-0000CD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2" name="AutoShape 1">
          <a:extLst>
            <a:ext uri="{FF2B5EF4-FFF2-40B4-BE49-F238E27FC236}">
              <a16:creationId xmlns:a16="http://schemas.microsoft.com/office/drawing/2014/main" id="{00000000-0008-0000-0F00-0000CE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3" name="AutoShape 1">
          <a:extLst>
            <a:ext uri="{FF2B5EF4-FFF2-40B4-BE49-F238E27FC236}">
              <a16:creationId xmlns:a16="http://schemas.microsoft.com/office/drawing/2014/main" id="{00000000-0008-0000-0F00-0000CF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4" name="AutoShape 1">
          <a:extLst>
            <a:ext uri="{FF2B5EF4-FFF2-40B4-BE49-F238E27FC236}">
              <a16:creationId xmlns:a16="http://schemas.microsoft.com/office/drawing/2014/main" id="{00000000-0008-0000-0F00-0000D0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5" name="AutoShape 1">
          <a:extLst>
            <a:ext uri="{FF2B5EF4-FFF2-40B4-BE49-F238E27FC236}">
              <a16:creationId xmlns:a16="http://schemas.microsoft.com/office/drawing/2014/main" id="{00000000-0008-0000-0F00-0000D1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6" name="AutoShape 1">
          <a:extLst>
            <a:ext uri="{FF2B5EF4-FFF2-40B4-BE49-F238E27FC236}">
              <a16:creationId xmlns:a16="http://schemas.microsoft.com/office/drawing/2014/main" id="{00000000-0008-0000-0F00-0000D2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7" name="AutoShape 1">
          <a:extLst>
            <a:ext uri="{FF2B5EF4-FFF2-40B4-BE49-F238E27FC236}">
              <a16:creationId xmlns:a16="http://schemas.microsoft.com/office/drawing/2014/main" id="{00000000-0008-0000-0F00-0000D3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8" name="AutoShape 1">
          <a:extLst>
            <a:ext uri="{FF2B5EF4-FFF2-40B4-BE49-F238E27FC236}">
              <a16:creationId xmlns:a16="http://schemas.microsoft.com/office/drawing/2014/main" id="{00000000-0008-0000-0F00-0000D4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49" name="AutoShape 1">
          <a:extLst>
            <a:ext uri="{FF2B5EF4-FFF2-40B4-BE49-F238E27FC236}">
              <a16:creationId xmlns:a16="http://schemas.microsoft.com/office/drawing/2014/main" id="{00000000-0008-0000-0F00-0000D5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0" name="AutoShape 1">
          <a:extLst>
            <a:ext uri="{FF2B5EF4-FFF2-40B4-BE49-F238E27FC236}">
              <a16:creationId xmlns:a16="http://schemas.microsoft.com/office/drawing/2014/main" id="{00000000-0008-0000-0F00-0000D6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1" name="AutoShape 1">
          <a:extLst>
            <a:ext uri="{FF2B5EF4-FFF2-40B4-BE49-F238E27FC236}">
              <a16:creationId xmlns:a16="http://schemas.microsoft.com/office/drawing/2014/main" id="{00000000-0008-0000-0F00-0000D7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2" name="AutoShape 1">
          <a:extLst>
            <a:ext uri="{FF2B5EF4-FFF2-40B4-BE49-F238E27FC236}">
              <a16:creationId xmlns:a16="http://schemas.microsoft.com/office/drawing/2014/main" id="{00000000-0008-0000-0F00-0000D8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3" name="AutoShape 1">
          <a:extLst>
            <a:ext uri="{FF2B5EF4-FFF2-40B4-BE49-F238E27FC236}">
              <a16:creationId xmlns:a16="http://schemas.microsoft.com/office/drawing/2014/main" id="{00000000-0008-0000-0F00-0000D9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4" name="AutoShape 1">
          <a:extLst>
            <a:ext uri="{FF2B5EF4-FFF2-40B4-BE49-F238E27FC236}">
              <a16:creationId xmlns:a16="http://schemas.microsoft.com/office/drawing/2014/main" id="{00000000-0008-0000-0F00-0000DA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5" name="AutoShape 1">
          <a:extLst>
            <a:ext uri="{FF2B5EF4-FFF2-40B4-BE49-F238E27FC236}">
              <a16:creationId xmlns:a16="http://schemas.microsoft.com/office/drawing/2014/main" id="{00000000-0008-0000-0F00-0000DB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6" name="AutoShape 1">
          <a:extLst>
            <a:ext uri="{FF2B5EF4-FFF2-40B4-BE49-F238E27FC236}">
              <a16:creationId xmlns:a16="http://schemas.microsoft.com/office/drawing/2014/main" id="{00000000-0008-0000-0F00-0000DC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7" name="AutoShape 1">
          <a:extLst>
            <a:ext uri="{FF2B5EF4-FFF2-40B4-BE49-F238E27FC236}">
              <a16:creationId xmlns:a16="http://schemas.microsoft.com/office/drawing/2014/main" id="{00000000-0008-0000-0F00-0000DD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8" name="AutoShape 1">
          <a:extLst>
            <a:ext uri="{FF2B5EF4-FFF2-40B4-BE49-F238E27FC236}">
              <a16:creationId xmlns:a16="http://schemas.microsoft.com/office/drawing/2014/main" id="{00000000-0008-0000-0F00-0000DE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59" name="AutoShape 1">
          <a:extLst>
            <a:ext uri="{FF2B5EF4-FFF2-40B4-BE49-F238E27FC236}">
              <a16:creationId xmlns:a16="http://schemas.microsoft.com/office/drawing/2014/main" id="{00000000-0008-0000-0F00-0000DF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0" name="AutoShape 1">
          <a:extLst>
            <a:ext uri="{FF2B5EF4-FFF2-40B4-BE49-F238E27FC236}">
              <a16:creationId xmlns:a16="http://schemas.microsoft.com/office/drawing/2014/main" id="{00000000-0008-0000-0F00-0000E0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1" name="AutoShape 1">
          <a:extLst>
            <a:ext uri="{FF2B5EF4-FFF2-40B4-BE49-F238E27FC236}">
              <a16:creationId xmlns:a16="http://schemas.microsoft.com/office/drawing/2014/main" id="{00000000-0008-0000-0F00-0000E1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2" name="AutoShape 1">
          <a:extLst>
            <a:ext uri="{FF2B5EF4-FFF2-40B4-BE49-F238E27FC236}">
              <a16:creationId xmlns:a16="http://schemas.microsoft.com/office/drawing/2014/main" id="{00000000-0008-0000-0F00-0000E2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3" name="AutoShape 1">
          <a:extLst>
            <a:ext uri="{FF2B5EF4-FFF2-40B4-BE49-F238E27FC236}">
              <a16:creationId xmlns:a16="http://schemas.microsoft.com/office/drawing/2014/main" id="{00000000-0008-0000-0F00-0000E3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4" name="AutoShape 1">
          <a:extLst>
            <a:ext uri="{FF2B5EF4-FFF2-40B4-BE49-F238E27FC236}">
              <a16:creationId xmlns:a16="http://schemas.microsoft.com/office/drawing/2014/main" id="{00000000-0008-0000-0F00-0000E4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5" name="AutoShape 1">
          <a:extLst>
            <a:ext uri="{FF2B5EF4-FFF2-40B4-BE49-F238E27FC236}">
              <a16:creationId xmlns:a16="http://schemas.microsoft.com/office/drawing/2014/main" id="{00000000-0008-0000-0F00-0000E5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6" name="AutoShape 1">
          <a:extLst>
            <a:ext uri="{FF2B5EF4-FFF2-40B4-BE49-F238E27FC236}">
              <a16:creationId xmlns:a16="http://schemas.microsoft.com/office/drawing/2014/main" id="{00000000-0008-0000-0F00-0000E6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7" name="AutoShape 1">
          <a:extLst>
            <a:ext uri="{FF2B5EF4-FFF2-40B4-BE49-F238E27FC236}">
              <a16:creationId xmlns:a16="http://schemas.microsoft.com/office/drawing/2014/main" id="{00000000-0008-0000-0F00-0000E7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8" name="AutoShape 1">
          <a:extLst>
            <a:ext uri="{FF2B5EF4-FFF2-40B4-BE49-F238E27FC236}">
              <a16:creationId xmlns:a16="http://schemas.microsoft.com/office/drawing/2014/main" id="{00000000-0008-0000-0F00-0000E8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69" name="AutoShape 1">
          <a:extLst>
            <a:ext uri="{FF2B5EF4-FFF2-40B4-BE49-F238E27FC236}">
              <a16:creationId xmlns:a16="http://schemas.microsoft.com/office/drawing/2014/main" id="{00000000-0008-0000-0F00-0000E9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0" name="AutoShape 1">
          <a:extLst>
            <a:ext uri="{FF2B5EF4-FFF2-40B4-BE49-F238E27FC236}">
              <a16:creationId xmlns:a16="http://schemas.microsoft.com/office/drawing/2014/main" id="{00000000-0008-0000-0F00-0000EA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1" name="AutoShape 1">
          <a:extLst>
            <a:ext uri="{FF2B5EF4-FFF2-40B4-BE49-F238E27FC236}">
              <a16:creationId xmlns:a16="http://schemas.microsoft.com/office/drawing/2014/main" id="{00000000-0008-0000-0F00-0000EB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2" name="AutoShape 1">
          <a:extLst>
            <a:ext uri="{FF2B5EF4-FFF2-40B4-BE49-F238E27FC236}">
              <a16:creationId xmlns:a16="http://schemas.microsoft.com/office/drawing/2014/main" id="{00000000-0008-0000-0F00-0000EC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3" name="AutoShape 1">
          <a:extLst>
            <a:ext uri="{FF2B5EF4-FFF2-40B4-BE49-F238E27FC236}">
              <a16:creationId xmlns:a16="http://schemas.microsoft.com/office/drawing/2014/main" id="{00000000-0008-0000-0F00-0000ED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4" name="AutoShape 1">
          <a:extLst>
            <a:ext uri="{FF2B5EF4-FFF2-40B4-BE49-F238E27FC236}">
              <a16:creationId xmlns:a16="http://schemas.microsoft.com/office/drawing/2014/main" id="{00000000-0008-0000-0F00-0000EE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5" name="AutoShape 1">
          <a:extLst>
            <a:ext uri="{FF2B5EF4-FFF2-40B4-BE49-F238E27FC236}">
              <a16:creationId xmlns:a16="http://schemas.microsoft.com/office/drawing/2014/main" id="{00000000-0008-0000-0F00-0000EF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6" name="AutoShape 1">
          <a:extLst>
            <a:ext uri="{FF2B5EF4-FFF2-40B4-BE49-F238E27FC236}">
              <a16:creationId xmlns:a16="http://schemas.microsoft.com/office/drawing/2014/main" id="{00000000-0008-0000-0F00-0000F0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7" name="AutoShape 1">
          <a:extLst>
            <a:ext uri="{FF2B5EF4-FFF2-40B4-BE49-F238E27FC236}">
              <a16:creationId xmlns:a16="http://schemas.microsoft.com/office/drawing/2014/main" id="{00000000-0008-0000-0F00-0000F1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8" name="AutoShape 1">
          <a:extLst>
            <a:ext uri="{FF2B5EF4-FFF2-40B4-BE49-F238E27FC236}">
              <a16:creationId xmlns:a16="http://schemas.microsoft.com/office/drawing/2014/main" id="{00000000-0008-0000-0F00-0000F2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79" name="AutoShape 1">
          <a:extLst>
            <a:ext uri="{FF2B5EF4-FFF2-40B4-BE49-F238E27FC236}">
              <a16:creationId xmlns:a16="http://schemas.microsoft.com/office/drawing/2014/main" id="{00000000-0008-0000-0F00-0000F3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0" name="AutoShape 1">
          <a:extLst>
            <a:ext uri="{FF2B5EF4-FFF2-40B4-BE49-F238E27FC236}">
              <a16:creationId xmlns:a16="http://schemas.microsoft.com/office/drawing/2014/main" id="{00000000-0008-0000-0F00-0000F4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1" name="AutoShape 1">
          <a:extLst>
            <a:ext uri="{FF2B5EF4-FFF2-40B4-BE49-F238E27FC236}">
              <a16:creationId xmlns:a16="http://schemas.microsoft.com/office/drawing/2014/main" id="{00000000-0008-0000-0F00-0000F5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2" name="AutoShape 1">
          <a:extLst>
            <a:ext uri="{FF2B5EF4-FFF2-40B4-BE49-F238E27FC236}">
              <a16:creationId xmlns:a16="http://schemas.microsoft.com/office/drawing/2014/main" id="{00000000-0008-0000-0F00-0000F6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3" name="AutoShape 1">
          <a:extLst>
            <a:ext uri="{FF2B5EF4-FFF2-40B4-BE49-F238E27FC236}">
              <a16:creationId xmlns:a16="http://schemas.microsoft.com/office/drawing/2014/main" id="{00000000-0008-0000-0F00-0000F7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4" name="AutoShape 1">
          <a:extLst>
            <a:ext uri="{FF2B5EF4-FFF2-40B4-BE49-F238E27FC236}">
              <a16:creationId xmlns:a16="http://schemas.microsoft.com/office/drawing/2014/main" id="{00000000-0008-0000-0F00-0000F8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5" name="AutoShape 1">
          <a:extLst>
            <a:ext uri="{FF2B5EF4-FFF2-40B4-BE49-F238E27FC236}">
              <a16:creationId xmlns:a16="http://schemas.microsoft.com/office/drawing/2014/main" id="{00000000-0008-0000-0F00-0000F9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6" name="AutoShape 1">
          <a:extLst>
            <a:ext uri="{FF2B5EF4-FFF2-40B4-BE49-F238E27FC236}">
              <a16:creationId xmlns:a16="http://schemas.microsoft.com/office/drawing/2014/main" id="{00000000-0008-0000-0F00-0000FA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7" name="AutoShape 1">
          <a:extLst>
            <a:ext uri="{FF2B5EF4-FFF2-40B4-BE49-F238E27FC236}">
              <a16:creationId xmlns:a16="http://schemas.microsoft.com/office/drawing/2014/main" id="{00000000-0008-0000-0F00-0000FB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8" name="AutoShape 1">
          <a:extLst>
            <a:ext uri="{FF2B5EF4-FFF2-40B4-BE49-F238E27FC236}">
              <a16:creationId xmlns:a16="http://schemas.microsoft.com/office/drawing/2014/main" id="{00000000-0008-0000-0F00-0000FC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89" name="AutoShape 1">
          <a:extLst>
            <a:ext uri="{FF2B5EF4-FFF2-40B4-BE49-F238E27FC236}">
              <a16:creationId xmlns:a16="http://schemas.microsoft.com/office/drawing/2014/main" id="{00000000-0008-0000-0F00-0000FD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0" name="AutoShape 1">
          <a:extLst>
            <a:ext uri="{FF2B5EF4-FFF2-40B4-BE49-F238E27FC236}">
              <a16:creationId xmlns:a16="http://schemas.microsoft.com/office/drawing/2014/main" id="{00000000-0008-0000-0F00-0000FE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1" name="AutoShape 1">
          <a:extLst>
            <a:ext uri="{FF2B5EF4-FFF2-40B4-BE49-F238E27FC236}">
              <a16:creationId xmlns:a16="http://schemas.microsoft.com/office/drawing/2014/main" id="{00000000-0008-0000-0F00-0000FF06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2" name="AutoShape 1">
          <a:extLst>
            <a:ext uri="{FF2B5EF4-FFF2-40B4-BE49-F238E27FC236}">
              <a16:creationId xmlns:a16="http://schemas.microsoft.com/office/drawing/2014/main" id="{00000000-0008-0000-0F00-000000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3" name="AutoShape 1">
          <a:extLst>
            <a:ext uri="{FF2B5EF4-FFF2-40B4-BE49-F238E27FC236}">
              <a16:creationId xmlns:a16="http://schemas.microsoft.com/office/drawing/2014/main" id="{00000000-0008-0000-0F00-000001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4" name="AutoShape 1">
          <a:extLst>
            <a:ext uri="{FF2B5EF4-FFF2-40B4-BE49-F238E27FC236}">
              <a16:creationId xmlns:a16="http://schemas.microsoft.com/office/drawing/2014/main" id="{00000000-0008-0000-0F00-000002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5" name="AutoShape 1">
          <a:extLst>
            <a:ext uri="{FF2B5EF4-FFF2-40B4-BE49-F238E27FC236}">
              <a16:creationId xmlns:a16="http://schemas.microsoft.com/office/drawing/2014/main" id="{00000000-0008-0000-0F00-000003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6" name="AutoShape 1">
          <a:extLst>
            <a:ext uri="{FF2B5EF4-FFF2-40B4-BE49-F238E27FC236}">
              <a16:creationId xmlns:a16="http://schemas.microsoft.com/office/drawing/2014/main" id="{00000000-0008-0000-0F00-000004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7" name="AutoShape 1">
          <a:extLst>
            <a:ext uri="{FF2B5EF4-FFF2-40B4-BE49-F238E27FC236}">
              <a16:creationId xmlns:a16="http://schemas.microsoft.com/office/drawing/2014/main" id="{00000000-0008-0000-0F00-000005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8" name="AutoShape 1">
          <a:extLst>
            <a:ext uri="{FF2B5EF4-FFF2-40B4-BE49-F238E27FC236}">
              <a16:creationId xmlns:a16="http://schemas.microsoft.com/office/drawing/2014/main" id="{00000000-0008-0000-0F00-000006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799" name="AutoShape 1">
          <a:extLst>
            <a:ext uri="{FF2B5EF4-FFF2-40B4-BE49-F238E27FC236}">
              <a16:creationId xmlns:a16="http://schemas.microsoft.com/office/drawing/2014/main" id="{00000000-0008-0000-0F00-000007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0" name="AutoShape 1">
          <a:extLst>
            <a:ext uri="{FF2B5EF4-FFF2-40B4-BE49-F238E27FC236}">
              <a16:creationId xmlns:a16="http://schemas.microsoft.com/office/drawing/2014/main" id="{00000000-0008-0000-0F00-000008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1" name="AutoShape 1">
          <a:extLst>
            <a:ext uri="{FF2B5EF4-FFF2-40B4-BE49-F238E27FC236}">
              <a16:creationId xmlns:a16="http://schemas.microsoft.com/office/drawing/2014/main" id="{00000000-0008-0000-0F00-000009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2" name="AutoShape 1">
          <a:extLst>
            <a:ext uri="{FF2B5EF4-FFF2-40B4-BE49-F238E27FC236}">
              <a16:creationId xmlns:a16="http://schemas.microsoft.com/office/drawing/2014/main" id="{00000000-0008-0000-0F00-00000A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3" name="AutoShape 1">
          <a:extLst>
            <a:ext uri="{FF2B5EF4-FFF2-40B4-BE49-F238E27FC236}">
              <a16:creationId xmlns:a16="http://schemas.microsoft.com/office/drawing/2014/main" id="{00000000-0008-0000-0F00-00000B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4" name="AutoShape 1">
          <a:extLst>
            <a:ext uri="{FF2B5EF4-FFF2-40B4-BE49-F238E27FC236}">
              <a16:creationId xmlns:a16="http://schemas.microsoft.com/office/drawing/2014/main" id="{00000000-0008-0000-0F00-00000C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5" name="AutoShape 1">
          <a:extLst>
            <a:ext uri="{FF2B5EF4-FFF2-40B4-BE49-F238E27FC236}">
              <a16:creationId xmlns:a16="http://schemas.microsoft.com/office/drawing/2014/main" id="{00000000-0008-0000-0F00-00000D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6" name="AutoShape 1">
          <a:extLst>
            <a:ext uri="{FF2B5EF4-FFF2-40B4-BE49-F238E27FC236}">
              <a16:creationId xmlns:a16="http://schemas.microsoft.com/office/drawing/2014/main" id="{00000000-0008-0000-0F00-00000E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7" name="AutoShape 1">
          <a:extLst>
            <a:ext uri="{FF2B5EF4-FFF2-40B4-BE49-F238E27FC236}">
              <a16:creationId xmlns:a16="http://schemas.microsoft.com/office/drawing/2014/main" id="{00000000-0008-0000-0F00-00000F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8" name="AutoShape 1">
          <a:extLst>
            <a:ext uri="{FF2B5EF4-FFF2-40B4-BE49-F238E27FC236}">
              <a16:creationId xmlns:a16="http://schemas.microsoft.com/office/drawing/2014/main" id="{00000000-0008-0000-0F00-000010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09" name="AutoShape 1">
          <a:extLst>
            <a:ext uri="{FF2B5EF4-FFF2-40B4-BE49-F238E27FC236}">
              <a16:creationId xmlns:a16="http://schemas.microsoft.com/office/drawing/2014/main" id="{00000000-0008-0000-0F00-000011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0" name="AutoShape 1">
          <a:extLst>
            <a:ext uri="{FF2B5EF4-FFF2-40B4-BE49-F238E27FC236}">
              <a16:creationId xmlns:a16="http://schemas.microsoft.com/office/drawing/2014/main" id="{00000000-0008-0000-0F00-000012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1" name="AutoShape 1">
          <a:extLst>
            <a:ext uri="{FF2B5EF4-FFF2-40B4-BE49-F238E27FC236}">
              <a16:creationId xmlns:a16="http://schemas.microsoft.com/office/drawing/2014/main" id="{00000000-0008-0000-0F00-000013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2" name="AutoShape 1">
          <a:extLst>
            <a:ext uri="{FF2B5EF4-FFF2-40B4-BE49-F238E27FC236}">
              <a16:creationId xmlns:a16="http://schemas.microsoft.com/office/drawing/2014/main" id="{00000000-0008-0000-0F00-000014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3" name="AutoShape 1">
          <a:extLst>
            <a:ext uri="{FF2B5EF4-FFF2-40B4-BE49-F238E27FC236}">
              <a16:creationId xmlns:a16="http://schemas.microsoft.com/office/drawing/2014/main" id="{00000000-0008-0000-0F00-000015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4" name="AutoShape 1">
          <a:extLst>
            <a:ext uri="{FF2B5EF4-FFF2-40B4-BE49-F238E27FC236}">
              <a16:creationId xmlns:a16="http://schemas.microsoft.com/office/drawing/2014/main" id="{00000000-0008-0000-0F00-000016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5" name="AutoShape 1">
          <a:extLst>
            <a:ext uri="{FF2B5EF4-FFF2-40B4-BE49-F238E27FC236}">
              <a16:creationId xmlns:a16="http://schemas.microsoft.com/office/drawing/2014/main" id="{00000000-0008-0000-0F00-000017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6" name="AutoShape 1">
          <a:extLst>
            <a:ext uri="{FF2B5EF4-FFF2-40B4-BE49-F238E27FC236}">
              <a16:creationId xmlns:a16="http://schemas.microsoft.com/office/drawing/2014/main" id="{00000000-0008-0000-0F00-000018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7" name="AutoShape 1">
          <a:extLst>
            <a:ext uri="{FF2B5EF4-FFF2-40B4-BE49-F238E27FC236}">
              <a16:creationId xmlns:a16="http://schemas.microsoft.com/office/drawing/2014/main" id="{00000000-0008-0000-0F00-000019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8" name="AutoShape 1">
          <a:extLst>
            <a:ext uri="{FF2B5EF4-FFF2-40B4-BE49-F238E27FC236}">
              <a16:creationId xmlns:a16="http://schemas.microsoft.com/office/drawing/2014/main" id="{00000000-0008-0000-0F00-00001A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19" name="AutoShape 1">
          <a:extLst>
            <a:ext uri="{FF2B5EF4-FFF2-40B4-BE49-F238E27FC236}">
              <a16:creationId xmlns:a16="http://schemas.microsoft.com/office/drawing/2014/main" id="{00000000-0008-0000-0F00-00001B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0" name="AutoShape 1">
          <a:extLst>
            <a:ext uri="{FF2B5EF4-FFF2-40B4-BE49-F238E27FC236}">
              <a16:creationId xmlns:a16="http://schemas.microsoft.com/office/drawing/2014/main" id="{00000000-0008-0000-0F00-00001C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1" name="AutoShape 1">
          <a:extLst>
            <a:ext uri="{FF2B5EF4-FFF2-40B4-BE49-F238E27FC236}">
              <a16:creationId xmlns:a16="http://schemas.microsoft.com/office/drawing/2014/main" id="{00000000-0008-0000-0F00-00001D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2" name="AutoShape 1">
          <a:extLst>
            <a:ext uri="{FF2B5EF4-FFF2-40B4-BE49-F238E27FC236}">
              <a16:creationId xmlns:a16="http://schemas.microsoft.com/office/drawing/2014/main" id="{00000000-0008-0000-0F00-00001E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3" name="AutoShape 1">
          <a:extLst>
            <a:ext uri="{FF2B5EF4-FFF2-40B4-BE49-F238E27FC236}">
              <a16:creationId xmlns:a16="http://schemas.microsoft.com/office/drawing/2014/main" id="{00000000-0008-0000-0F00-00001F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4" name="AutoShape 1">
          <a:extLst>
            <a:ext uri="{FF2B5EF4-FFF2-40B4-BE49-F238E27FC236}">
              <a16:creationId xmlns:a16="http://schemas.microsoft.com/office/drawing/2014/main" id="{00000000-0008-0000-0F00-000020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5" name="AutoShape 1">
          <a:extLst>
            <a:ext uri="{FF2B5EF4-FFF2-40B4-BE49-F238E27FC236}">
              <a16:creationId xmlns:a16="http://schemas.microsoft.com/office/drawing/2014/main" id="{00000000-0008-0000-0F00-000021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6" name="AutoShape 1">
          <a:extLst>
            <a:ext uri="{FF2B5EF4-FFF2-40B4-BE49-F238E27FC236}">
              <a16:creationId xmlns:a16="http://schemas.microsoft.com/office/drawing/2014/main" id="{00000000-0008-0000-0F00-000022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7" name="AutoShape 1">
          <a:extLst>
            <a:ext uri="{FF2B5EF4-FFF2-40B4-BE49-F238E27FC236}">
              <a16:creationId xmlns:a16="http://schemas.microsoft.com/office/drawing/2014/main" id="{00000000-0008-0000-0F00-000023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8" name="AutoShape 1">
          <a:extLst>
            <a:ext uri="{FF2B5EF4-FFF2-40B4-BE49-F238E27FC236}">
              <a16:creationId xmlns:a16="http://schemas.microsoft.com/office/drawing/2014/main" id="{00000000-0008-0000-0F00-000024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29" name="AutoShape 1">
          <a:extLst>
            <a:ext uri="{FF2B5EF4-FFF2-40B4-BE49-F238E27FC236}">
              <a16:creationId xmlns:a16="http://schemas.microsoft.com/office/drawing/2014/main" id="{00000000-0008-0000-0F00-000025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0" name="AutoShape 1">
          <a:extLst>
            <a:ext uri="{FF2B5EF4-FFF2-40B4-BE49-F238E27FC236}">
              <a16:creationId xmlns:a16="http://schemas.microsoft.com/office/drawing/2014/main" id="{00000000-0008-0000-0F00-000026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1" name="AutoShape 1">
          <a:extLst>
            <a:ext uri="{FF2B5EF4-FFF2-40B4-BE49-F238E27FC236}">
              <a16:creationId xmlns:a16="http://schemas.microsoft.com/office/drawing/2014/main" id="{00000000-0008-0000-0F00-000027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2" name="AutoShape 1">
          <a:extLst>
            <a:ext uri="{FF2B5EF4-FFF2-40B4-BE49-F238E27FC236}">
              <a16:creationId xmlns:a16="http://schemas.microsoft.com/office/drawing/2014/main" id="{00000000-0008-0000-0F00-000028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3" name="AutoShape 1">
          <a:extLst>
            <a:ext uri="{FF2B5EF4-FFF2-40B4-BE49-F238E27FC236}">
              <a16:creationId xmlns:a16="http://schemas.microsoft.com/office/drawing/2014/main" id="{00000000-0008-0000-0F00-000029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4" name="AutoShape 1">
          <a:extLst>
            <a:ext uri="{FF2B5EF4-FFF2-40B4-BE49-F238E27FC236}">
              <a16:creationId xmlns:a16="http://schemas.microsoft.com/office/drawing/2014/main" id="{00000000-0008-0000-0F00-00002A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5" name="AutoShape 1">
          <a:extLst>
            <a:ext uri="{FF2B5EF4-FFF2-40B4-BE49-F238E27FC236}">
              <a16:creationId xmlns:a16="http://schemas.microsoft.com/office/drawing/2014/main" id="{00000000-0008-0000-0F00-00002B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6" name="AutoShape 1">
          <a:extLst>
            <a:ext uri="{FF2B5EF4-FFF2-40B4-BE49-F238E27FC236}">
              <a16:creationId xmlns:a16="http://schemas.microsoft.com/office/drawing/2014/main" id="{00000000-0008-0000-0F00-00002C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7" name="AutoShape 1">
          <a:extLst>
            <a:ext uri="{FF2B5EF4-FFF2-40B4-BE49-F238E27FC236}">
              <a16:creationId xmlns:a16="http://schemas.microsoft.com/office/drawing/2014/main" id="{00000000-0008-0000-0F00-00002D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8" name="AutoShape 1">
          <a:extLst>
            <a:ext uri="{FF2B5EF4-FFF2-40B4-BE49-F238E27FC236}">
              <a16:creationId xmlns:a16="http://schemas.microsoft.com/office/drawing/2014/main" id="{00000000-0008-0000-0F00-00002E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39" name="AutoShape 1">
          <a:extLst>
            <a:ext uri="{FF2B5EF4-FFF2-40B4-BE49-F238E27FC236}">
              <a16:creationId xmlns:a16="http://schemas.microsoft.com/office/drawing/2014/main" id="{00000000-0008-0000-0F00-00002F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0" name="AutoShape 1">
          <a:extLst>
            <a:ext uri="{FF2B5EF4-FFF2-40B4-BE49-F238E27FC236}">
              <a16:creationId xmlns:a16="http://schemas.microsoft.com/office/drawing/2014/main" id="{00000000-0008-0000-0F00-000030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1" name="AutoShape 1">
          <a:extLst>
            <a:ext uri="{FF2B5EF4-FFF2-40B4-BE49-F238E27FC236}">
              <a16:creationId xmlns:a16="http://schemas.microsoft.com/office/drawing/2014/main" id="{00000000-0008-0000-0F00-000031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2" name="AutoShape 1">
          <a:extLst>
            <a:ext uri="{FF2B5EF4-FFF2-40B4-BE49-F238E27FC236}">
              <a16:creationId xmlns:a16="http://schemas.microsoft.com/office/drawing/2014/main" id="{00000000-0008-0000-0F00-000032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3" name="AutoShape 1">
          <a:extLst>
            <a:ext uri="{FF2B5EF4-FFF2-40B4-BE49-F238E27FC236}">
              <a16:creationId xmlns:a16="http://schemas.microsoft.com/office/drawing/2014/main" id="{00000000-0008-0000-0F00-000033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4" name="AutoShape 1">
          <a:extLst>
            <a:ext uri="{FF2B5EF4-FFF2-40B4-BE49-F238E27FC236}">
              <a16:creationId xmlns:a16="http://schemas.microsoft.com/office/drawing/2014/main" id="{00000000-0008-0000-0F00-000034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5" name="AutoShape 1">
          <a:extLst>
            <a:ext uri="{FF2B5EF4-FFF2-40B4-BE49-F238E27FC236}">
              <a16:creationId xmlns:a16="http://schemas.microsoft.com/office/drawing/2014/main" id="{00000000-0008-0000-0F00-000035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6" name="AutoShape 1">
          <a:extLst>
            <a:ext uri="{FF2B5EF4-FFF2-40B4-BE49-F238E27FC236}">
              <a16:creationId xmlns:a16="http://schemas.microsoft.com/office/drawing/2014/main" id="{00000000-0008-0000-0F00-000036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7" name="AutoShape 1">
          <a:extLst>
            <a:ext uri="{FF2B5EF4-FFF2-40B4-BE49-F238E27FC236}">
              <a16:creationId xmlns:a16="http://schemas.microsoft.com/office/drawing/2014/main" id="{00000000-0008-0000-0F00-000037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8" name="AutoShape 1">
          <a:extLst>
            <a:ext uri="{FF2B5EF4-FFF2-40B4-BE49-F238E27FC236}">
              <a16:creationId xmlns:a16="http://schemas.microsoft.com/office/drawing/2014/main" id="{00000000-0008-0000-0F00-000038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49" name="AutoShape 1">
          <a:extLst>
            <a:ext uri="{FF2B5EF4-FFF2-40B4-BE49-F238E27FC236}">
              <a16:creationId xmlns:a16="http://schemas.microsoft.com/office/drawing/2014/main" id="{00000000-0008-0000-0F00-000039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0" name="AutoShape 1">
          <a:extLst>
            <a:ext uri="{FF2B5EF4-FFF2-40B4-BE49-F238E27FC236}">
              <a16:creationId xmlns:a16="http://schemas.microsoft.com/office/drawing/2014/main" id="{00000000-0008-0000-0F00-00003A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1" name="AutoShape 1">
          <a:extLst>
            <a:ext uri="{FF2B5EF4-FFF2-40B4-BE49-F238E27FC236}">
              <a16:creationId xmlns:a16="http://schemas.microsoft.com/office/drawing/2014/main" id="{00000000-0008-0000-0F00-00003B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2" name="AutoShape 1">
          <a:extLst>
            <a:ext uri="{FF2B5EF4-FFF2-40B4-BE49-F238E27FC236}">
              <a16:creationId xmlns:a16="http://schemas.microsoft.com/office/drawing/2014/main" id="{00000000-0008-0000-0F00-00003C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3" name="AutoShape 1">
          <a:extLst>
            <a:ext uri="{FF2B5EF4-FFF2-40B4-BE49-F238E27FC236}">
              <a16:creationId xmlns:a16="http://schemas.microsoft.com/office/drawing/2014/main" id="{00000000-0008-0000-0F00-00003D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4" name="AutoShape 1">
          <a:extLst>
            <a:ext uri="{FF2B5EF4-FFF2-40B4-BE49-F238E27FC236}">
              <a16:creationId xmlns:a16="http://schemas.microsoft.com/office/drawing/2014/main" id="{00000000-0008-0000-0F00-00003E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5" name="AutoShape 1">
          <a:extLst>
            <a:ext uri="{FF2B5EF4-FFF2-40B4-BE49-F238E27FC236}">
              <a16:creationId xmlns:a16="http://schemas.microsoft.com/office/drawing/2014/main" id="{00000000-0008-0000-0F00-00003F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6" name="AutoShape 1">
          <a:extLst>
            <a:ext uri="{FF2B5EF4-FFF2-40B4-BE49-F238E27FC236}">
              <a16:creationId xmlns:a16="http://schemas.microsoft.com/office/drawing/2014/main" id="{00000000-0008-0000-0F00-000040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7" name="AutoShape 1">
          <a:extLst>
            <a:ext uri="{FF2B5EF4-FFF2-40B4-BE49-F238E27FC236}">
              <a16:creationId xmlns:a16="http://schemas.microsoft.com/office/drawing/2014/main" id="{00000000-0008-0000-0F00-000041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8" name="AutoShape 1">
          <a:extLst>
            <a:ext uri="{FF2B5EF4-FFF2-40B4-BE49-F238E27FC236}">
              <a16:creationId xmlns:a16="http://schemas.microsoft.com/office/drawing/2014/main" id="{00000000-0008-0000-0F00-000042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59" name="AutoShape 1">
          <a:extLst>
            <a:ext uri="{FF2B5EF4-FFF2-40B4-BE49-F238E27FC236}">
              <a16:creationId xmlns:a16="http://schemas.microsoft.com/office/drawing/2014/main" id="{00000000-0008-0000-0F00-000043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0" name="AutoShape 1">
          <a:extLst>
            <a:ext uri="{FF2B5EF4-FFF2-40B4-BE49-F238E27FC236}">
              <a16:creationId xmlns:a16="http://schemas.microsoft.com/office/drawing/2014/main" id="{00000000-0008-0000-0F00-000044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1" name="AutoShape 1">
          <a:extLst>
            <a:ext uri="{FF2B5EF4-FFF2-40B4-BE49-F238E27FC236}">
              <a16:creationId xmlns:a16="http://schemas.microsoft.com/office/drawing/2014/main" id="{00000000-0008-0000-0F00-000045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2" name="AutoShape 1">
          <a:extLst>
            <a:ext uri="{FF2B5EF4-FFF2-40B4-BE49-F238E27FC236}">
              <a16:creationId xmlns:a16="http://schemas.microsoft.com/office/drawing/2014/main" id="{00000000-0008-0000-0F00-000046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3" name="AutoShape 1">
          <a:extLst>
            <a:ext uri="{FF2B5EF4-FFF2-40B4-BE49-F238E27FC236}">
              <a16:creationId xmlns:a16="http://schemas.microsoft.com/office/drawing/2014/main" id="{00000000-0008-0000-0F00-000047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4" name="AutoShape 1">
          <a:extLst>
            <a:ext uri="{FF2B5EF4-FFF2-40B4-BE49-F238E27FC236}">
              <a16:creationId xmlns:a16="http://schemas.microsoft.com/office/drawing/2014/main" id="{00000000-0008-0000-0F00-000048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5" name="AutoShape 1">
          <a:extLst>
            <a:ext uri="{FF2B5EF4-FFF2-40B4-BE49-F238E27FC236}">
              <a16:creationId xmlns:a16="http://schemas.microsoft.com/office/drawing/2014/main" id="{00000000-0008-0000-0F00-000049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6" name="AutoShape 1">
          <a:extLst>
            <a:ext uri="{FF2B5EF4-FFF2-40B4-BE49-F238E27FC236}">
              <a16:creationId xmlns:a16="http://schemas.microsoft.com/office/drawing/2014/main" id="{00000000-0008-0000-0F00-00004A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7" name="AutoShape 1">
          <a:extLst>
            <a:ext uri="{FF2B5EF4-FFF2-40B4-BE49-F238E27FC236}">
              <a16:creationId xmlns:a16="http://schemas.microsoft.com/office/drawing/2014/main" id="{00000000-0008-0000-0F00-00004B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8" name="AutoShape 1">
          <a:extLst>
            <a:ext uri="{FF2B5EF4-FFF2-40B4-BE49-F238E27FC236}">
              <a16:creationId xmlns:a16="http://schemas.microsoft.com/office/drawing/2014/main" id="{00000000-0008-0000-0F00-00004C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69" name="AutoShape 1">
          <a:extLst>
            <a:ext uri="{FF2B5EF4-FFF2-40B4-BE49-F238E27FC236}">
              <a16:creationId xmlns:a16="http://schemas.microsoft.com/office/drawing/2014/main" id="{00000000-0008-0000-0F00-00004D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0" name="AutoShape 1">
          <a:extLst>
            <a:ext uri="{FF2B5EF4-FFF2-40B4-BE49-F238E27FC236}">
              <a16:creationId xmlns:a16="http://schemas.microsoft.com/office/drawing/2014/main" id="{00000000-0008-0000-0F00-00004E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1" name="AutoShape 1">
          <a:extLst>
            <a:ext uri="{FF2B5EF4-FFF2-40B4-BE49-F238E27FC236}">
              <a16:creationId xmlns:a16="http://schemas.microsoft.com/office/drawing/2014/main" id="{00000000-0008-0000-0F00-00004F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2" name="AutoShape 1">
          <a:extLst>
            <a:ext uri="{FF2B5EF4-FFF2-40B4-BE49-F238E27FC236}">
              <a16:creationId xmlns:a16="http://schemas.microsoft.com/office/drawing/2014/main" id="{00000000-0008-0000-0F00-000050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3" name="AutoShape 1">
          <a:extLst>
            <a:ext uri="{FF2B5EF4-FFF2-40B4-BE49-F238E27FC236}">
              <a16:creationId xmlns:a16="http://schemas.microsoft.com/office/drawing/2014/main" id="{00000000-0008-0000-0F00-000051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4" name="AutoShape 1">
          <a:extLst>
            <a:ext uri="{FF2B5EF4-FFF2-40B4-BE49-F238E27FC236}">
              <a16:creationId xmlns:a16="http://schemas.microsoft.com/office/drawing/2014/main" id="{00000000-0008-0000-0F00-000052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5" name="AutoShape 1">
          <a:extLst>
            <a:ext uri="{FF2B5EF4-FFF2-40B4-BE49-F238E27FC236}">
              <a16:creationId xmlns:a16="http://schemas.microsoft.com/office/drawing/2014/main" id="{00000000-0008-0000-0F00-000053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6" name="AutoShape 1">
          <a:extLst>
            <a:ext uri="{FF2B5EF4-FFF2-40B4-BE49-F238E27FC236}">
              <a16:creationId xmlns:a16="http://schemas.microsoft.com/office/drawing/2014/main" id="{00000000-0008-0000-0F00-000054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7" name="AutoShape 1">
          <a:extLst>
            <a:ext uri="{FF2B5EF4-FFF2-40B4-BE49-F238E27FC236}">
              <a16:creationId xmlns:a16="http://schemas.microsoft.com/office/drawing/2014/main" id="{00000000-0008-0000-0F00-000055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8" name="AutoShape 1">
          <a:extLst>
            <a:ext uri="{FF2B5EF4-FFF2-40B4-BE49-F238E27FC236}">
              <a16:creationId xmlns:a16="http://schemas.microsoft.com/office/drawing/2014/main" id="{00000000-0008-0000-0F00-000056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79" name="AutoShape 1">
          <a:extLst>
            <a:ext uri="{FF2B5EF4-FFF2-40B4-BE49-F238E27FC236}">
              <a16:creationId xmlns:a16="http://schemas.microsoft.com/office/drawing/2014/main" id="{00000000-0008-0000-0F00-000057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80" name="AutoShape 1">
          <a:extLst>
            <a:ext uri="{FF2B5EF4-FFF2-40B4-BE49-F238E27FC236}">
              <a16:creationId xmlns:a16="http://schemas.microsoft.com/office/drawing/2014/main" id="{00000000-0008-0000-0F00-000058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81" name="AutoShape 1">
          <a:extLst>
            <a:ext uri="{FF2B5EF4-FFF2-40B4-BE49-F238E27FC236}">
              <a16:creationId xmlns:a16="http://schemas.microsoft.com/office/drawing/2014/main" id="{00000000-0008-0000-0F00-000059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1882" name="AutoShape 1">
          <a:extLst>
            <a:ext uri="{FF2B5EF4-FFF2-40B4-BE49-F238E27FC236}">
              <a16:creationId xmlns:a16="http://schemas.microsoft.com/office/drawing/2014/main" id="{00000000-0008-0000-0F00-00005A070000}"/>
            </a:ext>
          </a:extLst>
        </xdr:cNvPr>
        <xdr:cNvSpPr>
          <a:spLocks noChangeAspect="1" noChangeArrowheads="1"/>
        </xdr:cNvSpPr>
      </xdr:nvSpPr>
      <xdr:spPr bwMode="auto">
        <a:xfrm>
          <a:off x="977900" y="668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07" name="AutoShape 1">
          <a:extLst>
            <a:ext uri="{FF2B5EF4-FFF2-40B4-BE49-F238E27FC236}">
              <a16:creationId xmlns:a16="http://schemas.microsoft.com/office/drawing/2014/main" id="{00000000-0008-0000-0F00-0000F7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08" name="AutoShape 1">
          <a:extLst>
            <a:ext uri="{FF2B5EF4-FFF2-40B4-BE49-F238E27FC236}">
              <a16:creationId xmlns:a16="http://schemas.microsoft.com/office/drawing/2014/main" id="{00000000-0008-0000-0F00-0000F8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09" name="AutoShape 1">
          <a:extLst>
            <a:ext uri="{FF2B5EF4-FFF2-40B4-BE49-F238E27FC236}">
              <a16:creationId xmlns:a16="http://schemas.microsoft.com/office/drawing/2014/main" id="{00000000-0008-0000-0F00-0000F9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0" name="AutoShape 1">
          <a:extLst>
            <a:ext uri="{FF2B5EF4-FFF2-40B4-BE49-F238E27FC236}">
              <a16:creationId xmlns:a16="http://schemas.microsoft.com/office/drawing/2014/main" id="{00000000-0008-0000-0F00-0000FA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1" name="AutoShape 1">
          <a:extLst>
            <a:ext uri="{FF2B5EF4-FFF2-40B4-BE49-F238E27FC236}">
              <a16:creationId xmlns:a16="http://schemas.microsoft.com/office/drawing/2014/main" id="{00000000-0008-0000-0F00-0000FB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2" name="AutoShape 1">
          <a:extLst>
            <a:ext uri="{FF2B5EF4-FFF2-40B4-BE49-F238E27FC236}">
              <a16:creationId xmlns:a16="http://schemas.microsoft.com/office/drawing/2014/main" id="{00000000-0008-0000-0F00-0000FC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3" name="AutoShape 1">
          <a:extLst>
            <a:ext uri="{FF2B5EF4-FFF2-40B4-BE49-F238E27FC236}">
              <a16:creationId xmlns:a16="http://schemas.microsoft.com/office/drawing/2014/main" id="{00000000-0008-0000-0F00-0000FD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4" name="AutoShape 1">
          <a:extLst>
            <a:ext uri="{FF2B5EF4-FFF2-40B4-BE49-F238E27FC236}">
              <a16:creationId xmlns:a16="http://schemas.microsoft.com/office/drawing/2014/main" id="{00000000-0008-0000-0F00-0000FE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5" name="AutoShape 1">
          <a:extLst>
            <a:ext uri="{FF2B5EF4-FFF2-40B4-BE49-F238E27FC236}">
              <a16:creationId xmlns:a16="http://schemas.microsoft.com/office/drawing/2014/main" id="{00000000-0008-0000-0F00-0000FF0A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6" name="AutoShape 1">
          <a:extLst>
            <a:ext uri="{FF2B5EF4-FFF2-40B4-BE49-F238E27FC236}">
              <a16:creationId xmlns:a16="http://schemas.microsoft.com/office/drawing/2014/main" id="{00000000-0008-0000-0F00-00000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7" name="AutoShape 1">
          <a:extLst>
            <a:ext uri="{FF2B5EF4-FFF2-40B4-BE49-F238E27FC236}">
              <a16:creationId xmlns:a16="http://schemas.microsoft.com/office/drawing/2014/main" id="{00000000-0008-0000-0F00-00000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8" name="AutoShape 1">
          <a:extLst>
            <a:ext uri="{FF2B5EF4-FFF2-40B4-BE49-F238E27FC236}">
              <a16:creationId xmlns:a16="http://schemas.microsoft.com/office/drawing/2014/main" id="{00000000-0008-0000-0F00-00000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19" name="AutoShape 1">
          <a:extLst>
            <a:ext uri="{FF2B5EF4-FFF2-40B4-BE49-F238E27FC236}">
              <a16:creationId xmlns:a16="http://schemas.microsoft.com/office/drawing/2014/main" id="{00000000-0008-0000-0F00-00000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0" name="AutoShape 1">
          <a:extLst>
            <a:ext uri="{FF2B5EF4-FFF2-40B4-BE49-F238E27FC236}">
              <a16:creationId xmlns:a16="http://schemas.microsoft.com/office/drawing/2014/main" id="{00000000-0008-0000-0F00-00000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1" name="AutoShape 1">
          <a:extLst>
            <a:ext uri="{FF2B5EF4-FFF2-40B4-BE49-F238E27FC236}">
              <a16:creationId xmlns:a16="http://schemas.microsoft.com/office/drawing/2014/main" id="{00000000-0008-0000-0F00-00000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2" name="AutoShape 1">
          <a:extLst>
            <a:ext uri="{FF2B5EF4-FFF2-40B4-BE49-F238E27FC236}">
              <a16:creationId xmlns:a16="http://schemas.microsoft.com/office/drawing/2014/main" id="{00000000-0008-0000-0F00-00000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3" name="AutoShape 1">
          <a:extLst>
            <a:ext uri="{FF2B5EF4-FFF2-40B4-BE49-F238E27FC236}">
              <a16:creationId xmlns:a16="http://schemas.microsoft.com/office/drawing/2014/main" id="{00000000-0008-0000-0F00-00000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4" name="AutoShape 1">
          <a:extLst>
            <a:ext uri="{FF2B5EF4-FFF2-40B4-BE49-F238E27FC236}">
              <a16:creationId xmlns:a16="http://schemas.microsoft.com/office/drawing/2014/main" id="{00000000-0008-0000-0F00-00000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5" name="AutoShape 1">
          <a:extLst>
            <a:ext uri="{FF2B5EF4-FFF2-40B4-BE49-F238E27FC236}">
              <a16:creationId xmlns:a16="http://schemas.microsoft.com/office/drawing/2014/main" id="{00000000-0008-0000-0F00-00000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6" name="AutoShape 1">
          <a:extLst>
            <a:ext uri="{FF2B5EF4-FFF2-40B4-BE49-F238E27FC236}">
              <a16:creationId xmlns:a16="http://schemas.microsoft.com/office/drawing/2014/main" id="{00000000-0008-0000-0F00-00000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7" name="AutoShape 1">
          <a:extLst>
            <a:ext uri="{FF2B5EF4-FFF2-40B4-BE49-F238E27FC236}">
              <a16:creationId xmlns:a16="http://schemas.microsoft.com/office/drawing/2014/main" id="{00000000-0008-0000-0F00-00000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8" name="AutoShape 1">
          <a:extLst>
            <a:ext uri="{FF2B5EF4-FFF2-40B4-BE49-F238E27FC236}">
              <a16:creationId xmlns:a16="http://schemas.microsoft.com/office/drawing/2014/main" id="{00000000-0008-0000-0F00-00000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29" name="AutoShape 1">
          <a:extLst>
            <a:ext uri="{FF2B5EF4-FFF2-40B4-BE49-F238E27FC236}">
              <a16:creationId xmlns:a16="http://schemas.microsoft.com/office/drawing/2014/main" id="{00000000-0008-0000-0F00-00000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0" name="AutoShape 1">
          <a:extLst>
            <a:ext uri="{FF2B5EF4-FFF2-40B4-BE49-F238E27FC236}">
              <a16:creationId xmlns:a16="http://schemas.microsoft.com/office/drawing/2014/main" id="{00000000-0008-0000-0F00-00000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1" name="AutoShape 1">
          <a:extLst>
            <a:ext uri="{FF2B5EF4-FFF2-40B4-BE49-F238E27FC236}">
              <a16:creationId xmlns:a16="http://schemas.microsoft.com/office/drawing/2014/main" id="{00000000-0008-0000-0F00-00000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2" name="AutoShape 1">
          <a:extLst>
            <a:ext uri="{FF2B5EF4-FFF2-40B4-BE49-F238E27FC236}">
              <a16:creationId xmlns:a16="http://schemas.microsoft.com/office/drawing/2014/main" id="{00000000-0008-0000-0F00-00001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3" name="AutoShape 1">
          <a:extLst>
            <a:ext uri="{FF2B5EF4-FFF2-40B4-BE49-F238E27FC236}">
              <a16:creationId xmlns:a16="http://schemas.microsoft.com/office/drawing/2014/main" id="{00000000-0008-0000-0F00-00001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4" name="AutoShape 1">
          <a:extLst>
            <a:ext uri="{FF2B5EF4-FFF2-40B4-BE49-F238E27FC236}">
              <a16:creationId xmlns:a16="http://schemas.microsoft.com/office/drawing/2014/main" id="{00000000-0008-0000-0F00-00001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5" name="AutoShape 1">
          <a:extLst>
            <a:ext uri="{FF2B5EF4-FFF2-40B4-BE49-F238E27FC236}">
              <a16:creationId xmlns:a16="http://schemas.microsoft.com/office/drawing/2014/main" id="{00000000-0008-0000-0F00-00001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6" name="AutoShape 1">
          <a:extLst>
            <a:ext uri="{FF2B5EF4-FFF2-40B4-BE49-F238E27FC236}">
              <a16:creationId xmlns:a16="http://schemas.microsoft.com/office/drawing/2014/main" id="{00000000-0008-0000-0F00-00001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7" name="AutoShape 1">
          <a:extLst>
            <a:ext uri="{FF2B5EF4-FFF2-40B4-BE49-F238E27FC236}">
              <a16:creationId xmlns:a16="http://schemas.microsoft.com/office/drawing/2014/main" id="{00000000-0008-0000-0F00-00001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8" name="AutoShape 1">
          <a:extLst>
            <a:ext uri="{FF2B5EF4-FFF2-40B4-BE49-F238E27FC236}">
              <a16:creationId xmlns:a16="http://schemas.microsoft.com/office/drawing/2014/main" id="{00000000-0008-0000-0F00-00001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39" name="AutoShape 1">
          <a:extLst>
            <a:ext uri="{FF2B5EF4-FFF2-40B4-BE49-F238E27FC236}">
              <a16:creationId xmlns:a16="http://schemas.microsoft.com/office/drawing/2014/main" id="{00000000-0008-0000-0F00-00001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0" name="AutoShape 1">
          <a:extLst>
            <a:ext uri="{FF2B5EF4-FFF2-40B4-BE49-F238E27FC236}">
              <a16:creationId xmlns:a16="http://schemas.microsoft.com/office/drawing/2014/main" id="{00000000-0008-0000-0F00-00001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1" name="AutoShape 1">
          <a:extLst>
            <a:ext uri="{FF2B5EF4-FFF2-40B4-BE49-F238E27FC236}">
              <a16:creationId xmlns:a16="http://schemas.microsoft.com/office/drawing/2014/main" id="{00000000-0008-0000-0F00-00001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2" name="AutoShape 1">
          <a:extLst>
            <a:ext uri="{FF2B5EF4-FFF2-40B4-BE49-F238E27FC236}">
              <a16:creationId xmlns:a16="http://schemas.microsoft.com/office/drawing/2014/main" id="{00000000-0008-0000-0F00-00001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3" name="AutoShape 1">
          <a:extLst>
            <a:ext uri="{FF2B5EF4-FFF2-40B4-BE49-F238E27FC236}">
              <a16:creationId xmlns:a16="http://schemas.microsoft.com/office/drawing/2014/main" id="{00000000-0008-0000-0F00-00001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4" name="AutoShape 1">
          <a:extLst>
            <a:ext uri="{FF2B5EF4-FFF2-40B4-BE49-F238E27FC236}">
              <a16:creationId xmlns:a16="http://schemas.microsoft.com/office/drawing/2014/main" id="{00000000-0008-0000-0F00-00001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5" name="AutoShape 1">
          <a:extLst>
            <a:ext uri="{FF2B5EF4-FFF2-40B4-BE49-F238E27FC236}">
              <a16:creationId xmlns:a16="http://schemas.microsoft.com/office/drawing/2014/main" id="{00000000-0008-0000-0F00-00001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6" name="AutoShape 1">
          <a:extLst>
            <a:ext uri="{FF2B5EF4-FFF2-40B4-BE49-F238E27FC236}">
              <a16:creationId xmlns:a16="http://schemas.microsoft.com/office/drawing/2014/main" id="{00000000-0008-0000-0F00-00001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7" name="AutoShape 1">
          <a:extLst>
            <a:ext uri="{FF2B5EF4-FFF2-40B4-BE49-F238E27FC236}">
              <a16:creationId xmlns:a16="http://schemas.microsoft.com/office/drawing/2014/main" id="{00000000-0008-0000-0F00-00001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8" name="AutoShape 1">
          <a:extLst>
            <a:ext uri="{FF2B5EF4-FFF2-40B4-BE49-F238E27FC236}">
              <a16:creationId xmlns:a16="http://schemas.microsoft.com/office/drawing/2014/main" id="{00000000-0008-0000-0F00-00002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49" name="AutoShape 1">
          <a:extLst>
            <a:ext uri="{FF2B5EF4-FFF2-40B4-BE49-F238E27FC236}">
              <a16:creationId xmlns:a16="http://schemas.microsoft.com/office/drawing/2014/main" id="{00000000-0008-0000-0F00-00002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0" name="AutoShape 1">
          <a:extLst>
            <a:ext uri="{FF2B5EF4-FFF2-40B4-BE49-F238E27FC236}">
              <a16:creationId xmlns:a16="http://schemas.microsoft.com/office/drawing/2014/main" id="{00000000-0008-0000-0F00-00002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1" name="AutoShape 1">
          <a:extLst>
            <a:ext uri="{FF2B5EF4-FFF2-40B4-BE49-F238E27FC236}">
              <a16:creationId xmlns:a16="http://schemas.microsoft.com/office/drawing/2014/main" id="{00000000-0008-0000-0F00-00002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2" name="AutoShape 1">
          <a:extLst>
            <a:ext uri="{FF2B5EF4-FFF2-40B4-BE49-F238E27FC236}">
              <a16:creationId xmlns:a16="http://schemas.microsoft.com/office/drawing/2014/main" id="{00000000-0008-0000-0F00-00002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3" name="AutoShape 1">
          <a:extLst>
            <a:ext uri="{FF2B5EF4-FFF2-40B4-BE49-F238E27FC236}">
              <a16:creationId xmlns:a16="http://schemas.microsoft.com/office/drawing/2014/main" id="{00000000-0008-0000-0F00-00002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4" name="AutoShape 1">
          <a:extLst>
            <a:ext uri="{FF2B5EF4-FFF2-40B4-BE49-F238E27FC236}">
              <a16:creationId xmlns:a16="http://schemas.microsoft.com/office/drawing/2014/main" id="{00000000-0008-0000-0F00-00002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5" name="AutoShape 1">
          <a:extLst>
            <a:ext uri="{FF2B5EF4-FFF2-40B4-BE49-F238E27FC236}">
              <a16:creationId xmlns:a16="http://schemas.microsoft.com/office/drawing/2014/main" id="{00000000-0008-0000-0F00-00002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6" name="AutoShape 1">
          <a:extLst>
            <a:ext uri="{FF2B5EF4-FFF2-40B4-BE49-F238E27FC236}">
              <a16:creationId xmlns:a16="http://schemas.microsoft.com/office/drawing/2014/main" id="{00000000-0008-0000-0F00-00002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7" name="AutoShape 1">
          <a:extLst>
            <a:ext uri="{FF2B5EF4-FFF2-40B4-BE49-F238E27FC236}">
              <a16:creationId xmlns:a16="http://schemas.microsoft.com/office/drawing/2014/main" id="{00000000-0008-0000-0F00-00002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8" name="AutoShape 1">
          <a:extLst>
            <a:ext uri="{FF2B5EF4-FFF2-40B4-BE49-F238E27FC236}">
              <a16:creationId xmlns:a16="http://schemas.microsoft.com/office/drawing/2014/main" id="{00000000-0008-0000-0F00-00002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59" name="AutoShape 1">
          <a:extLst>
            <a:ext uri="{FF2B5EF4-FFF2-40B4-BE49-F238E27FC236}">
              <a16:creationId xmlns:a16="http://schemas.microsoft.com/office/drawing/2014/main" id="{00000000-0008-0000-0F00-00002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0" name="AutoShape 1">
          <a:extLst>
            <a:ext uri="{FF2B5EF4-FFF2-40B4-BE49-F238E27FC236}">
              <a16:creationId xmlns:a16="http://schemas.microsoft.com/office/drawing/2014/main" id="{00000000-0008-0000-0F00-00002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1" name="AutoShape 1">
          <a:extLst>
            <a:ext uri="{FF2B5EF4-FFF2-40B4-BE49-F238E27FC236}">
              <a16:creationId xmlns:a16="http://schemas.microsoft.com/office/drawing/2014/main" id="{00000000-0008-0000-0F00-00002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2" name="AutoShape 1">
          <a:extLst>
            <a:ext uri="{FF2B5EF4-FFF2-40B4-BE49-F238E27FC236}">
              <a16:creationId xmlns:a16="http://schemas.microsoft.com/office/drawing/2014/main" id="{00000000-0008-0000-0F00-00002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3" name="AutoShape 1">
          <a:extLst>
            <a:ext uri="{FF2B5EF4-FFF2-40B4-BE49-F238E27FC236}">
              <a16:creationId xmlns:a16="http://schemas.microsoft.com/office/drawing/2014/main" id="{00000000-0008-0000-0F00-00002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4" name="AutoShape 1">
          <a:extLst>
            <a:ext uri="{FF2B5EF4-FFF2-40B4-BE49-F238E27FC236}">
              <a16:creationId xmlns:a16="http://schemas.microsoft.com/office/drawing/2014/main" id="{00000000-0008-0000-0F00-00003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5" name="AutoShape 1">
          <a:extLst>
            <a:ext uri="{FF2B5EF4-FFF2-40B4-BE49-F238E27FC236}">
              <a16:creationId xmlns:a16="http://schemas.microsoft.com/office/drawing/2014/main" id="{00000000-0008-0000-0F00-00003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6" name="AutoShape 1">
          <a:extLst>
            <a:ext uri="{FF2B5EF4-FFF2-40B4-BE49-F238E27FC236}">
              <a16:creationId xmlns:a16="http://schemas.microsoft.com/office/drawing/2014/main" id="{00000000-0008-0000-0F00-00003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7" name="AutoShape 1">
          <a:extLst>
            <a:ext uri="{FF2B5EF4-FFF2-40B4-BE49-F238E27FC236}">
              <a16:creationId xmlns:a16="http://schemas.microsoft.com/office/drawing/2014/main" id="{00000000-0008-0000-0F00-00003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8" name="AutoShape 1">
          <a:extLst>
            <a:ext uri="{FF2B5EF4-FFF2-40B4-BE49-F238E27FC236}">
              <a16:creationId xmlns:a16="http://schemas.microsoft.com/office/drawing/2014/main" id="{00000000-0008-0000-0F00-00003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69" name="AutoShape 1">
          <a:extLst>
            <a:ext uri="{FF2B5EF4-FFF2-40B4-BE49-F238E27FC236}">
              <a16:creationId xmlns:a16="http://schemas.microsoft.com/office/drawing/2014/main" id="{00000000-0008-0000-0F00-00003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0" name="AutoShape 1">
          <a:extLst>
            <a:ext uri="{FF2B5EF4-FFF2-40B4-BE49-F238E27FC236}">
              <a16:creationId xmlns:a16="http://schemas.microsoft.com/office/drawing/2014/main" id="{00000000-0008-0000-0F00-00003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1" name="AutoShape 1">
          <a:extLst>
            <a:ext uri="{FF2B5EF4-FFF2-40B4-BE49-F238E27FC236}">
              <a16:creationId xmlns:a16="http://schemas.microsoft.com/office/drawing/2014/main" id="{00000000-0008-0000-0F00-00003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2" name="AutoShape 1">
          <a:extLst>
            <a:ext uri="{FF2B5EF4-FFF2-40B4-BE49-F238E27FC236}">
              <a16:creationId xmlns:a16="http://schemas.microsoft.com/office/drawing/2014/main" id="{00000000-0008-0000-0F00-00003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3" name="AutoShape 1">
          <a:extLst>
            <a:ext uri="{FF2B5EF4-FFF2-40B4-BE49-F238E27FC236}">
              <a16:creationId xmlns:a16="http://schemas.microsoft.com/office/drawing/2014/main" id="{00000000-0008-0000-0F00-00003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4" name="AutoShape 1">
          <a:extLst>
            <a:ext uri="{FF2B5EF4-FFF2-40B4-BE49-F238E27FC236}">
              <a16:creationId xmlns:a16="http://schemas.microsoft.com/office/drawing/2014/main" id="{00000000-0008-0000-0F00-00003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5" name="AutoShape 1">
          <a:extLst>
            <a:ext uri="{FF2B5EF4-FFF2-40B4-BE49-F238E27FC236}">
              <a16:creationId xmlns:a16="http://schemas.microsoft.com/office/drawing/2014/main" id="{00000000-0008-0000-0F00-00003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6" name="AutoShape 1">
          <a:extLst>
            <a:ext uri="{FF2B5EF4-FFF2-40B4-BE49-F238E27FC236}">
              <a16:creationId xmlns:a16="http://schemas.microsoft.com/office/drawing/2014/main" id="{00000000-0008-0000-0F00-00003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7" name="AutoShape 1">
          <a:extLst>
            <a:ext uri="{FF2B5EF4-FFF2-40B4-BE49-F238E27FC236}">
              <a16:creationId xmlns:a16="http://schemas.microsoft.com/office/drawing/2014/main" id="{00000000-0008-0000-0F00-00003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8" name="AutoShape 1">
          <a:extLst>
            <a:ext uri="{FF2B5EF4-FFF2-40B4-BE49-F238E27FC236}">
              <a16:creationId xmlns:a16="http://schemas.microsoft.com/office/drawing/2014/main" id="{00000000-0008-0000-0F00-00003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79" name="AutoShape 1">
          <a:extLst>
            <a:ext uri="{FF2B5EF4-FFF2-40B4-BE49-F238E27FC236}">
              <a16:creationId xmlns:a16="http://schemas.microsoft.com/office/drawing/2014/main" id="{00000000-0008-0000-0F00-00003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0" name="AutoShape 1">
          <a:extLst>
            <a:ext uri="{FF2B5EF4-FFF2-40B4-BE49-F238E27FC236}">
              <a16:creationId xmlns:a16="http://schemas.microsoft.com/office/drawing/2014/main" id="{00000000-0008-0000-0F00-00004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1" name="AutoShape 1">
          <a:extLst>
            <a:ext uri="{FF2B5EF4-FFF2-40B4-BE49-F238E27FC236}">
              <a16:creationId xmlns:a16="http://schemas.microsoft.com/office/drawing/2014/main" id="{00000000-0008-0000-0F00-00004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2" name="AutoShape 1">
          <a:extLst>
            <a:ext uri="{FF2B5EF4-FFF2-40B4-BE49-F238E27FC236}">
              <a16:creationId xmlns:a16="http://schemas.microsoft.com/office/drawing/2014/main" id="{00000000-0008-0000-0F00-00004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3" name="AutoShape 1">
          <a:extLst>
            <a:ext uri="{FF2B5EF4-FFF2-40B4-BE49-F238E27FC236}">
              <a16:creationId xmlns:a16="http://schemas.microsoft.com/office/drawing/2014/main" id="{00000000-0008-0000-0F00-00004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4" name="AutoShape 1">
          <a:extLst>
            <a:ext uri="{FF2B5EF4-FFF2-40B4-BE49-F238E27FC236}">
              <a16:creationId xmlns:a16="http://schemas.microsoft.com/office/drawing/2014/main" id="{00000000-0008-0000-0F00-00004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5" name="AutoShape 1">
          <a:extLst>
            <a:ext uri="{FF2B5EF4-FFF2-40B4-BE49-F238E27FC236}">
              <a16:creationId xmlns:a16="http://schemas.microsoft.com/office/drawing/2014/main" id="{00000000-0008-0000-0F00-00004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6" name="AutoShape 1">
          <a:extLst>
            <a:ext uri="{FF2B5EF4-FFF2-40B4-BE49-F238E27FC236}">
              <a16:creationId xmlns:a16="http://schemas.microsoft.com/office/drawing/2014/main" id="{00000000-0008-0000-0F00-00004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7" name="AutoShape 1">
          <a:extLst>
            <a:ext uri="{FF2B5EF4-FFF2-40B4-BE49-F238E27FC236}">
              <a16:creationId xmlns:a16="http://schemas.microsoft.com/office/drawing/2014/main" id="{00000000-0008-0000-0F00-00004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8" name="AutoShape 1">
          <a:extLst>
            <a:ext uri="{FF2B5EF4-FFF2-40B4-BE49-F238E27FC236}">
              <a16:creationId xmlns:a16="http://schemas.microsoft.com/office/drawing/2014/main" id="{00000000-0008-0000-0F00-00004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89" name="AutoShape 1">
          <a:extLst>
            <a:ext uri="{FF2B5EF4-FFF2-40B4-BE49-F238E27FC236}">
              <a16:creationId xmlns:a16="http://schemas.microsoft.com/office/drawing/2014/main" id="{00000000-0008-0000-0F00-00004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0" name="AutoShape 1">
          <a:extLst>
            <a:ext uri="{FF2B5EF4-FFF2-40B4-BE49-F238E27FC236}">
              <a16:creationId xmlns:a16="http://schemas.microsoft.com/office/drawing/2014/main" id="{00000000-0008-0000-0F00-00004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1" name="AutoShape 1">
          <a:extLst>
            <a:ext uri="{FF2B5EF4-FFF2-40B4-BE49-F238E27FC236}">
              <a16:creationId xmlns:a16="http://schemas.microsoft.com/office/drawing/2014/main" id="{00000000-0008-0000-0F00-00004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2" name="AutoShape 1">
          <a:extLst>
            <a:ext uri="{FF2B5EF4-FFF2-40B4-BE49-F238E27FC236}">
              <a16:creationId xmlns:a16="http://schemas.microsoft.com/office/drawing/2014/main" id="{00000000-0008-0000-0F00-00004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3" name="AutoShape 1">
          <a:extLst>
            <a:ext uri="{FF2B5EF4-FFF2-40B4-BE49-F238E27FC236}">
              <a16:creationId xmlns:a16="http://schemas.microsoft.com/office/drawing/2014/main" id="{00000000-0008-0000-0F00-00004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4" name="AutoShape 1">
          <a:extLst>
            <a:ext uri="{FF2B5EF4-FFF2-40B4-BE49-F238E27FC236}">
              <a16:creationId xmlns:a16="http://schemas.microsoft.com/office/drawing/2014/main" id="{00000000-0008-0000-0F00-00004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5" name="AutoShape 1">
          <a:extLst>
            <a:ext uri="{FF2B5EF4-FFF2-40B4-BE49-F238E27FC236}">
              <a16:creationId xmlns:a16="http://schemas.microsoft.com/office/drawing/2014/main" id="{00000000-0008-0000-0F00-00004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6" name="AutoShape 1">
          <a:extLst>
            <a:ext uri="{FF2B5EF4-FFF2-40B4-BE49-F238E27FC236}">
              <a16:creationId xmlns:a16="http://schemas.microsoft.com/office/drawing/2014/main" id="{00000000-0008-0000-0F00-00005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7" name="AutoShape 1">
          <a:extLst>
            <a:ext uri="{FF2B5EF4-FFF2-40B4-BE49-F238E27FC236}">
              <a16:creationId xmlns:a16="http://schemas.microsoft.com/office/drawing/2014/main" id="{00000000-0008-0000-0F00-00005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8" name="AutoShape 1">
          <a:extLst>
            <a:ext uri="{FF2B5EF4-FFF2-40B4-BE49-F238E27FC236}">
              <a16:creationId xmlns:a16="http://schemas.microsoft.com/office/drawing/2014/main" id="{00000000-0008-0000-0F00-00005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899" name="AutoShape 1">
          <a:extLst>
            <a:ext uri="{FF2B5EF4-FFF2-40B4-BE49-F238E27FC236}">
              <a16:creationId xmlns:a16="http://schemas.microsoft.com/office/drawing/2014/main" id="{00000000-0008-0000-0F00-00005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0" name="AutoShape 1">
          <a:extLst>
            <a:ext uri="{FF2B5EF4-FFF2-40B4-BE49-F238E27FC236}">
              <a16:creationId xmlns:a16="http://schemas.microsoft.com/office/drawing/2014/main" id="{00000000-0008-0000-0F00-00005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1" name="AutoShape 1">
          <a:extLst>
            <a:ext uri="{FF2B5EF4-FFF2-40B4-BE49-F238E27FC236}">
              <a16:creationId xmlns:a16="http://schemas.microsoft.com/office/drawing/2014/main" id="{00000000-0008-0000-0F00-00005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2" name="AutoShape 1">
          <a:extLst>
            <a:ext uri="{FF2B5EF4-FFF2-40B4-BE49-F238E27FC236}">
              <a16:creationId xmlns:a16="http://schemas.microsoft.com/office/drawing/2014/main" id="{00000000-0008-0000-0F00-00005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3" name="AutoShape 1">
          <a:extLst>
            <a:ext uri="{FF2B5EF4-FFF2-40B4-BE49-F238E27FC236}">
              <a16:creationId xmlns:a16="http://schemas.microsoft.com/office/drawing/2014/main" id="{00000000-0008-0000-0F00-00005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4" name="AutoShape 1">
          <a:extLst>
            <a:ext uri="{FF2B5EF4-FFF2-40B4-BE49-F238E27FC236}">
              <a16:creationId xmlns:a16="http://schemas.microsoft.com/office/drawing/2014/main" id="{00000000-0008-0000-0F00-00005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5" name="AutoShape 1">
          <a:extLst>
            <a:ext uri="{FF2B5EF4-FFF2-40B4-BE49-F238E27FC236}">
              <a16:creationId xmlns:a16="http://schemas.microsoft.com/office/drawing/2014/main" id="{00000000-0008-0000-0F00-00005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6" name="AutoShape 1">
          <a:extLst>
            <a:ext uri="{FF2B5EF4-FFF2-40B4-BE49-F238E27FC236}">
              <a16:creationId xmlns:a16="http://schemas.microsoft.com/office/drawing/2014/main" id="{00000000-0008-0000-0F00-00005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7" name="AutoShape 1">
          <a:extLst>
            <a:ext uri="{FF2B5EF4-FFF2-40B4-BE49-F238E27FC236}">
              <a16:creationId xmlns:a16="http://schemas.microsoft.com/office/drawing/2014/main" id="{00000000-0008-0000-0F00-00005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8" name="AutoShape 1">
          <a:extLst>
            <a:ext uri="{FF2B5EF4-FFF2-40B4-BE49-F238E27FC236}">
              <a16:creationId xmlns:a16="http://schemas.microsoft.com/office/drawing/2014/main" id="{00000000-0008-0000-0F00-00005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09" name="AutoShape 1">
          <a:extLst>
            <a:ext uri="{FF2B5EF4-FFF2-40B4-BE49-F238E27FC236}">
              <a16:creationId xmlns:a16="http://schemas.microsoft.com/office/drawing/2014/main" id="{00000000-0008-0000-0F00-00005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0" name="AutoShape 1">
          <a:extLst>
            <a:ext uri="{FF2B5EF4-FFF2-40B4-BE49-F238E27FC236}">
              <a16:creationId xmlns:a16="http://schemas.microsoft.com/office/drawing/2014/main" id="{00000000-0008-0000-0F00-00005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1" name="AutoShape 1">
          <a:extLst>
            <a:ext uri="{FF2B5EF4-FFF2-40B4-BE49-F238E27FC236}">
              <a16:creationId xmlns:a16="http://schemas.microsoft.com/office/drawing/2014/main" id="{00000000-0008-0000-0F00-00005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2" name="AutoShape 1">
          <a:extLst>
            <a:ext uri="{FF2B5EF4-FFF2-40B4-BE49-F238E27FC236}">
              <a16:creationId xmlns:a16="http://schemas.microsoft.com/office/drawing/2014/main" id="{00000000-0008-0000-0F00-00006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3" name="AutoShape 1">
          <a:extLst>
            <a:ext uri="{FF2B5EF4-FFF2-40B4-BE49-F238E27FC236}">
              <a16:creationId xmlns:a16="http://schemas.microsoft.com/office/drawing/2014/main" id="{00000000-0008-0000-0F00-00006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4" name="AutoShape 1">
          <a:extLst>
            <a:ext uri="{FF2B5EF4-FFF2-40B4-BE49-F238E27FC236}">
              <a16:creationId xmlns:a16="http://schemas.microsoft.com/office/drawing/2014/main" id="{00000000-0008-0000-0F00-00006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5" name="AutoShape 1">
          <a:extLst>
            <a:ext uri="{FF2B5EF4-FFF2-40B4-BE49-F238E27FC236}">
              <a16:creationId xmlns:a16="http://schemas.microsoft.com/office/drawing/2014/main" id="{00000000-0008-0000-0F00-00006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6" name="AutoShape 1">
          <a:extLst>
            <a:ext uri="{FF2B5EF4-FFF2-40B4-BE49-F238E27FC236}">
              <a16:creationId xmlns:a16="http://schemas.microsoft.com/office/drawing/2014/main" id="{00000000-0008-0000-0F00-00006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7" name="AutoShape 1">
          <a:extLst>
            <a:ext uri="{FF2B5EF4-FFF2-40B4-BE49-F238E27FC236}">
              <a16:creationId xmlns:a16="http://schemas.microsoft.com/office/drawing/2014/main" id="{00000000-0008-0000-0F00-00006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8" name="AutoShape 1">
          <a:extLst>
            <a:ext uri="{FF2B5EF4-FFF2-40B4-BE49-F238E27FC236}">
              <a16:creationId xmlns:a16="http://schemas.microsoft.com/office/drawing/2014/main" id="{00000000-0008-0000-0F00-00006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19" name="AutoShape 1">
          <a:extLst>
            <a:ext uri="{FF2B5EF4-FFF2-40B4-BE49-F238E27FC236}">
              <a16:creationId xmlns:a16="http://schemas.microsoft.com/office/drawing/2014/main" id="{00000000-0008-0000-0F00-00006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0" name="AutoShape 1">
          <a:extLst>
            <a:ext uri="{FF2B5EF4-FFF2-40B4-BE49-F238E27FC236}">
              <a16:creationId xmlns:a16="http://schemas.microsoft.com/office/drawing/2014/main" id="{00000000-0008-0000-0F00-00006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1" name="AutoShape 1">
          <a:extLst>
            <a:ext uri="{FF2B5EF4-FFF2-40B4-BE49-F238E27FC236}">
              <a16:creationId xmlns:a16="http://schemas.microsoft.com/office/drawing/2014/main" id="{00000000-0008-0000-0F00-00006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2" name="AutoShape 1">
          <a:extLst>
            <a:ext uri="{FF2B5EF4-FFF2-40B4-BE49-F238E27FC236}">
              <a16:creationId xmlns:a16="http://schemas.microsoft.com/office/drawing/2014/main" id="{00000000-0008-0000-0F00-00006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3" name="AutoShape 1">
          <a:extLst>
            <a:ext uri="{FF2B5EF4-FFF2-40B4-BE49-F238E27FC236}">
              <a16:creationId xmlns:a16="http://schemas.microsoft.com/office/drawing/2014/main" id="{00000000-0008-0000-0F00-00006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4" name="AutoShape 1">
          <a:extLst>
            <a:ext uri="{FF2B5EF4-FFF2-40B4-BE49-F238E27FC236}">
              <a16:creationId xmlns:a16="http://schemas.microsoft.com/office/drawing/2014/main" id="{00000000-0008-0000-0F00-00006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5" name="AutoShape 1">
          <a:extLst>
            <a:ext uri="{FF2B5EF4-FFF2-40B4-BE49-F238E27FC236}">
              <a16:creationId xmlns:a16="http://schemas.microsoft.com/office/drawing/2014/main" id="{00000000-0008-0000-0F00-00006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6" name="AutoShape 1">
          <a:extLst>
            <a:ext uri="{FF2B5EF4-FFF2-40B4-BE49-F238E27FC236}">
              <a16:creationId xmlns:a16="http://schemas.microsoft.com/office/drawing/2014/main" id="{00000000-0008-0000-0F00-00006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7" name="AutoShape 1">
          <a:extLst>
            <a:ext uri="{FF2B5EF4-FFF2-40B4-BE49-F238E27FC236}">
              <a16:creationId xmlns:a16="http://schemas.microsoft.com/office/drawing/2014/main" id="{00000000-0008-0000-0F00-00006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8" name="AutoShape 1">
          <a:extLst>
            <a:ext uri="{FF2B5EF4-FFF2-40B4-BE49-F238E27FC236}">
              <a16:creationId xmlns:a16="http://schemas.microsoft.com/office/drawing/2014/main" id="{00000000-0008-0000-0F00-00007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29" name="AutoShape 1">
          <a:extLst>
            <a:ext uri="{FF2B5EF4-FFF2-40B4-BE49-F238E27FC236}">
              <a16:creationId xmlns:a16="http://schemas.microsoft.com/office/drawing/2014/main" id="{00000000-0008-0000-0F00-00007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0" name="AutoShape 1">
          <a:extLst>
            <a:ext uri="{FF2B5EF4-FFF2-40B4-BE49-F238E27FC236}">
              <a16:creationId xmlns:a16="http://schemas.microsoft.com/office/drawing/2014/main" id="{00000000-0008-0000-0F00-00007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1" name="AutoShape 1">
          <a:extLst>
            <a:ext uri="{FF2B5EF4-FFF2-40B4-BE49-F238E27FC236}">
              <a16:creationId xmlns:a16="http://schemas.microsoft.com/office/drawing/2014/main" id="{00000000-0008-0000-0F00-00007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2" name="AutoShape 1">
          <a:extLst>
            <a:ext uri="{FF2B5EF4-FFF2-40B4-BE49-F238E27FC236}">
              <a16:creationId xmlns:a16="http://schemas.microsoft.com/office/drawing/2014/main" id="{00000000-0008-0000-0F00-00007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3" name="AutoShape 1">
          <a:extLst>
            <a:ext uri="{FF2B5EF4-FFF2-40B4-BE49-F238E27FC236}">
              <a16:creationId xmlns:a16="http://schemas.microsoft.com/office/drawing/2014/main" id="{00000000-0008-0000-0F00-00007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4" name="AutoShape 1">
          <a:extLst>
            <a:ext uri="{FF2B5EF4-FFF2-40B4-BE49-F238E27FC236}">
              <a16:creationId xmlns:a16="http://schemas.microsoft.com/office/drawing/2014/main" id="{00000000-0008-0000-0F00-00007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5" name="AutoShape 1">
          <a:extLst>
            <a:ext uri="{FF2B5EF4-FFF2-40B4-BE49-F238E27FC236}">
              <a16:creationId xmlns:a16="http://schemas.microsoft.com/office/drawing/2014/main" id="{00000000-0008-0000-0F00-00007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6" name="AutoShape 1">
          <a:extLst>
            <a:ext uri="{FF2B5EF4-FFF2-40B4-BE49-F238E27FC236}">
              <a16:creationId xmlns:a16="http://schemas.microsoft.com/office/drawing/2014/main" id="{00000000-0008-0000-0F00-00007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7" name="AutoShape 1">
          <a:extLst>
            <a:ext uri="{FF2B5EF4-FFF2-40B4-BE49-F238E27FC236}">
              <a16:creationId xmlns:a16="http://schemas.microsoft.com/office/drawing/2014/main" id="{00000000-0008-0000-0F00-00007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8" name="AutoShape 1">
          <a:extLst>
            <a:ext uri="{FF2B5EF4-FFF2-40B4-BE49-F238E27FC236}">
              <a16:creationId xmlns:a16="http://schemas.microsoft.com/office/drawing/2014/main" id="{00000000-0008-0000-0F00-00007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39" name="AutoShape 1">
          <a:extLst>
            <a:ext uri="{FF2B5EF4-FFF2-40B4-BE49-F238E27FC236}">
              <a16:creationId xmlns:a16="http://schemas.microsoft.com/office/drawing/2014/main" id="{00000000-0008-0000-0F00-00007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0" name="AutoShape 1">
          <a:extLst>
            <a:ext uri="{FF2B5EF4-FFF2-40B4-BE49-F238E27FC236}">
              <a16:creationId xmlns:a16="http://schemas.microsoft.com/office/drawing/2014/main" id="{00000000-0008-0000-0F00-00007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1" name="AutoShape 1">
          <a:extLst>
            <a:ext uri="{FF2B5EF4-FFF2-40B4-BE49-F238E27FC236}">
              <a16:creationId xmlns:a16="http://schemas.microsoft.com/office/drawing/2014/main" id="{00000000-0008-0000-0F00-00007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2" name="AutoShape 1">
          <a:extLst>
            <a:ext uri="{FF2B5EF4-FFF2-40B4-BE49-F238E27FC236}">
              <a16:creationId xmlns:a16="http://schemas.microsoft.com/office/drawing/2014/main" id="{00000000-0008-0000-0F00-00007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3" name="AutoShape 1">
          <a:extLst>
            <a:ext uri="{FF2B5EF4-FFF2-40B4-BE49-F238E27FC236}">
              <a16:creationId xmlns:a16="http://schemas.microsoft.com/office/drawing/2014/main" id="{00000000-0008-0000-0F00-00007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4" name="AutoShape 1">
          <a:extLst>
            <a:ext uri="{FF2B5EF4-FFF2-40B4-BE49-F238E27FC236}">
              <a16:creationId xmlns:a16="http://schemas.microsoft.com/office/drawing/2014/main" id="{00000000-0008-0000-0F00-00008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5" name="AutoShape 1">
          <a:extLst>
            <a:ext uri="{FF2B5EF4-FFF2-40B4-BE49-F238E27FC236}">
              <a16:creationId xmlns:a16="http://schemas.microsoft.com/office/drawing/2014/main" id="{00000000-0008-0000-0F00-00008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6" name="AutoShape 1">
          <a:extLst>
            <a:ext uri="{FF2B5EF4-FFF2-40B4-BE49-F238E27FC236}">
              <a16:creationId xmlns:a16="http://schemas.microsoft.com/office/drawing/2014/main" id="{00000000-0008-0000-0F00-00008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7" name="AutoShape 1">
          <a:extLst>
            <a:ext uri="{FF2B5EF4-FFF2-40B4-BE49-F238E27FC236}">
              <a16:creationId xmlns:a16="http://schemas.microsoft.com/office/drawing/2014/main" id="{00000000-0008-0000-0F00-00008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8" name="AutoShape 1">
          <a:extLst>
            <a:ext uri="{FF2B5EF4-FFF2-40B4-BE49-F238E27FC236}">
              <a16:creationId xmlns:a16="http://schemas.microsoft.com/office/drawing/2014/main" id="{00000000-0008-0000-0F00-00008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49" name="AutoShape 1">
          <a:extLst>
            <a:ext uri="{FF2B5EF4-FFF2-40B4-BE49-F238E27FC236}">
              <a16:creationId xmlns:a16="http://schemas.microsoft.com/office/drawing/2014/main" id="{00000000-0008-0000-0F00-00008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0" name="AutoShape 1">
          <a:extLst>
            <a:ext uri="{FF2B5EF4-FFF2-40B4-BE49-F238E27FC236}">
              <a16:creationId xmlns:a16="http://schemas.microsoft.com/office/drawing/2014/main" id="{00000000-0008-0000-0F00-00008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1" name="AutoShape 1">
          <a:extLst>
            <a:ext uri="{FF2B5EF4-FFF2-40B4-BE49-F238E27FC236}">
              <a16:creationId xmlns:a16="http://schemas.microsoft.com/office/drawing/2014/main" id="{00000000-0008-0000-0F00-00008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2" name="AutoShape 1">
          <a:extLst>
            <a:ext uri="{FF2B5EF4-FFF2-40B4-BE49-F238E27FC236}">
              <a16:creationId xmlns:a16="http://schemas.microsoft.com/office/drawing/2014/main" id="{00000000-0008-0000-0F00-00008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3" name="AutoShape 1">
          <a:extLst>
            <a:ext uri="{FF2B5EF4-FFF2-40B4-BE49-F238E27FC236}">
              <a16:creationId xmlns:a16="http://schemas.microsoft.com/office/drawing/2014/main" id="{00000000-0008-0000-0F00-00008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4" name="AutoShape 1">
          <a:extLst>
            <a:ext uri="{FF2B5EF4-FFF2-40B4-BE49-F238E27FC236}">
              <a16:creationId xmlns:a16="http://schemas.microsoft.com/office/drawing/2014/main" id="{00000000-0008-0000-0F00-00008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5" name="AutoShape 1">
          <a:extLst>
            <a:ext uri="{FF2B5EF4-FFF2-40B4-BE49-F238E27FC236}">
              <a16:creationId xmlns:a16="http://schemas.microsoft.com/office/drawing/2014/main" id="{00000000-0008-0000-0F00-00008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6" name="AutoShape 1">
          <a:extLst>
            <a:ext uri="{FF2B5EF4-FFF2-40B4-BE49-F238E27FC236}">
              <a16:creationId xmlns:a16="http://schemas.microsoft.com/office/drawing/2014/main" id="{00000000-0008-0000-0F00-00008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7" name="AutoShape 1">
          <a:extLst>
            <a:ext uri="{FF2B5EF4-FFF2-40B4-BE49-F238E27FC236}">
              <a16:creationId xmlns:a16="http://schemas.microsoft.com/office/drawing/2014/main" id="{00000000-0008-0000-0F00-00008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8" name="AutoShape 1">
          <a:extLst>
            <a:ext uri="{FF2B5EF4-FFF2-40B4-BE49-F238E27FC236}">
              <a16:creationId xmlns:a16="http://schemas.microsoft.com/office/drawing/2014/main" id="{00000000-0008-0000-0F00-00008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59" name="AutoShape 1">
          <a:extLst>
            <a:ext uri="{FF2B5EF4-FFF2-40B4-BE49-F238E27FC236}">
              <a16:creationId xmlns:a16="http://schemas.microsoft.com/office/drawing/2014/main" id="{00000000-0008-0000-0F00-00008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0" name="AutoShape 1">
          <a:extLst>
            <a:ext uri="{FF2B5EF4-FFF2-40B4-BE49-F238E27FC236}">
              <a16:creationId xmlns:a16="http://schemas.microsoft.com/office/drawing/2014/main" id="{00000000-0008-0000-0F00-00009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1" name="AutoShape 1">
          <a:extLst>
            <a:ext uri="{FF2B5EF4-FFF2-40B4-BE49-F238E27FC236}">
              <a16:creationId xmlns:a16="http://schemas.microsoft.com/office/drawing/2014/main" id="{00000000-0008-0000-0F00-00009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2" name="AutoShape 1">
          <a:extLst>
            <a:ext uri="{FF2B5EF4-FFF2-40B4-BE49-F238E27FC236}">
              <a16:creationId xmlns:a16="http://schemas.microsoft.com/office/drawing/2014/main" id="{00000000-0008-0000-0F00-00009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3" name="AutoShape 1">
          <a:extLst>
            <a:ext uri="{FF2B5EF4-FFF2-40B4-BE49-F238E27FC236}">
              <a16:creationId xmlns:a16="http://schemas.microsoft.com/office/drawing/2014/main" id="{00000000-0008-0000-0F00-00009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4" name="AutoShape 1">
          <a:extLst>
            <a:ext uri="{FF2B5EF4-FFF2-40B4-BE49-F238E27FC236}">
              <a16:creationId xmlns:a16="http://schemas.microsoft.com/office/drawing/2014/main" id="{00000000-0008-0000-0F00-00009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5" name="AutoShape 1">
          <a:extLst>
            <a:ext uri="{FF2B5EF4-FFF2-40B4-BE49-F238E27FC236}">
              <a16:creationId xmlns:a16="http://schemas.microsoft.com/office/drawing/2014/main" id="{00000000-0008-0000-0F00-00009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6" name="AutoShape 1">
          <a:extLst>
            <a:ext uri="{FF2B5EF4-FFF2-40B4-BE49-F238E27FC236}">
              <a16:creationId xmlns:a16="http://schemas.microsoft.com/office/drawing/2014/main" id="{00000000-0008-0000-0F00-00009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7" name="AutoShape 1">
          <a:extLst>
            <a:ext uri="{FF2B5EF4-FFF2-40B4-BE49-F238E27FC236}">
              <a16:creationId xmlns:a16="http://schemas.microsoft.com/office/drawing/2014/main" id="{00000000-0008-0000-0F00-00009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8" name="AutoShape 1">
          <a:extLst>
            <a:ext uri="{FF2B5EF4-FFF2-40B4-BE49-F238E27FC236}">
              <a16:creationId xmlns:a16="http://schemas.microsoft.com/office/drawing/2014/main" id="{00000000-0008-0000-0F00-00009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69" name="AutoShape 1">
          <a:extLst>
            <a:ext uri="{FF2B5EF4-FFF2-40B4-BE49-F238E27FC236}">
              <a16:creationId xmlns:a16="http://schemas.microsoft.com/office/drawing/2014/main" id="{00000000-0008-0000-0F00-00009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0" name="AutoShape 1">
          <a:extLst>
            <a:ext uri="{FF2B5EF4-FFF2-40B4-BE49-F238E27FC236}">
              <a16:creationId xmlns:a16="http://schemas.microsoft.com/office/drawing/2014/main" id="{00000000-0008-0000-0F00-00009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1" name="AutoShape 1">
          <a:extLst>
            <a:ext uri="{FF2B5EF4-FFF2-40B4-BE49-F238E27FC236}">
              <a16:creationId xmlns:a16="http://schemas.microsoft.com/office/drawing/2014/main" id="{00000000-0008-0000-0F00-00009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2" name="AutoShape 1">
          <a:extLst>
            <a:ext uri="{FF2B5EF4-FFF2-40B4-BE49-F238E27FC236}">
              <a16:creationId xmlns:a16="http://schemas.microsoft.com/office/drawing/2014/main" id="{00000000-0008-0000-0F00-00009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3" name="AutoShape 1">
          <a:extLst>
            <a:ext uri="{FF2B5EF4-FFF2-40B4-BE49-F238E27FC236}">
              <a16:creationId xmlns:a16="http://schemas.microsoft.com/office/drawing/2014/main" id="{00000000-0008-0000-0F00-00009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4" name="AutoShape 1">
          <a:extLst>
            <a:ext uri="{FF2B5EF4-FFF2-40B4-BE49-F238E27FC236}">
              <a16:creationId xmlns:a16="http://schemas.microsoft.com/office/drawing/2014/main" id="{00000000-0008-0000-0F00-00009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5" name="AutoShape 1">
          <a:extLst>
            <a:ext uri="{FF2B5EF4-FFF2-40B4-BE49-F238E27FC236}">
              <a16:creationId xmlns:a16="http://schemas.microsoft.com/office/drawing/2014/main" id="{00000000-0008-0000-0F00-00009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6" name="AutoShape 1">
          <a:extLst>
            <a:ext uri="{FF2B5EF4-FFF2-40B4-BE49-F238E27FC236}">
              <a16:creationId xmlns:a16="http://schemas.microsoft.com/office/drawing/2014/main" id="{00000000-0008-0000-0F00-0000A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7" name="AutoShape 1">
          <a:extLst>
            <a:ext uri="{FF2B5EF4-FFF2-40B4-BE49-F238E27FC236}">
              <a16:creationId xmlns:a16="http://schemas.microsoft.com/office/drawing/2014/main" id="{00000000-0008-0000-0F00-0000A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8" name="AutoShape 1">
          <a:extLst>
            <a:ext uri="{FF2B5EF4-FFF2-40B4-BE49-F238E27FC236}">
              <a16:creationId xmlns:a16="http://schemas.microsoft.com/office/drawing/2014/main" id="{00000000-0008-0000-0F00-0000A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79" name="AutoShape 1">
          <a:extLst>
            <a:ext uri="{FF2B5EF4-FFF2-40B4-BE49-F238E27FC236}">
              <a16:creationId xmlns:a16="http://schemas.microsoft.com/office/drawing/2014/main" id="{00000000-0008-0000-0F00-0000A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0" name="AutoShape 1">
          <a:extLst>
            <a:ext uri="{FF2B5EF4-FFF2-40B4-BE49-F238E27FC236}">
              <a16:creationId xmlns:a16="http://schemas.microsoft.com/office/drawing/2014/main" id="{00000000-0008-0000-0F00-0000A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1" name="AutoShape 1">
          <a:extLst>
            <a:ext uri="{FF2B5EF4-FFF2-40B4-BE49-F238E27FC236}">
              <a16:creationId xmlns:a16="http://schemas.microsoft.com/office/drawing/2014/main" id="{00000000-0008-0000-0F00-0000A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2" name="AutoShape 1">
          <a:extLst>
            <a:ext uri="{FF2B5EF4-FFF2-40B4-BE49-F238E27FC236}">
              <a16:creationId xmlns:a16="http://schemas.microsoft.com/office/drawing/2014/main" id="{00000000-0008-0000-0F00-0000A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3" name="AutoShape 1">
          <a:extLst>
            <a:ext uri="{FF2B5EF4-FFF2-40B4-BE49-F238E27FC236}">
              <a16:creationId xmlns:a16="http://schemas.microsoft.com/office/drawing/2014/main" id="{00000000-0008-0000-0F00-0000A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4" name="AutoShape 1">
          <a:extLst>
            <a:ext uri="{FF2B5EF4-FFF2-40B4-BE49-F238E27FC236}">
              <a16:creationId xmlns:a16="http://schemas.microsoft.com/office/drawing/2014/main" id="{00000000-0008-0000-0F00-0000A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5" name="AutoShape 1">
          <a:extLst>
            <a:ext uri="{FF2B5EF4-FFF2-40B4-BE49-F238E27FC236}">
              <a16:creationId xmlns:a16="http://schemas.microsoft.com/office/drawing/2014/main" id="{00000000-0008-0000-0F00-0000A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6" name="AutoShape 1">
          <a:extLst>
            <a:ext uri="{FF2B5EF4-FFF2-40B4-BE49-F238E27FC236}">
              <a16:creationId xmlns:a16="http://schemas.microsoft.com/office/drawing/2014/main" id="{00000000-0008-0000-0F00-0000A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7" name="AutoShape 1">
          <a:extLst>
            <a:ext uri="{FF2B5EF4-FFF2-40B4-BE49-F238E27FC236}">
              <a16:creationId xmlns:a16="http://schemas.microsoft.com/office/drawing/2014/main" id="{00000000-0008-0000-0F00-0000A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8" name="AutoShape 1">
          <a:extLst>
            <a:ext uri="{FF2B5EF4-FFF2-40B4-BE49-F238E27FC236}">
              <a16:creationId xmlns:a16="http://schemas.microsoft.com/office/drawing/2014/main" id="{00000000-0008-0000-0F00-0000A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89" name="AutoShape 1">
          <a:extLst>
            <a:ext uri="{FF2B5EF4-FFF2-40B4-BE49-F238E27FC236}">
              <a16:creationId xmlns:a16="http://schemas.microsoft.com/office/drawing/2014/main" id="{00000000-0008-0000-0F00-0000A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0" name="AutoShape 1">
          <a:extLst>
            <a:ext uri="{FF2B5EF4-FFF2-40B4-BE49-F238E27FC236}">
              <a16:creationId xmlns:a16="http://schemas.microsoft.com/office/drawing/2014/main" id="{00000000-0008-0000-0F00-0000A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1" name="AutoShape 1">
          <a:extLst>
            <a:ext uri="{FF2B5EF4-FFF2-40B4-BE49-F238E27FC236}">
              <a16:creationId xmlns:a16="http://schemas.microsoft.com/office/drawing/2014/main" id="{00000000-0008-0000-0F00-0000A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2" name="AutoShape 1">
          <a:extLst>
            <a:ext uri="{FF2B5EF4-FFF2-40B4-BE49-F238E27FC236}">
              <a16:creationId xmlns:a16="http://schemas.microsoft.com/office/drawing/2014/main" id="{00000000-0008-0000-0F00-0000B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3" name="AutoShape 1">
          <a:extLst>
            <a:ext uri="{FF2B5EF4-FFF2-40B4-BE49-F238E27FC236}">
              <a16:creationId xmlns:a16="http://schemas.microsoft.com/office/drawing/2014/main" id="{00000000-0008-0000-0F00-0000B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4" name="AutoShape 1">
          <a:extLst>
            <a:ext uri="{FF2B5EF4-FFF2-40B4-BE49-F238E27FC236}">
              <a16:creationId xmlns:a16="http://schemas.microsoft.com/office/drawing/2014/main" id="{00000000-0008-0000-0F00-0000B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5" name="AutoShape 1">
          <a:extLst>
            <a:ext uri="{FF2B5EF4-FFF2-40B4-BE49-F238E27FC236}">
              <a16:creationId xmlns:a16="http://schemas.microsoft.com/office/drawing/2014/main" id="{00000000-0008-0000-0F00-0000B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6" name="AutoShape 1">
          <a:extLst>
            <a:ext uri="{FF2B5EF4-FFF2-40B4-BE49-F238E27FC236}">
              <a16:creationId xmlns:a16="http://schemas.microsoft.com/office/drawing/2014/main" id="{00000000-0008-0000-0F00-0000B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7" name="AutoShape 1">
          <a:extLst>
            <a:ext uri="{FF2B5EF4-FFF2-40B4-BE49-F238E27FC236}">
              <a16:creationId xmlns:a16="http://schemas.microsoft.com/office/drawing/2014/main" id="{00000000-0008-0000-0F00-0000B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8" name="AutoShape 1">
          <a:extLst>
            <a:ext uri="{FF2B5EF4-FFF2-40B4-BE49-F238E27FC236}">
              <a16:creationId xmlns:a16="http://schemas.microsoft.com/office/drawing/2014/main" id="{00000000-0008-0000-0F00-0000B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2999" name="AutoShape 1">
          <a:extLst>
            <a:ext uri="{FF2B5EF4-FFF2-40B4-BE49-F238E27FC236}">
              <a16:creationId xmlns:a16="http://schemas.microsoft.com/office/drawing/2014/main" id="{00000000-0008-0000-0F00-0000B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0" name="AutoShape 1">
          <a:extLst>
            <a:ext uri="{FF2B5EF4-FFF2-40B4-BE49-F238E27FC236}">
              <a16:creationId xmlns:a16="http://schemas.microsoft.com/office/drawing/2014/main" id="{00000000-0008-0000-0F00-0000B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1" name="AutoShape 1">
          <a:extLst>
            <a:ext uri="{FF2B5EF4-FFF2-40B4-BE49-F238E27FC236}">
              <a16:creationId xmlns:a16="http://schemas.microsoft.com/office/drawing/2014/main" id="{00000000-0008-0000-0F00-0000B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2" name="AutoShape 1">
          <a:extLst>
            <a:ext uri="{FF2B5EF4-FFF2-40B4-BE49-F238E27FC236}">
              <a16:creationId xmlns:a16="http://schemas.microsoft.com/office/drawing/2014/main" id="{00000000-0008-0000-0F00-0000B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3" name="AutoShape 1">
          <a:extLst>
            <a:ext uri="{FF2B5EF4-FFF2-40B4-BE49-F238E27FC236}">
              <a16:creationId xmlns:a16="http://schemas.microsoft.com/office/drawing/2014/main" id="{00000000-0008-0000-0F00-0000B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4" name="AutoShape 1">
          <a:extLst>
            <a:ext uri="{FF2B5EF4-FFF2-40B4-BE49-F238E27FC236}">
              <a16:creationId xmlns:a16="http://schemas.microsoft.com/office/drawing/2014/main" id="{00000000-0008-0000-0F00-0000B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5" name="AutoShape 1">
          <a:extLst>
            <a:ext uri="{FF2B5EF4-FFF2-40B4-BE49-F238E27FC236}">
              <a16:creationId xmlns:a16="http://schemas.microsoft.com/office/drawing/2014/main" id="{00000000-0008-0000-0F00-0000B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6" name="AutoShape 1">
          <a:extLst>
            <a:ext uri="{FF2B5EF4-FFF2-40B4-BE49-F238E27FC236}">
              <a16:creationId xmlns:a16="http://schemas.microsoft.com/office/drawing/2014/main" id="{00000000-0008-0000-0F00-0000B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7" name="AutoShape 1">
          <a:extLst>
            <a:ext uri="{FF2B5EF4-FFF2-40B4-BE49-F238E27FC236}">
              <a16:creationId xmlns:a16="http://schemas.microsoft.com/office/drawing/2014/main" id="{00000000-0008-0000-0F00-0000B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8" name="AutoShape 1">
          <a:extLst>
            <a:ext uri="{FF2B5EF4-FFF2-40B4-BE49-F238E27FC236}">
              <a16:creationId xmlns:a16="http://schemas.microsoft.com/office/drawing/2014/main" id="{00000000-0008-0000-0F00-0000C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09" name="AutoShape 1">
          <a:extLst>
            <a:ext uri="{FF2B5EF4-FFF2-40B4-BE49-F238E27FC236}">
              <a16:creationId xmlns:a16="http://schemas.microsoft.com/office/drawing/2014/main" id="{00000000-0008-0000-0F00-0000C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0" name="AutoShape 1">
          <a:extLst>
            <a:ext uri="{FF2B5EF4-FFF2-40B4-BE49-F238E27FC236}">
              <a16:creationId xmlns:a16="http://schemas.microsoft.com/office/drawing/2014/main" id="{00000000-0008-0000-0F00-0000C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1" name="AutoShape 1">
          <a:extLst>
            <a:ext uri="{FF2B5EF4-FFF2-40B4-BE49-F238E27FC236}">
              <a16:creationId xmlns:a16="http://schemas.microsoft.com/office/drawing/2014/main" id="{00000000-0008-0000-0F00-0000C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2" name="AutoShape 1">
          <a:extLst>
            <a:ext uri="{FF2B5EF4-FFF2-40B4-BE49-F238E27FC236}">
              <a16:creationId xmlns:a16="http://schemas.microsoft.com/office/drawing/2014/main" id="{00000000-0008-0000-0F00-0000C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3" name="AutoShape 1">
          <a:extLst>
            <a:ext uri="{FF2B5EF4-FFF2-40B4-BE49-F238E27FC236}">
              <a16:creationId xmlns:a16="http://schemas.microsoft.com/office/drawing/2014/main" id="{00000000-0008-0000-0F00-0000C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4" name="AutoShape 1">
          <a:extLst>
            <a:ext uri="{FF2B5EF4-FFF2-40B4-BE49-F238E27FC236}">
              <a16:creationId xmlns:a16="http://schemas.microsoft.com/office/drawing/2014/main" id="{00000000-0008-0000-0F00-0000C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5" name="AutoShape 1">
          <a:extLst>
            <a:ext uri="{FF2B5EF4-FFF2-40B4-BE49-F238E27FC236}">
              <a16:creationId xmlns:a16="http://schemas.microsoft.com/office/drawing/2014/main" id="{00000000-0008-0000-0F00-0000C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6" name="AutoShape 1">
          <a:extLst>
            <a:ext uri="{FF2B5EF4-FFF2-40B4-BE49-F238E27FC236}">
              <a16:creationId xmlns:a16="http://schemas.microsoft.com/office/drawing/2014/main" id="{00000000-0008-0000-0F00-0000C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7" name="AutoShape 1">
          <a:extLst>
            <a:ext uri="{FF2B5EF4-FFF2-40B4-BE49-F238E27FC236}">
              <a16:creationId xmlns:a16="http://schemas.microsoft.com/office/drawing/2014/main" id="{00000000-0008-0000-0F00-0000C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8" name="AutoShape 1">
          <a:extLst>
            <a:ext uri="{FF2B5EF4-FFF2-40B4-BE49-F238E27FC236}">
              <a16:creationId xmlns:a16="http://schemas.microsoft.com/office/drawing/2014/main" id="{00000000-0008-0000-0F00-0000C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19" name="AutoShape 1">
          <a:extLst>
            <a:ext uri="{FF2B5EF4-FFF2-40B4-BE49-F238E27FC236}">
              <a16:creationId xmlns:a16="http://schemas.microsoft.com/office/drawing/2014/main" id="{00000000-0008-0000-0F00-0000CB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0" name="AutoShape 1">
          <a:extLst>
            <a:ext uri="{FF2B5EF4-FFF2-40B4-BE49-F238E27FC236}">
              <a16:creationId xmlns:a16="http://schemas.microsoft.com/office/drawing/2014/main" id="{00000000-0008-0000-0F00-0000CC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1" name="AutoShape 1">
          <a:extLst>
            <a:ext uri="{FF2B5EF4-FFF2-40B4-BE49-F238E27FC236}">
              <a16:creationId xmlns:a16="http://schemas.microsoft.com/office/drawing/2014/main" id="{00000000-0008-0000-0F00-0000C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2" name="AutoShape 1">
          <a:extLst>
            <a:ext uri="{FF2B5EF4-FFF2-40B4-BE49-F238E27FC236}">
              <a16:creationId xmlns:a16="http://schemas.microsoft.com/office/drawing/2014/main" id="{00000000-0008-0000-0F00-0000C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3" name="AutoShape 1">
          <a:extLst>
            <a:ext uri="{FF2B5EF4-FFF2-40B4-BE49-F238E27FC236}">
              <a16:creationId xmlns:a16="http://schemas.microsoft.com/office/drawing/2014/main" id="{00000000-0008-0000-0F00-0000C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4" name="AutoShape 1">
          <a:extLst>
            <a:ext uri="{FF2B5EF4-FFF2-40B4-BE49-F238E27FC236}">
              <a16:creationId xmlns:a16="http://schemas.microsoft.com/office/drawing/2014/main" id="{00000000-0008-0000-0F00-0000D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5" name="AutoShape 1">
          <a:extLst>
            <a:ext uri="{FF2B5EF4-FFF2-40B4-BE49-F238E27FC236}">
              <a16:creationId xmlns:a16="http://schemas.microsoft.com/office/drawing/2014/main" id="{00000000-0008-0000-0F00-0000D1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6" name="AutoShape 1">
          <a:extLst>
            <a:ext uri="{FF2B5EF4-FFF2-40B4-BE49-F238E27FC236}">
              <a16:creationId xmlns:a16="http://schemas.microsoft.com/office/drawing/2014/main" id="{00000000-0008-0000-0F00-0000D2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7" name="AutoShape 1">
          <a:extLst>
            <a:ext uri="{FF2B5EF4-FFF2-40B4-BE49-F238E27FC236}">
              <a16:creationId xmlns:a16="http://schemas.microsoft.com/office/drawing/2014/main" id="{00000000-0008-0000-0F00-0000D3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8" name="AutoShape 1">
          <a:extLst>
            <a:ext uri="{FF2B5EF4-FFF2-40B4-BE49-F238E27FC236}">
              <a16:creationId xmlns:a16="http://schemas.microsoft.com/office/drawing/2014/main" id="{00000000-0008-0000-0F00-0000D4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29" name="AutoShape 1">
          <a:extLst>
            <a:ext uri="{FF2B5EF4-FFF2-40B4-BE49-F238E27FC236}">
              <a16:creationId xmlns:a16="http://schemas.microsoft.com/office/drawing/2014/main" id="{00000000-0008-0000-0F00-0000D5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0" name="AutoShape 1">
          <a:extLst>
            <a:ext uri="{FF2B5EF4-FFF2-40B4-BE49-F238E27FC236}">
              <a16:creationId xmlns:a16="http://schemas.microsoft.com/office/drawing/2014/main" id="{00000000-0008-0000-0F00-0000D6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1" name="AutoShape 1">
          <a:extLst>
            <a:ext uri="{FF2B5EF4-FFF2-40B4-BE49-F238E27FC236}">
              <a16:creationId xmlns:a16="http://schemas.microsoft.com/office/drawing/2014/main" id="{00000000-0008-0000-0F00-0000D7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2" name="AutoShape 1">
          <a:extLst>
            <a:ext uri="{FF2B5EF4-FFF2-40B4-BE49-F238E27FC236}">
              <a16:creationId xmlns:a16="http://schemas.microsoft.com/office/drawing/2014/main" id="{00000000-0008-0000-0F00-0000D8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3" name="AutoShape 1">
          <a:extLst>
            <a:ext uri="{FF2B5EF4-FFF2-40B4-BE49-F238E27FC236}">
              <a16:creationId xmlns:a16="http://schemas.microsoft.com/office/drawing/2014/main" id="{00000000-0008-0000-0F00-0000D9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4" name="AutoShape 1">
          <a:extLst>
            <a:ext uri="{FF2B5EF4-FFF2-40B4-BE49-F238E27FC236}">
              <a16:creationId xmlns:a16="http://schemas.microsoft.com/office/drawing/2014/main" id="{00000000-0008-0000-0F00-0000DA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5" name="AutoShape 1">
          <a:extLst>
            <a:ext uri="{FF2B5EF4-FFF2-40B4-BE49-F238E27FC236}">
              <a16:creationId xmlns:a16="http://schemas.microsoft.com/office/drawing/2014/main" id="{00000000-0008-0000-0F00-0000D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6" name="AutoShape 1">
          <a:extLst>
            <a:ext uri="{FF2B5EF4-FFF2-40B4-BE49-F238E27FC236}">
              <a16:creationId xmlns:a16="http://schemas.microsoft.com/office/drawing/2014/main" id="{00000000-0008-0000-0F00-0000D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7" name="AutoShape 1">
          <a:extLst>
            <a:ext uri="{FF2B5EF4-FFF2-40B4-BE49-F238E27FC236}">
              <a16:creationId xmlns:a16="http://schemas.microsoft.com/office/drawing/2014/main" id="{00000000-0008-0000-0F00-0000D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8" name="AutoShape 1">
          <a:extLst>
            <a:ext uri="{FF2B5EF4-FFF2-40B4-BE49-F238E27FC236}">
              <a16:creationId xmlns:a16="http://schemas.microsoft.com/office/drawing/2014/main" id="{00000000-0008-0000-0F00-0000D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39" name="AutoShape 1">
          <a:extLst>
            <a:ext uri="{FF2B5EF4-FFF2-40B4-BE49-F238E27FC236}">
              <a16:creationId xmlns:a16="http://schemas.microsoft.com/office/drawing/2014/main" id="{00000000-0008-0000-0F00-0000D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0" name="AutoShape 1">
          <a:extLst>
            <a:ext uri="{FF2B5EF4-FFF2-40B4-BE49-F238E27FC236}">
              <a16:creationId xmlns:a16="http://schemas.microsoft.com/office/drawing/2014/main" id="{00000000-0008-0000-0F00-0000E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1" name="AutoShape 1">
          <a:extLst>
            <a:ext uri="{FF2B5EF4-FFF2-40B4-BE49-F238E27FC236}">
              <a16:creationId xmlns:a16="http://schemas.microsoft.com/office/drawing/2014/main" id="{00000000-0008-0000-0F00-0000E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2" name="AutoShape 1">
          <a:extLst>
            <a:ext uri="{FF2B5EF4-FFF2-40B4-BE49-F238E27FC236}">
              <a16:creationId xmlns:a16="http://schemas.microsoft.com/office/drawing/2014/main" id="{00000000-0008-0000-0F00-0000E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3" name="AutoShape 1">
          <a:extLst>
            <a:ext uri="{FF2B5EF4-FFF2-40B4-BE49-F238E27FC236}">
              <a16:creationId xmlns:a16="http://schemas.microsoft.com/office/drawing/2014/main" id="{00000000-0008-0000-0F00-0000E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4" name="AutoShape 1">
          <a:extLst>
            <a:ext uri="{FF2B5EF4-FFF2-40B4-BE49-F238E27FC236}">
              <a16:creationId xmlns:a16="http://schemas.microsoft.com/office/drawing/2014/main" id="{00000000-0008-0000-0F00-0000E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5" name="AutoShape 1">
          <a:extLst>
            <a:ext uri="{FF2B5EF4-FFF2-40B4-BE49-F238E27FC236}">
              <a16:creationId xmlns:a16="http://schemas.microsoft.com/office/drawing/2014/main" id="{00000000-0008-0000-0F00-0000E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6" name="AutoShape 1">
          <a:extLst>
            <a:ext uri="{FF2B5EF4-FFF2-40B4-BE49-F238E27FC236}">
              <a16:creationId xmlns:a16="http://schemas.microsoft.com/office/drawing/2014/main" id="{00000000-0008-0000-0F00-0000E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7" name="AutoShape 1">
          <a:extLst>
            <a:ext uri="{FF2B5EF4-FFF2-40B4-BE49-F238E27FC236}">
              <a16:creationId xmlns:a16="http://schemas.microsoft.com/office/drawing/2014/main" id="{00000000-0008-0000-0F00-0000E7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8" name="AutoShape 1">
          <a:extLst>
            <a:ext uri="{FF2B5EF4-FFF2-40B4-BE49-F238E27FC236}">
              <a16:creationId xmlns:a16="http://schemas.microsoft.com/office/drawing/2014/main" id="{00000000-0008-0000-0F00-0000E8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49" name="AutoShape 1">
          <a:extLst>
            <a:ext uri="{FF2B5EF4-FFF2-40B4-BE49-F238E27FC236}">
              <a16:creationId xmlns:a16="http://schemas.microsoft.com/office/drawing/2014/main" id="{00000000-0008-0000-0F00-0000E9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0" name="AutoShape 1">
          <a:extLst>
            <a:ext uri="{FF2B5EF4-FFF2-40B4-BE49-F238E27FC236}">
              <a16:creationId xmlns:a16="http://schemas.microsoft.com/office/drawing/2014/main" id="{00000000-0008-0000-0F00-0000EA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1" name="AutoShape 1">
          <a:extLst>
            <a:ext uri="{FF2B5EF4-FFF2-40B4-BE49-F238E27FC236}">
              <a16:creationId xmlns:a16="http://schemas.microsoft.com/office/drawing/2014/main" id="{00000000-0008-0000-0F00-0000EB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2" name="AutoShape 1">
          <a:extLst>
            <a:ext uri="{FF2B5EF4-FFF2-40B4-BE49-F238E27FC236}">
              <a16:creationId xmlns:a16="http://schemas.microsoft.com/office/drawing/2014/main" id="{00000000-0008-0000-0F00-0000EC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3" name="AutoShape 1">
          <a:extLst>
            <a:ext uri="{FF2B5EF4-FFF2-40B4-BE49-F238E27FC236}">
              <a16:creationId xmlns:a16="http://schemas.microsoft.com/office/drawing/2014/main" id="{00000000-0008-0000-0F00-0000ED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4" name="AutoShape 1">
          <a:extLst>
            <a:ext uri="{FF2B5EF4-FFF2-40B4-BE49-F238E27FC236}">
              <a16:creationId xmlns:a16="http://schemas.microsoft.com/office/drawing/2014/main" id="{00000000-0008-0000-0F00-0000EE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5" name="AutoShape 1">
          <a:extLst>
            <a:ext uri="{FF2B5EF4-FFF2-40B4-BE49-F238E27FC236}">
              <a16:creationId xmlns:a16="http://schemas.microsoft.com/office/drawing/2014/main" id="{00000000-0008-0000-0F00-0000EF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6" name="AutoShape 1">
          <a:extLst>
            <a:ext uri="{FF2B5EF4-FFF2-40B4-BE49-F238E27FC236}">
              <a16:creationId xmlns:a16="http://schemas.microsoft.com/office/drawing/2014/main" id="{00000000-0008-0000-0F00-0000F0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7" name="AutoShape 1">
          <a:extLst>
            <a:ext uri="{FF2B5EF4-FFF2-40B4-BE49-F238E27FC236}">
              <a16:creationId xmlns:a16="http://schemas.microsoft.com/office/drawing/2014/main" id="{00000000-0008-0000-0F00-0000F1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8" name="AutoShape 1">
          <a:extLst>
            <a:ext uri="{FF2B5EF4-FFF2-40B4-BE49-F238E27FC236}">
              <a16:creationId xmlns:a16="http://schemas.microsoft.com/office/drawing/2014/main" id="{00000000-0008-0000-0F00-0000F2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59" name="AutoShape 1">
          <a:extLst>
            <a:ext uri="{FF2B5EF4-FFF2-40B4-BE49-F238E27FC236}">
              <a16:creationId xmlns:a16="http://schemas.microsoft.com/office/drawing/2014/main" id="{00000000-0008-0000-0F00-0000F3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0" name="AutoShape 1">
          <a:extLst>
            <a:ext uri="{FF2B5EF4-FFF2-40B4-BE49-F238E27FC236}">
              <a16:creationId xmlns:a16="http://schemas.microsoft.com/office/drawing/2014/main" id="{00000000-0008-0000-0F00-0000F4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1" name="AutoShape 1">
          <a:extLst>
            <a:ext uri="{FF2B5EF4-FFF2-40B4-BE49-F238E27FC236}">
              <a16:creationId xmlns:a16="http://schemas.microsoft.com/office/drawing/2014/main" id="{00000000-0008-0000-0F00-0000F5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2" name="AutoShape 1">
          <a:extLst>
            <a:ext uri="{FF2B5EF4-FFF2-40B4-BE49-F238E27FC236}">
              <a16:creationId xmlns:a16="http://schemas.microsoft.com/office/drawing/2014/main" id="{00000000-0008-0000-0F00-0000F60B0000}"/>
            </a:ext>
          </a:extLst>
        </xdr:cNvPr>
        <xdr:cNvSpPr>
          <a:spLocks noChangeAspect="1" noChangeArrowheads="1"/>
        </xdr:cNvSpPr>
      </xdr:nvSpPr>
      <xdr:spPr bwMode="auto">
        <a:xfrm>
          <a:off x="977900" y="6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3" name="AutoShape 1">
          <a:extLst>
            <a:ext uri="{FF2B5EF4-FFF2-40B4-BE49-F238E27FC236}">
              <a16:creationId xmlns:a16="http://schemas.microsoft.com/office/drawing/2014/main" id="{00000000-0008-0000-0F00-0000F7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4" name="AutoShape 1">
          <a:extLst>
            <a:ext uri="{FF2B5EF4-FFF2-40B4-BE49-F238E27FC236}">
              <a16:creationId xmlns:a16="http://schemas.microsoft.com/office/drawing/2014/main" id="{00000000-0008-0000-0F00-0000F8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5" name="AutoShape 1">
          <a:extLst>
            <a:ext uri="{FF2B5EF4-FFF2-40B4-BE49-F238E27FC236}">
              <a16:creationId xmlns:a16="http://schemas.microsoft.com/office/drawing/2014/main" id="{00000000-0008-0000-0F00-0000F9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6" name="AutoShape 1">
          <a:extLst>
            <a:ext uri="{FF2B5EF4-FFF2-40B4-BE49-F238E27FC236}">
              <a16:creationId xmlns:a16="http://schemas.microsoft.com/office/drawing/2014/main" id="{00000000-0008-0000-0F00-0000FA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7" name="AutoShape 1">
          <a:extLst>
            <a:ext uri="{FF2B5EF4-FFF2-40B4-BE49-F238E27FC236}">
              <a16:creationId xmlns:a16="http://schemas.microsoft.com/office/drawing/2014/main" id="{00000000-0008-0000-0F00-0000FB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8" name="AutoShape 1">
          <a:extLst>
            <a:ext uri="{FF2B5EF4-FFF2-40B4-BE49-F238E27FC236}">
              <a16:creationId xmlns:a16="http://schemas.microsoft.com/office/drawing/2014/main" id="{00000000-0008-0000-0F00-0000FC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69" name="AutoShape 1">
          <a:extLst>
            <a:ext uri="{FF2B5EF4-FFF2-40B4-BE49-F238E27FC236}">
              <a16:creationId xmlns:a16="http://schemas.microsoft.com/office/drawing/2014/main" id="{00000000-0008-0000-0F00-0000FD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0" name="AutoShape 1">
          <a:extLst>
            <a:ext uri="{FF2B5EF4-FFF2-40B4-BE49-F238E27FC236}">
              <a16:creationId xmlns:a16="http://schemas.microsoft.com/office/drawing/2014/main" id="{00000000-0008-0000-0F00-0000FE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1" name="AutoShape 1">
          <a:extLst>
            <a:ext uri="{FF2B5EF4-FFF2-40B4-BE49-F238E27FC236}">
              <a16:creationId xmlns:a16="http://schemas.microsoft.com/office/drawing/2014/main" id="{00000000-0008-0000-0F00-0000FF0B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2" name="AutoShape 1">
          <a:extLst>
            <a:ext uri="{FF2B5EF4-FFF2-40B4-BE49-F238E27FC236}">
              <a16:creationId xmlns:a16="http://schemas.microsoft.com/office/drawing/2014/main" id="{00000000-0008-0000-0F00-00000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3" name="AutoShape 1">
          <a:extLst>
            <a:ext uri="{FF2B5EF4-FFF2-40B4-BE49-F238E27FC236}">
              <a16:creationId xmlns:a16="http://schemas.microsoft.com/office/drawing/2014/main" id="{00000000-0008-0000-0F00-00000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4" name="AutoShape 1">
          <a:extLst>
            <a:ext uri="{FF2B5EF4-FFF2-40B4-BE49-F238E27FC236}">
              <a16:creationId xmlns:a16="http://schemas.microsoft.com/office/drawing/2014/main" id="{00000000-0008-0000-0F00-00000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5" name="AutoShape 1">
          <a:extLst>
            <a:ext uri="{FF2B5EF4-FFF2-40B4-BE49-F238E27FC236}">
              <a16:creationId xmlns:a16="http://schemas.microsoft.com/office/drawing/2014/main" id="{00000000-0008-0000-0F00-00000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6" name="AutoShape 1">
          <a:extLst>
            <a:ext uri="{FF2B5EF4-FFF2-40B4-BE49-F238E27FC236}">
              <a16:creationId xmlns:a16="http://schemas.microsoft.com/office/drawing/2014/main" id="{00000000-0008-0000-0F00-00000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7" name="AutoShape 1">
          <a:extLst>
            <a:ext uri="{FF2B5EF4-FFF2-40B4-BE49-F238E27FC236}">
              <a16:creationId xmlns:a16="http://schemas.microsoft.com/office/drawing/2014/main" id="{00000000-0008-0000-0F00-00000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8" name="AutoShape 1">
          <a:extLst>
            <a:ext uri="{FF2B5EF4-FFF2-40B4-BE49-F238E27FC236}">
              <a16:creationId xmlns:a16="http://schemas.microsoft.com/office/drawing/2014/main" id="{00000000-0008-0000-0F00-00000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79" name="AutoShape 1">
          <a:extLst>
            <a:ext uri="{FF2B5EF4-FFF2-40B4-BE49-F238E27FC236}">
              <a16:creationId xmlns:a16="http://schemas.microsoft.com/office/drawing/2014/main" id="{00000000-0008-0000-0F00-00000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0" name="AutoShape 1">
          <a:extLst>
            <a:ext uri="{FF2B5EF4-FFF2-40B4-BE49-F238E27FC236}">
              <a16:creationId xmlns:a16="http://schemas.microsoft.com/office/drawing/2014/main" id="{00000000-0008-0000-0F00-00000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1" name="AutoShape 1">
          <a:extLst>
            <a:ext uri="{FF2B5EF4-FFF2-40B4-BE49-F238E27FC236}">
              <a16:creationId xmlns:a16="http://schemas.microsoft.com/office/drawing/2014/main" id="{00000000-0008-0000-0F00-00000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2" name="AutoShape 1">
          <a:extLst>
            <a:ext uri="{FF2B5EF4-FFF2-40B4-BE49-F238E27FC236}">
              <a16:creationId xmlns:a16="http://schemas.microsoft.com/office/drawing/2014/main" id="{00000000-0008-0000-0F00-00000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3" name="AutoShape 1">
          <a:extLst>
            <a:ext uri="{FF2B5EF4-FFF2-40B4-BE49-F238E27FC236}">
              <a16:creationId xmlns:a16="http://schemas.microsoft.com/office/drawing/2014/main" id="{00000000-0008-0000-0F00-00000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4" name="AutoShape 1">
          <a:extLst>
            <a:ext uri="{FF2B5EF4-FFF2-40B4-BE49-F238E27FC236}">
              <a16:creationId xmlns:a16="http://schemas.microsoft.com/office/drawing/2014/main" id="{00000000-0008-0000-0F00-00000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5" name="AutoShape 1">
          <a:extLst>
            <a:ext uri="{FF2B5EF4-FFF2-40B4-BE49-F238E27FC236}">
              <a16:creationId xmlns:a16="http://schemas.microsoft.com/office/drawing/2014/main" id="{00000000-0008-0000-0F00-00000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6" name="AutoShape 1">
          <a:extLst>
            <a:ext uri="{FF2B5EF4-FFF2-40B4-BE49-F238E27FC236}">
              <a16:creationId xmlns:a16="http://schemas.microsoft.com/office/drawing/2014/main" id="{00000000-0008-0000-0F00-00000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7" name="AutoShape 1">
          <a:extLst>
            <a:ext uri="{FF2B5EF4-FFF2-40B4-BE49-F238E27FC236}">
              <a16:creationId xmlns:a16="http://schemas.microsoft.com/office/drawing/2014/main" id="{00000000-0008-0000-0F00-00000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8" name="AutoShape 1">
          <a:extLst>
            <a:ext uri="{FF2B5EF4-FFF2-40B4-BE49-F238E27FC236}">
              <a16:creationId xmlns:a16="http://schemas.microsoft.com/office/drawing/2014/main" id="{00000000-0008-0000-0F00-00001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89" name="AutoShape 1">
          <a:extLst>
            <a:ext uri="{FF2B5EF4-FFF2-40B4-BE49-F238E27FC236}">
              <a16:creationId xmlns:a16="http://schemas.microsoft.com/office/drawing/2014/main" id="{00000000-0008-0000-0F00-00001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0" name="AutoShape 1">
          <a:extLst>
            <a:ext uri="{FF2B5EF4-FFF2-40B4-BE49-F238E27FC236}">
              <a16:creationId xmlns:a16="http://schemas.microsoft.com/office/drawing/2014/main" id="{00000000-0008-0000-0F00-00001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1" name="AutoShape 1">
          <a:extLst>
            <a:ext uri="{FF2B5EF4-FFF2-40B4-BE49-F238E27FC236}">
              <a16:creationId xmlns:a16="http://schemas.microsoft.com/office/drawing/2014/main" id="{00000000-0008-0000-0F00-00001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2" name="AutoShape 1">
          <a:extLst>
            <a:ext uri="{FF2B5EF4-FFF2-40B4-BE49-F238E27FC236}">
              <a16:creationId xmlns:a16="http://schemas.microsoft.com/office/drawing/2014/main" id="{00000000-0008-0000-0F00-00001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3" name="AutoShape 1">
          <a:extLst>
            <a:ext uri="{FF2B5EF4-FFF2-40B4-BE49-F238E27FC236}">
              <a16:creationId xmlns:a16="http://schemas.microsoft.com/office/drawing/2014/main" id="{00000000-0008-0000-0F00-00001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4" name="AutoShape 1">
          <a:extLst>
            <a:ext uri="{FF2B5EF4-FFF2-40B4-BE49-F238E27FC236}">
              <a16:creationId xmlns:a16="http://schemas.microsoft.com/office/drawing/2014/main" id="{00000000-0008-0000-0F00-00001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5" name="AutoShape 1">
          <a:extLst>
            <a:ext uri="{FF2B5EF4-FFF2-40B4-BE49-F238E27FC236}">
              <a16:creationId xmlns:a16="http://schemas.microsoft.com/office/drawing/2014/main" id="{00000000-0008-0000-0F00-00001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6" name="AutoShape 1">
          <a:extLst>
            <a:ext uri="{FF2B5EF4-FFF2-40B4-BE49-F238E27FC236}">
              <a16:creationId xmlns:a16="http://schemas.microsoft.com/office/drawing/2014/main" id="{00000000-0008-0000-0F00-00001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7" name="AutoShape 1">
          <a:extLst>
            <a:ext uri="{FF2B5EF4-FFF2-40B4-BE49-F238E27FC236}">
              <a16:creationId xmlns:a16="http://schemas.microsoft.com/office/drawing/2014/main" id="{00000000-0008-0000-0F00-00001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8" name="AutoShape 1">
          <a:extLst>
            <a:ext uri="{FF2B5EF4-FFF2-40B4-BE49-F238E27FC236}">
              <a16:creationId xmlns:a16="http://schemas.microsoft.com/office/drawing/2014/main" id="{00000000-0008-0000-0F00-00001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099" name="AutoShape 1">
          <a:extLst>
            <a:ext uri="{FF2B5EF4-FFF2-40B4-BE49-F238E27FC236}">
              <a16:creationId xmlns:a16="http://schemas.microsoft.com/office/drawing/2014/main" id="{00000000-0008-0000-0F00-00001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0" name="AutoShape 1">
          <a:extLst>
            <a:ext uri="{FF2B5EF4-FFF2-40B4-BE49-F238E27FC236}">
              <a16:creationId xmlns:a16="http://schemas.microsoft.com/office/drawing/2014/main" id="{00000000-0008-0000-0F00-00001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1" name="AutoShape 1">
          <a:extLst>
            <a:ext uri="{FF2B5EF4-FFF2-40B4-BE49-F238E27FC236}">
              <a16:creationId xmlns:a16="http://schemas.microsoft.com/office/drawing/2014/main" id="{00000000-0008-0000-0F00-00001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2" name="AutoShape 1">
          <a:extLst>
            <a:ext uri="{FF2B5EF4-FFF2-40B4-BE49-F238E27FC236}">
              <a16:creationId xmlns:a16="http://schemas.microsoft.com/office/drawing/2014/main" id="{00000000-0008-0000-0F00-00001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3" name="AutoShape 1">
          <a:extLst>
            <a:ext uri="{FF2B5EF4-FFF2-40B4-BE49-F238E27FC236}">
              <a16:creationId xmlns:a16="http://schemas.microsoft.com/office/drawing/2014/main" id="{00000000-0008-0000-0F00-00001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4" name="AutoShape 1">
          <a:extLst>
            <a:ext uri="{FF2B5EF4-FFF2-40B4-BE49-F238E27FC236}">
              <a16:creationId xmlns:a16="http://schemas.microsoft.com/office/drawing/2014/main" id="{00000000-0008-0000-0F00-00002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5" name="AutoShape 1">
          <a:extLst>
            <a:ext uri="{FF2B5EF4-FFF2-40B4-BE49-F238E27FC236}">
              <a16:creationId xmlns:a16="http://schemas.microsoft.com/office/drawing/2014/main" id="{00000000-0008-0000-0F00-00002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6" name="AutoShape 1">
          <a:extLst>
            <a:ext uri="{FF2B5EF4-FFF2-40B4-BE49-F238E27FC236}">
              <a16:creationId xmlns:a16="http://schemas.microsoft.com/office/drawing/2014/main" id="{00000000-0008-0000-0F00-00002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7" name="AutoShape 1">
          <a:extLst>
            <a:ext uri="{FF2B5EF4-FFF2-40B4-BE49-F238E27FC236}">
              <a16:creationId xmlns:a16="http://schemas.microsoft.com/office/drawing/2014/main" id="{00000000-0008-0000-0F00-00002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8" name="AutoShape 1">
          <a:extLst>
            <a:ext uri="{FF2B5EF4-FFF2-40B4-BE49-F238E27FC236}">
              <a16:creationId xmlns:a16="http://schemas.microsoft.com/office/drawing/2014/main" id="{00000000-0008-0000-0F00-00002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09" name="AutoShape 1">
          <a:extLst>
            <a:ext uri="{FF2B5EF4-FFF2-40B4-BE49-F238E27FC236}">
              <a16:creationId xmlns:a16="http://schemas.microsoft.com/office/drawing/2014/main" id="{00000000-0008-0000-0F00-00002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0" name="AutoShape 1">
          <a:extLst>
            <a:ext uri="{FF2B5EF4-FFF2-40B4-BE49-F238E27FC236}">
              <a16:creationId xmlns:a16="http://schemas.microsoft.com/office/drawing/2014/main" id="{00000000-0008-0000-0F00-00002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1" name="AutoShape 1">
          <a:extLst>
            <a:ext uri="{FF2B5EF4-FFF2-40B4-BE49-F238E27FC236}">
              <a16:creationId xmlns:a16="http://schemas.microsoft.com/office/drawing/2014/main" id="{00000000-0008-0000-0F00-00002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2" name="AutoShape 1">
          <a:extLst>
            <a:ext uri="{FF2B5EF4-FFF2-40B4-BE49-F238E27FC236}">
              <a16:creationId xmlns:a16="http://schemas.microsoft.com/office/drawing/2014/main" id="{00000000-0008-0000-0F00-00002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3" name="AutoShape 1">
          <a:extLst>
            <a:ext uri="{FF2B5EF4-FFF2-40B4-BE49-F238E27FC236}">
              <a16:creationId xmlns:a16="http://schemas.microsoft.com/office/drawing/2014/main" id="{00000000-0008-0000-0F00-00002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4" name="AutoShape 1">
          <a:extLst>
            <a:ext uri="{FF2B5EF4-FFF2-40B4-BE49-F238E27FC236}">
              <a16:creationId xmlns:a16="http://schemas.microsoft.com/office/drawing/2014/main" id="{00000000-0008-0000-0F00-00002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5" name="AutoShape 1">
          <a:extLst>
            <a:ext uri="{FF2B5EF4-FFF2-40B4-BE49-F238E27FC236}">
              <a16:creationId xmlns:a16="http://schemas.microsoft.com/office/drawing/2014/main" id="{00000000-0008-0000-0F00-00002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6" name="AutoShape 1">
          <a:extLst>
            <a:ext uri="{FF2B5EF4-FFF2-40B4-BE49-F238E27FC236}">
              <a16:creationId xmlns:a16="http://schemas.microsoft.com/office/drawing/2014/main" id="{00000000-0008-0000-0F00-00002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7" name="AutoShape 1">
          <a:extLst>
            <a:ext uri="{FF2B5EF4-FFF2-40B4-BE49-F238E27FC236}">
              <a16:creationId xmlns:a16="http://schemas.microsoft.com/office/drawing/2014/main" id="{00000000-0008-0000-0F00-00002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8" name="AutoShape 1">
          <a:extLst>
            <a:ext uri="{FF2B5EF4-FFF2-40B4-BE49-F238E27FC236}">
              <a16:creationId xmlns:a16="http://schemas.microsoft.com/office/drawing/2014/main" id="{00000000-0008-0000-0F00-00002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19" name="AutoShape 1">
          <a:extLst>
            <a:ext uri="{FF2B5EF4-FFF2-40B4-BE49-F238E27FC236}">
              <a16:creationId xmlns:a16="http://schemas.microsoft.com/office/drawing/2014/main" id="{00000000-0008-0000-0F00-00002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0" name="AutoShape 1">
          <a:extLst>
            <a:ext uri="{FF2B5EF4-FFF2-40B4-BE49-F238E27FC236}">
              <a16:creationId xmlns:a16="http://schemas.microsoft.com/office/drawing/2014/main" id="{00000000-0008-0000-0F00-00003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1" name="AutoShape 1">
          <a:extLst>
            <a:ext uri="{FF2B5EF4-FFF2-40B4-BE49-F238E27FC236}">
              <a16:creationId xmlns:a16="http://schemas.microsoft.com/office/drawing/2014/main" id="{00000000-0008-0000-0F00-00003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2" name="AutoShape 1">
          <a:extLst>
            <a:ext uri="{FF2B5EF4-FFF2-40B4-BE49-F238E27FC236}">
              <a16:creationId xmlns:a16="http://schemas.microsoft.com/office/drawing/2014/main" id="{00000000-0008-0000-0F00-00003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3" name="AutoShape 1">
          <a:extLst>
            <a:ext uri="{FF2B5EF4-FFF2-40B4-BE49-F238E27FC236}">
              <a16:creationId xmlns:a16="http://schemas.microsoft.com/office/drawing/2014/main" id="{00000000-0008-0000-0F00-00003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4" name="AutoShape 1">
          <a:extLst>
            <a:ext uri="{FF2B5EF4-FFF2-40B4-BE49-F238E27FC236}">
              <a16:creationId xmlns:a16="http://schemas.microsoft.com/office/drawing/2014/main" id="{00000000-0008-0000-0F00-00003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5" name="AutoShape 1">
          <a:extLst>
            <a:ext uri="{FF2B5EF4-FFF2-40B4-BE49-F238E27FC236}">
              <a16:creationId xmlns:a16="http://schemas.microsoft.com/office/drawing/2014/main" id="{00000000-0008-0000-0F00-00003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6" name="AutoShape 1">
          <a:extLst>
            <a:ext uri="{FF2B5EF4-FFF2-40B4-BE49-F238E27FC236}">
              <a16:creationId xmlns:a16="http://schemas.microsoft.com/office/drawing/2014/main" id="{00000000-0008-0000-0F00-00003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7" name="AutoShape 1">
          <a:extLst>
            <a:ext uri="{FF2B5EF4-FFF2-40B4-BE49-F238E27FC236}">
              <a16:creationId xmlns:a16="http://schemas.microsoft.com/office/drawing/2014/main" id="{00000000-0008-0000-0F00-00003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8" name="AutoShape 1">
          <a:extLst>
            <a:ext uri="{FF2B5EF4-FFF2-40B4-BE49-F238E27FC236}">
              <a16:creationId xmlns:a16="http://schemas.microsoft.com/office/drawing/2014/main" id="{00000000-0008-0000-0F00-00003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29" name="AutoShape 1">
          <a:extLst>
            <a:ext uri="{FF2B5EF4-FFF2-40B4-BE49-F238E27FC236}">
              <a16:creationId xmlns:a16="http://schemas.microsoft.com/office/drawing/2014/main" id="{00000000-0008-0000-0F00-00003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0" name="AutoShape 1">
          <a:extLst>
            <a:ext uri="{FF2B5EF4-FFF2-40B4-BE49-F238E27FC236}">
              <a16:creationId xmlns:a16="http://schemas.microsoft.com/office/drawing/2014/main" id="{00000000-0008-0000-0F00-00003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1" name="AutoShape 1">
          <a:extLst>
            <a:ext uri="{FF2B5EF4-FFF2-40B4-BE49-F238E27FC236}">
              <a16:creationId xmlns:a16="http://schemas.microsoft.com/office/drawing/2014/main" id="{00000000-0008-0000-0F00-00003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2" name="AutoShape 1">
          <a:extLst>
            <a:ext uri="{FF2B5EF4-FFF2-40B4-BE49-F238E27FC236}">
              <a16:creationId xmlns:a16="http://schemas.microsoft.com/office/drawing/2014/main" id="{00000000-0008-0000-0F00-00003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3" name="AutoShape 1">
          <a:extLst>
            <a:ext uri="{FF2B5EF4-FFF2-40B4-BE49-F238E27FC236}">
              <a16:creationId xmlns:a16="http://schemas.microsoft.com/office/drawing/2014/main" id="{00000000-0008-0000-0F00-00003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4" name="AutoShape 1">
          <a:extLst>
            <a:ext uri="{FF2B5EF4-FFF2-40B4-BE49-F238E27FC236}">
              <a16:creationId xmlns:a16="http://schemas.microsoft.com/office/drawing/2014/main" id="{00000000-0008-0000-0F00-00003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5" name="AutoShape 1">
          <a:extLst>
            <a:ext uri="{FF2B5EF4-FFF2-40B4-BE49-F238E27FC236}">
              <a16:creationId xmlns:a16="http://schemas.microsoft.com/office/drawing/2014/main" id="{00000000-0008-0000-0F00-00003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6" name="AutoShape 1">
          <a:extLst>
            <a:ext uri="{FF2B5EF4-FFF2-40B4-BE49-F238E27FC236}">
              <a16:creationId xmlns:a16="http://schemas.microsoft.com/office/drawing/2014/main" id="{00000000-0008-0000-0F00-00004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7" name="AutoShape 1">
          <a:extLst>
            <a:ext uri="{FF2B5EF4-FFF2-40B4-BE49-F238E27FC236}">
              <a16:creationId xmlns:a16="http://schemas.microsoft.com/office/drawing/2014/main" id="{00000000-0008-0000-0F00-00004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8" name="AutoShape 1">
          <a:extLst>
            <a:ext uri="{FF2B5EF4-FFF2-40B4-BE49-F238E27FC236}">
              <a16:creationId xmlns:a16="http://schemas.microsoft.com/office/drawing/2014/main" id="{00000000-0008-0000-0F00-00004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39" name="AutoShape 1">
          <a:extLst>
            <a:ext uri="{FF2B5EF4-FFF2-40B4-BE49-F238E27FC236}">
              <a16:creationId xmlns:a16="http://schemas.microsoft.com/office/drawing/2014/main" id="{00000000-0008-0000-0F00-00004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0" name="AutoShape 1">
          <a:extLst>
            <a:ext uri="{FF2B5EF4-FFF2-40B4-BE49-F238E27FC236}">
              <a16:creationId xmlns:a16="http://schemas.microsoft.com/office/drawing/2014/main" id="{00000000-0008-0000-0F00-00004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1" name="AutoShape 1">
          <a:extLst>
            <a:ext uri="{FF2B5EF4-FFF2-40B4-BE49-F238E27FC236}">
              <a16:creationId xmlns:a16="http://schemas.microsoft.com/office/drawing/2014/main" id="{00000000-0008-0000-0F00-00004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2" name="AutoShape 1">
          <a:extLst>
            <a:ext uri="{FF2B5EF4-FFF2-40B4-BE49-F238E27FC236}">
              <a16:creationId xmlns:a16="http://schemas.microsoft.com/office/drawing/2014/main" id="{00000000-0008-0000-0F00-00004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3" name="AutoShape 1">
          <a:extLst>
            <a:ext uri="{FF2B5EF4-FFF2-40B4-BE49-F238E27FC236}">
              <a16:creationId xmlns:a16="http://schemas.microsoft.com/office/drawing/2014/main" id="{00000000-0008-0000-0F00-00004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4" name="AutoShape 1">
          <a:extLst>
            <a:ext uri="{FF2B5EF4-FFF2-40B4-BE49-F238E27FC236}">
              <a16:creationId xmlns:a16="http://schemas.microsoft.com/office/drawing/2014/main" id="{00000000-0008-0000-0F00-00004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5" name="AutoShape 1">
          <a:extLst>
            <a:ext uri="{FF2B5EF4-FFF2-40B4-BE49-F238E27FC236}">
              <a16:creationId xmlns:a16="http://schemas.microsoft.com/office/drawing/2014/main" id="{00000000-0008-0000-0F00-00004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6" name="AutoShape 1">
          <a:extLst>
            <a:ext uri="{FF2B5EF4-FFF2-40B4-BE49-F238E27FC236}">
              <a16:creationId xmlns:a16="http://schemas.microsoft.com/office/drawing/2014/main" id="{00000000-0008-0000-0F00-00004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7" name="AutoShape 1">
          <a:extLst>
            <a:ext uri="{FF2B5EF4-FFF2-40B4-BE49-F238E27FC236}">
              <a16:creationId xmlns:a16="http://schemas.microsoft.com/office/drawing/2014/main" id="{00000000-0008-0000-0F00-00004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8" name="AutoShape 1">
          <a:extLst>
            <a:ext uri="{FF2B5EF4-FFF2-40B4-BE49-F238E27FC236}">
              <a16:creationId xmlns:a16="http://schemas.microsoft.com/office/drawing/2014/main" id="{00000000-0008-0000-0F00-00004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49" name="AutoShape 1">
          <a:extLst>
            <a:ext uri="{FF2B5EF4-FFF2-40B4-BE49-F238E27FC236}">
              <a16:creationId xmlns:a16="http://schemas.microsoft.com/office/drawing/2014/main" id="{00000000-0008-0000-0F00-00004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0" name="AutoShape 1">
          <a:extLst>
            <a:ext uri="{FF2B5EF4-FFF2-40B4-BE49-F238E27FC236}">
              <a16:creationId xmlns:a16="http://schemas.microsoft.com/office/drawing/2014/main" id="{00000000-0008-0000-0F00-00004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1" name="AutoShape 1">
          <a:extLst>
            <a:ext uri="{FF2B5EF4-FFF2-40B4-BE49-F238E27FC236}">
              <a16:creationId xmlns:a16="http://schemas.microsoft.com/office/drawing/2014/main" id="{00000000-0008-0000-0F00-00004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2" name="AutoShape 1">
          <a:extLst>
            <a:ext uri="{FF2B5EF4-FFF2-40B4-BE49-F238E27FC236}">
              <a16:creationId xmlns:a16="http://schemas.microsoft.com/office/drawing/2014/main" id="{00000000-0008-0000-0F00-00005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3" name="AutoShape 1">
          <a:extLst>
            <a:ext uri="{FF2B5EF4-FFF2-40B4-BE49-F238E27FC236}">
              <a16:creationId xmlns:a16="http://schemas.microsoft.com/office/drawing/2014/main" id="{00000000-0008-0000-0F00-00005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4" name="AutoShape 1">
          <a:extLst>
            <a:ext uri="{FF2B5EF4-FFF2-40B4-BE49-F238E27FC236}">
              <a16:creationId xmlns:a16="http://schemas.microsoft.com/office/drawing/2014/main" id="{00000000-0008-0000-0F00-00005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5" name="AutoShape 1">
          <a:extLst>
            <a:ext uri="{FF2B5EF4-FFF2-40B4-BE49-F238E27FC236}">
              <a16:creationId xmlns:a16="http://schemas.microsoft.com/office/drawing/2014/main" id="{00000000-0008-0000-0F00-00005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6" name="AutoShape 1">
          <a:extLst>
            <a:ext uri="{FF2B5EF4-FFF2-40B4-BE49-F238E27FC236}">
              <a16:creationId xmlns:a16="http://schemas.microsoft.com/office/drawing/2014/main" id="{00000000-0008-0000-0F00-00005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7" name="AutoShape 1">
          <a:extLst>
            <a:ext uri="{FF2B5EF4-FFF2-40B4-BE49-F238E27FC236}">
              <a16:creationId xmlns:a16="http://schemas.microsoft.com/office/drawing/2014/main" id="{00000000-0008-0000-0F00-00005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8" name="AutoShape 1">
          <a:extLst>
            <a:ext uri="{FF2B5EF4-FFF2-40B4-BE49-F238E27FC236}">
              <a16:creationId xmlns:a16="http://schemas.microsoft.com/office/drawing/2014/main" id="{00000000-0008-0000-0F00-00005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59" name="AutoShape 1">
          <a:extLst>
            <a:ext uri="{FF2B5EF4-FFF2-40B4-BE49-F238E27FC236}">
              <a16:creationId xmlns:a16="http://schemas.microsoft.com/office/drawing/2014/main" id="{00000000-0008-0000-0F00-00005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0" name="AutoShape 1">
          <a:extLst>
            <a:ext uri="{FF2B5EF4-FFF2-40B4-BE49-F238E27FC236}">
              <a16:creationId xmlns:a16="http://schemas.microsoft.com/office/drawing/2014/main" id="{00000000-0008-0000-0F00-00005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1" name="AutoShape 1">
          <a:extLst>
            <a:ext uri="{FF2B5EF4-FFF2-40B4-BE49-F238E27FC236}">
              <a16:creationId xmlns:a16="http://schemas.microsoft.com/office/drawing/2014/main" id="{00000000-0008-0000-0F00-00005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2" name="AutoShape 1">
          <a:extLst>
            <a:ext uri="{FF2B5EF4-FFF2-40B4-BE49-F238E27FC236}">
              <a16:creationId xmlns:a16="http://schemas.microsoft.com/office/drawing/2014/main" id="{00000000-0008-0000-0F00-00005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3" name="AutoShape 1">
          <a:extLst>
            <a:ext uri="{FF2B5EF4-FFF2-40B4-BE49-F238E27FC236}">
              <a16:creationId xmlns:a16="http://schemas.microsoft.com/office/drawing/2014/main" id="{00000000-0008-0000-0F00-00005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4" name="AutoShape 1">
          <a:extLst>
            <a:ext uri="{FF2B5EF4-FFF2-40B4-BE49-F238E27FC236}">
              <a16:creationId xmlns:a16="http://schemas.microsoft.com/office/drawing/2014/main" id="{00000000-0008-0000-0F00-00005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5" name="AutoShape 1">
          <a:extLst>
            <a:ext uri="{FF2B5EF4-FFF2-40B4-BE49-F238E27FC236}">
              <a16:creationId xmlns:a16="http://schemas.microsoft.com/office/drawing/2014/main" id="{00000000-0008-0000-0F00-00005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6" name="AutoShape 1">
          <a:extLst>
            <a:ext uri="{FF2B5EF4-FFF2-40B4-BE49-F238E27FC236}">
              <a16:creationId xmlns:a16="http://schemas.microsoft.com/office/drawing/2014/main" id="{00000000-0008-0000-0F00-00005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7" name="AutoShape 1">
          <a:extLst>
            <a:ext uri="{FF2B5EF4-FFF2-40B4-BE49-F238E27FC236}">
              <a16:creationId xmlns:a16="http://schemas.microsoft.com/office/drawing/2014/main" id="{00000000-0008-0000-0F00-00005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8" name="AutoShape 1">
          <a:extLst>
            <a:ext uri="{FF2B5EF4-FFF2-40B4-BE49-F238E27FC236}">
              <a16:creationId xmlns:a16="http://schemas.microsoft.com/office/drawing/2014/main" id="{00000000-0008-0000-0F00-00006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69" name="AutoShape 1">
          <a:extLst>
            <a:ext uri="{FF2B5EF4-FFF2-40B4-BE49-F238E27FC236}">
              <a16:creationId xmlns:a16="http://schemas.microsoft.com/office/drawing/2014/main" id="{00000000-0008-0000-0F00-00006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0" name="AutoShape 1">
          <a:extLst>
            <a:ext uri="{FF2B5EF4-FFF2-40B4-BE49-F238E27FC236}">
              <a16:creationId xmlns:a16="http://schemas.microsoft.com/office/drawing/2014/main" id="{00000000-0008-0000-0F00-00006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1" name="AutoShape 1">
          <a:extLst>
            <a:ext uri="{FF2B5EF4-FFF2-40B4-BE49-F238E27FC236}">
              <a16:creationId xmlns:a16="http://schemas.microsoft.com/office/drawing/2014/main" id="{00000000-0008-0000-0F00-00006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2" name="AutoShape 1">
          <a:extLst>
            <a:ext uri="{FF2B5EF4-FFF2-40B4-BE49-F238E27FC236}">
              <a16:creationId xmlns:a16="http://schemas.microsoft.com/office/drawing/2014/main" id="{00000000-0008-0000-0F00-00006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3" name="AutoShape 1">
          <a:extLst>
            <a:ext uri="{FF2B5EF4-FFF2-40B4-BE49-F238E27FC236}">
              <a16:creationId xmlns:a16="http://schemas.microsoft.com/office/drawing/2014/main" id="{00000000-0008-0000-0F00-00006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4" name="AutoShape 1">
          <a:extLst>
            <a:ext uri="{FF2B5EF4-FFF2-40B4-BE49-F238E27FC236}">
              <a16:creationId xmlns:a16="http://schemas.microsoft.com/office/drawing/2014/main" id="{00000000-0008-0000-0F00-00006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5" name="AutoShape 1">
          <a:extLst>
            <a:ext uri="{FF2B5EF4-FFF2-40B4-BE49-F238E27FC236}">
              <a16:creationId xmlns:a16="http://schemas.microsoft.com/office/drawing/2014/main" id="{00000000-0008-0000-0F00-00006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6" name="AutoShape 1">
          <a:extLst>
            <a:ext uri="{FF2B5EF4-FFF2-40B4-BE49-F238E27FC236}">
              <a16:creationId xmlns:a16="http://schemas.microsoft.com/office/drawing/2014/main" id="{00000000-0008-0000-0F00-00006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7" name="AutoShape 1">
          <a:extLst>
            <a:ext uri="{FF2B5EF4-FFF2-40B4-BE49-F238E27FC236}">
              <a16:creationId xmlns:a16="http://schemas.microsoft.com/office/drawing/2014/main" id="{00000000-0008-0000-0F00-00006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8" name="AutoShape 1">
          <a:extLst>
            <a:ext uri="{FF2B5EF4-FFF2-40B4-BE49-F238E27FC236}">
              <a16:creationId xmlns:a16="http://schemas.microsoft.com/office/drawing/2014/main" id="{00000000-0008-0000-0F00-00006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79" name="AutoShape 1">
          <a:extLst>
            <a:ext uri="{FF2B5EF4-FFF2-40B4-BE49-F238E27FC236}">
              <a16:creationId xmlns:a16="http://schemas.microsoft.com/office/drawing/2014/main" id="{00000000-0008-0000-0F00-00006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0" name="AutoShape 1">
          <a:extLst>
            <a:ext uri="{FF2B5EF4-FFF2-40B4-BE49-F238E27FC236}">
              <a16:creationId xmlns:a16="http://schemas.microsoft.com/office/drawing/2014/main" id="{00000000-0008-0000-0F00-00006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1" name="AutoShape 1">
          <a:extLst>
            <a:ext uri="{FF2B5EF4-FFF2-40B4-BE49-F238E27FC236}">
              <a16:creationId xmlns:a16="http://schemas.microsoft.com/office/drawing/2014/main" id="{00000000-0008-0000-0F00-00006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2" name="AutoShape 1">
          <a:extLst>
            <a:ext uri="{FF2B5EF4-FFF2-40B4-BE49-F238E27FC236}">
              <a16:creationId xmlns:a16="http://schemas.microsoft.com/office/drawing/2014/main" id="{00000000-0008-0000-0F00-00006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3" name="AutoShape 1">
          <a:extLst>
            <a:ext uri="{FF2B5EF4-FFF2-40B4-BE49-F238E27FC236}">
              <a16:creationId xmlns:a16="http://schemas.microsoft.com/office/drawing/2014/main" id="{00000000-0008-0000-0F00-00006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4" name="AutoShape 1">
          <a:extLst>
            <a:ext uri="{FF2B5EF4-FFF2-40B4-BE49-F238E27FC236}">
              <a16:creationId xmlns:a16="http://schemas.microsoft.com/office/drawing/2014/main" id="{00000000-0008-0000-0F00-00007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5" name="AutoShape 1">
          <a:extLst>
            <a:ext uri="{FF2B5EF4-FFF2-40B4-BE49-F238E27FC236}">
              <a16:creationId xmlns:a16="http://schemas.microsoft.com/office/drawing/2014/main" id="{00000000-0008-0000-0F00-00007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6" name="AutoShape 1">
          <a:extLst>
            <a:ext uri="{FF2B5EF4-FFF2-40B4-BE49-F238E27FC236}">
              <a16:creationId xmlns:a16="http://schemas.microsoft.com/office/drawing/2014/main" id="{00000000-0008-0000-0F00-00007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7" name="AutoShape 1">
          <a:extLst>
            <a:ext uri="{FF2B5EF4-FFF2-40B4-BE49-F238E27FC236}">
              <a16:creationId xmlns:a16="http://schemas.microsoft.com/office/drawing/2014/main" id="{00000000-0008-0000-0F00-00007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8" name="AutoShape 1">
          <a:extLst>
            <a:ext uri="{FF2B5EF4-FFF2-40B4-BE49-F238E27FC236}">
              <a16:creationId xmlns:a16="http://schemas.microsoft.com/office/drawing/2014/main" id="{00000000-0008-0000-0F00-00007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89" name="AutoShape 1">
          <a:extLst>
            <a:ext uri="{FF2B5EF4-FFF2-40B4-BE49-F238E27FC236}">
              <a16:creationId xmlns:a16="http://schemas.microsoft.com/office/drawing/2014/main" id="{00000000-0008-0000-0F00-00007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0" name="AutoShape 1">
          <a:extLst>
            <a:ext uri="{FF2B5EF4-FFF2-40B4-BE49-F238E27FC236}">
              <a16:creationId xmlns:a16="http://schemas.microsoft.com/office/drawing/2014/main" id="{00000000-0008-0000-0F00-00007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1" name="AutoShape 1">
          <a:extLst>
            <a:ext uri="{FF2B5EF4-FFF2-40B4-BE49-F238E27FC236}">
              <a16:creationId xmlns:a16="http://schemas.microsoft.com/office/drawing/2014/main" id="{00000000-0008-0000-0F00-00007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2" name="AutoShape 1">
          <a:extLst>
            <a:ext uri="{FF2B5EF4-FFF2-40B4-BE49-F238E27FC236}">
              <a16:creationId xmlns:a16="http://schemas.microsoft.com/office/drawing/2014/main" id="{00000000-0008-0000-0F00-00007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3" name="AutoShape 1">
          <a:extLst>
            <a:ext uri="{FF2B5EF4-FFF2-40B4-BE49-F238E27FC236}">
              <a16:creationId xmlns:a16="http://schemas.microsoft.com/office/drawing/2014/main" id="{00000000-0008-0000-0F00-00007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4" name="AutoShape 1">
          <a:extLst>
            <a:ext uri="{FF2B5EF4-FFF2-40B4-BE49-F238E27FC236}">
              <a16:creationId xmlns:a16="http://schemas.microsoft.com/office/drawing/2014/main" id="{00000000-0008-0000-0F00-00007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5" name="AutoShape 1">
          <a:extLst>
            <a:ext uri="{FF2B5EF4-FFF2-40B4-BE49-F238E27FC236}">
              <a16:creationId xmlns:a16="http://schemas.microsoft.com/office/drawing/2014/main" id="{00000000-0008-0000-0F00-00007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6" name="AutoShape 1">
          <a:extLst>
            <a:ext uri="{FF2B5EF4-FFF2-40B4-BE49-F238E27FC236}">
              <a16:creationId xmlns:a16="http://schemas.microsoft.com/office/drawing/2014/main" id="{00000000-0008-0000-0F00-00007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7" name="AutoShape 1">
          <a:extLst>
            <a:ext uri="{FF2B5EF4-FFF2-40B4-BE49-F238E27FC236}">
              <a16:creationId xmlns:a16="http://schemas.microsoft.com/office/drawing/2014/main" id="{00000000-0008-0000-0F00-00007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8" name="AutoShape 1">
          <a:extLst>
            <a:ext uri="{FF2B5EF4-FFF2-40B4-BE49-F238E27FC236}">
              <a16:creationId xmlns:a16="http://schemas.microsoft.com/office/drawing/2014/main" id="{00000000-0008-0000-0F00-00007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199" name="AutoShape 1">
          <a:extLst>
            <a:ext uri="{FF2B5EF4-FFF2-40B4-BE49-F238E27FC236}">
              <a16:creationId xmlns:a16="http://schemas.microsoft.com/office/drawing/2014/main" id="{00000000-0008-0000-0F00-00007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0" name="AutoShape 1">
          <a:extLst>
            <a:ext uri="{FF2B5EF4-FFF2-40B4-BE49-F238E27FC236}">
              <a16:creationId xmlns:a16="http://schemas.microsoft.com/office/drawing/2014/main" id="{00000000-0008-0000-0F00-00008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1" name="AutoShape 1">
          <a:extLst>
            <a:ext uri="{FF2B5EF4-FFF2-40B4-BE49-F238E27FC236}">
              <a16:creationId xmlns:a16="http://schemas.microsoft.com/office/drawing/2014/main" id="{00000000-0008-0000-0F00-00008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2" name="AutoShape 1">
          <a:extLst>
            <a:ext uri="{FF2B5EF4-FFF2-40B4-BE49-F238E27FC236}">
              <a16:creationId xmlns:a16="http://schemas.microsoft.com/office/drawing/2014/main" id="{00000000-0008-0000-0F00-00008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3" name="AutoShape 1">
          <a:extLst>
            <a:ext uri="{FF2B5EF4-FFF2-40B4-BE49-F238E27FC236}">
              <a16:creationId xmlns:a16="http://schemas.microsoft.com/office/drawing/2014/main" id="{00000000-0008-0000-0F00-00008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4" name="AutoShape 1">
          <a:extLst>
            <a:ext uri="{FF2B5EF4-FFF2-40B4-BE49-F238E27FC236}">
              <a16:creationId xmlns:a16="http://schemas.microsoft.com/office/drawing/2014/main" id="{00000000-0008-0000-0F00-00008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5" name="AutoShape 1">
          <a:extLst>
            <a:ext uri="{FF2B5EF4-FFF2-40B4-BE49-F238E27FC236}">
              <a16:creationId xmlns:a16="http://schemas.microsoft.com/office/drawing/2014/main" id="{00000000-0008-0000-0F00-00008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6" name="AutoShape 1">
          <a:extLst>
            <a:ext uri="{FF2B5EF4-FFF2-40B4-BE49-F238E27FC236}">
              <a16:creationId xmlns:a16="http://schemas.microsoft.com/office/drawing/2014/main" id="{00000000-0008-0000-0F00-00008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7" name="AutoShape 1">
          <a:extLst>
            <a:ext uri="{FF2B5EF4-FFF2-40B4-BE49-F238E27FC236}">
              <a16:creationId xmlns:a16="http://schemas.microsoft.com/office/drawing/2014/main" id="{00000000-0008-0000-0F00-00008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8" name="AutoShape 1">
          <a:extLst>
            <a:ext uri="{FF2B5EF4-FFF2-40B4-BE49-F238E27FC236}">
              <a16:creationId xmlns:a16="http://schemas.microsoft.com/office/drawing/2014/main" id="{00000000-0008-0000-0F00-00008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09" name="AutoShape 1">
          <a:extLst>
            <a:ext uri="{FF2B5EF4-FFF2-40B4-BE49-F238E27FC236}">
              <a16:creationId xmlns:a16="http://schemas.microsoft.com/office/drawing/2014/main" id="{00000000-0008-0000-0F00-00008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0" name="AutoShape 1">
          <a:extLst>
            <a:ext uri="{FF2B5EF4-FFF2-40B4-BE49-F238E27FC236}">
              <a16:creationId xmlns:a16="http://schemas.microsoft.com/office/drawing/2014/main" id="{00000000-0008-0000-0F00-00008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1" name="AutoShape 1">
          <a:extLst>
            <a:ext uri="{FF2B5EF4-FFF2-40B4-BE49-F238E27FC236}">
              <a16:creationId xmlns:a16="http://schemas.microsoft.com/office/drawing/2014/main" id="{00000000-0008-0000-0F00-00008B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2" name="AutoShape 1">
          <a:extLst>
            <a:ext uri="{FF2B5EF4-FFF2-40B4-BE49-F238E27FC236}">
              <a16:creationId xmlns:a16="http://schemas.microsoft.com/office/drawing/2014/main" id="{00000000-0008-0000-0F00-00008C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3" name="AutoShape 1">
          <a:extLst>
            <a:ext uri="{FF2B5EF4-FFF2-40B4-BE49-F238E27FC236}">
              <a16:creationId xmlns:a16="http://schemas.microsoft.com/office/drawing/2014/main" id="{00000000-0008-0000-0F00-00008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4" name="AutoShape 1">
          <a:extLst>
            <a:ext uri="{FF2B5EF4-FFF2-40B4-BE49-F238E27FC236}">
              <a16:creationId xmlns:a16="http://schemas.microsoft.com/office/drawing/2014/main" id="{00000000-0008-0000-0F00-00008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5" name="AutoShape 1">
          <a:extLst>
            <a:ext uri="{FF2B5EF4-FFF2-40B4-BE49-F238E27FC236}">
              <a16:creationId xmlns:a16="http://schemas.microsoft.com/office/drawing/2014/main" id="{00000000-0008-0000-0F00-00008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6" name="AutoShape 1">
          <a:extLst>
            <a:ext uri="{FF2B5EF4-FFF2-40B4-BE49-F238E27FC236}">
              <a16:creationId xmlns:a16="http://schemas.microsoft.com/office/drawing/2014/main" id="{00000000-0008-0000-0F00-00009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7" name="AutoShape 1">
          <a:extLst>
            <a:ext uri="{FF2B5EF4-FFF2-40B4-BE49-F238E27FC236}">
              <a16:creationId xmlns:a16="http://schemas.microsoft.com/office/drawing/2014/main" id="{00000000-0008-0000-0F00-000091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8" name="AutoShape 1">
          <a:extLst>
            <a:ext uri="{FF2B5EF4-FFF2-40B4-BE49-F238E27FC236}">
              <a16:creationId xmlns:a16="http://schemas.microsoft.com/office/drawing/2014/main" id="{00000000-0008-0000-0F00-000092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19" name="AutoShape 1">
          <a:extLst>
            <a:ext uri="{FF2B5EF4-FFF2-40B4-BE49-F238E27FC236}">
              <a16:creationId xmlns:a16="http://schemas.microsoft.com/office/drawing/2014/main" id="{00000000-0008-0000-0F00-000093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0" name="AutoShape 1">
          <a:extLst>
            <a:ext uri="{FF2B5EF4-FFF2-40B4-BE49-F238E27FC236}">
              <a16:creationId xmlns:a16="http://schemas.microsoft.com/office/drawing/2014/main" id="{00000000-0008-0000-0F00-000094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1" name="AutoShape 1">
          <a:extLst>
            <a:ext uri="{FF2B5EF4-FFF2-40B4-BE49-F238E27FC236}">
              <a16:creationId xmlns:a16="http://schemas.microsoft.com/office/drawing/2014/main" id="{00000000-0008-0000-0F00-000095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2" name="AutoShape 1">
          <a:extLst>
            <a:ext uri="{FF2B5EF4-FFF2-40B4-BE49-F238E27FC236}">
              <a16:creationId xmlns:a16="http://schemas.microsoft.com/office/drawing/2014/main" id="{00000000-0008-0000-0F00-000096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3" name="AutoShape 1">
          <a:extLst>
            <a:ext uri="{FF2B5EF4-FFF2-40B4-BE49-F238E27FC236}">
              <a16:creationId xmlns:a16="http://schemas.microsoft.com/office/drawing/2014/main" id="{00000000-0008-0000-0F00-000097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4" name="AutoShape 1">
          <a:extLst>
            <a:ext uri="{FF2B5EF4-FFF2-40B4-BE49-F238E27FC236}">
              <a16:creationId xmlns:a16="http://schemas.microsoft.com/office/drawing/2014/main" id="{00000000-0008-0000-0F00-000098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5" name="AutoShape 1">
          <a:extLst>
            <a:ext uri="{FF2B5EF4-FFF2-40B4-BE49-F238E27FC236}">
              <a16:creationId xmlns:a16="http://schemas.microsoft.com/office/drawing/2014/main" id="{00000000-0008-0000-0F00-000099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6" name="AutoShape 1">
          <a:extLst>
            <a:ext uri="{FF2B5EF4-FFF2-40B4-BE49-F238E27FC236}">
              <a16:creationId xmlns:a16="http://schemas.microsoft.com/office/drawing/2014/main" id="{00000000-0008-0000-0F00-00009A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7" name="AutoShape 1">
          <a:extLst>
            <a:ext uri="{FF2B5EF4-FFF2-40B4-BE49-F238E27FC236}">
              <a16:creationId xmlns:a16="http://schemas.microsoft.com/office/drawing/2014/main" id="{00000000-0008-0000-0F00-00009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8" name="AutoShape 1">
          <a:extLst>
            <a:ext uri="{FF2B5EF4-FFF2-40B4-BE49-F238E27FC236}">
              <a16:creationId xmlns:a16="http://schemas.microsoft.com/office/drawing/2014/main" id="{00000000-0008-0000-0F00-00009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29" name="AutoShape 1">
          <a:extLst>
            <a:ext uri="{FF2B5EF4-FFF2-40B4-BE49-F238E27FC236}">
              <a16:creationId xmlns:a16="http://schemas.microsoft.com/office/drawing/2014/main" id="{00000000-0008-0000-0F00-00009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0" name="AutoShape 1">
          <a:extLst>
            <a:ext uri="{FF2B5EF4-FFF2-40B4-BE49-F238E27FC236}">
              <a16:creationId xmlns:a16="http://schemas.microsoft.com/office/drawing/2014/main" id="{00000000-0008-0000-0F00-00009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1" name="AutoShape 1">
          <a:extLst>
            <a:ext uri="{FF2B5EF4-FFF2-40B4-BE49-F238E27FC236}">
              <a16:creationId xmlns:a16="http://schemas.microsoft.com/office/drawing/2014/main" id="{00000000-0008-0000-0F00-00009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2" name="AutoShape 1">
          <a:extLst>
            <a:ext uri="{FF2B5EF4-FFF2-40B4-BE49-F238E27FC236}">
              <a16:creationId xmlns:a16="http://schemas.microsoft.com/office/drawing/2014/main" id="{00000000-0008-0000-0F00-0000A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3" name="AutoShape 1">
          <a:extLst>
            <a:ext uri="{FF2B5EF4-FFF2-40B4-BE49-F238E27FC236}">
              <a16:creationId xmlns:a16="http://schemas.microsoft.com/office/drawing/2014/main" id="{00000000-0008-0000-0F00-0000A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4" name="AutoShape 1">
          <a:extLst>
            <a:ext uri="{FF2B5EF4-FFF2-40B4-BE49-F238E27FC236}">
              <a16:creationId xmlns:a16="http://schemas.microsoft.com/office/drawing/2014/main" id="{00000000-0008-0000-0F00-0000A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5" name="AutoShape 1">
          <a:extLst>
            <a:ext uri="{FF2B5EF4-FFF2-40B4-BE49-F238E27FC236}">
              <a16:creationId xmlns:a16="http://schemas.microsoft.com/office/drawing/2014/main" id="{00000000-0008-0000-0F00-0000A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6" name="AutoShape 1">
          <a:extLst>
            <a:ext uri="{FF2B5EF4-FFF2-40B4-BE49-F238E27FC236}">
              <a16:creationId xmlns:a16="http://schemas.microsoft.com/office/drawing/2014/main" id="{00000000-0008-0000-0F00-0000A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7" name="AutoShape 1">
          <a:extLst>
            <a:ext uri="{FF2B5EF4-FFF2-40B4-BE49-F238E27FC236}">
              <a16:creationId xmlns:a16="http://schemas.microsoft.com/office/drawing/2014/main" id="{00000000-0008-0000-0F00-0000A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8" name="AutoShape 1">
          <a:extLst>
            <a:ext uri="{FF2B5EF4-FFF2-40B4-BE49-F238E27FC236}">
              <a16:creationId xmlns:a16="http://schemas.microsoft.com/office/drawing/2014/main" id="{00000000-0008-0000-0F00-0000A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39" name="AutoShape 1">
          <a:extLst>
            <a:ext uri="{FF2B5EF4-FFF2-40B4-BE49-F238E27FC236}">
              <a16:creationId xmlns:a16="http://schemas.microsoft.com/office/drawing/2014/main" id="{00000000-0008-0000-0F00-0000A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0" name="AutoShape 1">
          <a:extLst>
            <a:ext uri="{FF2B5EF4-FFF2-40B4-BE49-F238E27FC236}">
              <a16:creationId xmlns:a16="http://schemas.microsoft.com/office/drawing/2014/main" id="{00000000-0008-0000-0F00-0000A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1" name="AutoShape 1">
          <a:extLst>
            <a:ext uri="{FF2B5EF4-FFF2-40B4-BE49-F238E27FC236}">
              <a16:creationId xmlns:a16="http://schemas.microsoft.com/office/drawing/2014/main" id="{00000000-0008-0000-0F00-0000A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2" name="AutoShape 1">
          <a:extLst>
            <a:ext uri="{FF2B5EF4-FFF2-40B4-BE49-F238E27FC236}">
              <a16:creationId xmlns:a16="http://schemas.microsoft.com/office/drawing/2014/main" id="{00000000-0008-0000-0F00-0000A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3" name="AutoShape 1">
          <a:extLst>
            <a:ext uri="{FF2B5EF4-FFF2-40B4-BE49-F238E27FC236}">
              <a16:creationId xmlns:a16="http://schemas.microsoft.com/office/drawing/2014/main" id="{00000000-0008-0000-0F00-0000A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4" name="AutoShape 1">
          <a:extLst>
            <a:ext uri="{FF2B5EF4-FFF2-40B4-BE49-F238E27FC236}">
              <a16:creationId xmlns:a16="http://schemas.microsoft.com/office/drawing/2014/main" id="{00000000-0008-0000-0F00-0000A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5" name="AutoShape 1">
          <a:extLst>
            <a:ext uri="{FF2B5EF4-FFF2-40B4-BE49-F238E27FC236}">
              <a16:creationId xmlns:a16="http://schemas.microsoft.com/office/drawing/2014/main" id="{00000000-0008-0000-0F00-0000A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6" name="AutoShape 1">
          <a:extLst>
            <a:ext uri="{FF2B5EF4-FFF2-40B4-BE49-F238E27FC236}">
              <a16:creationId xmlns:a16="http://schemas.microsoft.com/office/drawing/2014/main" id="{00000000-0008-0000-0F00-0000A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7" name="AutoShape 1">
          <a:extLst>
            <a:ext uri="{FF2B5EF4-FFF2-40B4-BE49-F238E27FC236}">
              <a16:creationId xmlns:a16="http://schemas.microsoft.com/office/drawing/2014/main" id="{00000000-0008-0000-0F00-0000A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8" name="AutoShape 1">
          <a:extLst>
            <a:ext uri="{FF2B5EF4-FFF2-40B4-BE49-F238E27FC236}">
              <a16:creationId xmlns:a16="http://schemas.microsoft.com/office/drawing/2014/main" id="{00000000-0008-0000-0F00-0000B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49" name="AutoShape 1">
          <a:extLst>
            <a:ext uri="{FF2B5EF4-FFF2-40B4-BE49-F238E27FC236}">
              <a16:creationId xmlns:a16="http://schemas.microsoft.com/office/drawing/2014/main" id="{00000000-0008-0000-0F00-0000B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0" name="AutoShape 1">
          <a:extLst>
            <a:ext uri="{FF2B5EF4-FFF2-40B4-BE49-F238E27FC236}">
              <a16:creationId xmlns:a16="http://schemas.microsoft.com/office/drawing/2014/main" id="{00000000-0008-0000-0F00-0000B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1" name="AutoShape 1">
          <a:extLst>
            <a:ext uri="{FF2B5EF4-FFF2-40B4-BE49-F238E27FC236}">
              <a16:creationId xmlns:a16="http://schemas.microsoft.com/office/drawing/2014/main" id="{00000000-0008-0000-0F00-0000B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2" name="AutoShape 1">
          <a:extLst>
            <a:ext uri="{FF2B5EF4-FFF2-40B4-BE49-F238E27FC236}">
              <a16:creationId xmlns:a16="http://schemas.microsoft.com/office/drawing/2014/main" id="{00000000-0008-0000-0F00-0000B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3" name="AutoShape 1">
          <a:extLst>
            <a:ext uri="{FF2B5EF4-FFF2-40B4-BE49-F238E27FC236}">
              <a16:creationId xmlns:a16="http://schemas.microsoft.com/office/drawing/2014/main" id="{00000000-0008-0000-0F00-0000B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4" name="AutoShape 1">
          <a:extLst>
            <a:ext uri="{FF2B5EF4-FFF2-40B4-BE49-F238E27FC236}">
              <a16:creationId xmlns:a16="http://schemas.microsoft.com/office/drawing/2014/main" id="{00000000-0008-0000-0F00-0000B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5" name="AutoShape 1">
          <a:extLst>
            <a:ext uri="{FF2B5EF4-FFF2-40B4-BE49-F238E27FC236}">
              <a16:creationId xmlns:a16="http://schemas.microsoft.com/office/drawing/2014/main" id="{00000000-0008-0000-0F00-0000B7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6" name="AutoShape 1">
          <a:extLst>
            <a:ext uri="{FF2B5EF4-FFF2-40B4-BE49-F238E27FC236}">
              <a16:creationId xmlns:a16="http://schemas.microsoft.com/office/drawing/2014/main" id="{00000000-0008-0000-0F00-0000B8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7" name="AutoShape 1">
          <a:extLst>
            <a:ext uri="{FF2B5EF4-FFF2-40B4-BE49-F238E27FC236}">
              <a16:creationId xmlns:a16="http://schemas.microsoft.com/office/drawing/2014/main" id="{00000000-0008-0000-0F00-0000B9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8" name="AutoShape 1">
          <a:extLst>
            <a:ext uri="{FF2B5EF4-FFF2-40B4-BE49-F238E27FC236}">
              <a16:creationId xmlns:a16="http://schemas.microsoft.com/office/drawing/2014/main" id="{00000000-0008-0000-0F00-0000BA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59" name="AutoShape 1">
          <a:extLst>
            <a:ext uri="{FF2B5EF4-FFF2-40B4-BE49-F238E27FC236}">
              <a16:creationId xmlns:a16="http://schemas.microsoft.com/office/drawing/2014/main" id="{00000000-0008-0000-0F00-0000BB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0" name="AutoShape 1">
          <a:extLst>
            <a:ext uri="{FF2B5EF4-FFF2-40B4-BE49-F238E27FC236}">
              <a16:creationId xmlns:a16="http://schemas.microsoft.com/office/drawing/2014/main" id="{00000000-0008-0000-0F00-0000BC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1" name="AutoShape 1">
          <a:extLst>
            <a:ext uri="{FF2B5EF4-FFF2-40B4-BE49-F238E27FC236}">
              <a16:creationId xmlns:a16="http://schemas.microsoft.com/office/drawing/2014/main" id="{00000000-0008-0000-0F00-0000BD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2" name="AutoShape 1">
          <a:extLst>
            <a:ext uri="{FF2B5EF4-FFF2-40B4-BE49-F238E27FC236}">
              <a16:creationId xmlns:a16="http://schemas.microsoft.com/office/drawing/2014/main" id="{00000000-0008-0000-0F00-0000BE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3" name="AutoShape 1">
          <a:extLst>
            <a:ext uri="{FF2B5EF4-FFF2-40B4-BE49-F238E27FC236}">
              <a16:creationId xmlns:a16="http://schemas.microsoft.com/office/drawing/2014/main" id="{00000000-0008-0000-0F00-0000BF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4" name="AutoShape 1">
          <a:extLst>
            <a:ext uri="{FF2B5EF4-FFF2-40B4-BE49-F238E27FC236}">
              <a16:creationId xmlns:a16="http://schemas.microsoft.com/office/drawing/2014/main" id="{00000000-0008-0000-0F00-0000C0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5" name="AutoShape 1">
          <a:extLst>
            <a:ext uri="{FF2B5EF4-FFF2-40B4-BE49-F238E27FC236}">
              <a16:creationId xmlns:a16="http://schemas.microsoft.com/office/drawing/2014/main" id="{00000000-0008-0000-0F00-0000C1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6" name="AutoShape 1">
          <a:extLst>
            <a:ext uri="{FF2B5EF4-FFF2-40B4-BE49-F238E27FC236}">
              <a16:creationId xmlns:a16="http://schemas.microsoft.com/office/drawing/2014/main" id="{00000000-0008-0000-0F00-0000C2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7" name="AutoShape 1">
          <a:extLst>
            <a:ext uri="{FF2B5EF4-FFF2-40B4-BE49-F238E27FC236}">
              <a16:creationId xmlns:a16="http://schemas.microsoft.com/office/drawing/2014/main" id="{00000000-0008-0000-0F00-0000C3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8" name="AutoShape 1">
          <a:extLst>
            <a:ext uri="{FF2B5EF4-FFF2-40B4-BE49-F238E27FC236}">
              <a16:creationId xmlns:a16="http://schemas.microsoft.com/office/drawing/2014/main" id="{00000000-0008-0000-0F00-0000C4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69" name="AutoShape 1">
          <a:extLst>
            <a:ext uri="{FF2B5EF4-FFF2-40B4-BE49-F238E27FC236}">
              <a16:creationId xmlns:a16="http://schemas.microsoft.com/office/drawing/2014/main" id="{00000000-0008-0000-0F00-0000C5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0" name="AutoShape 1">
          <a:extLst>
            <a:ext uri="{FF2B5EF4-FFF2-40B4-BE49-F238E27FC236}">
              <a16:creationId xmlns:a16="http://schemas.microsoft.com/office/drawing/2014/main" id="{00000000-0008-0000-0F00-0000C6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1" name="AutoShape 1">
          <a:extLst>
            <a:ext uri="{FF2B5EF4-FFF2-40B4-BE49-F238E27FC236}">
              <a16:creationId xmlns:a16="http://schemas.microsoft.com/office/drawing/2014/main" id="{00000000-0008-0000-0F00-0000C7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2" name="AutoShape 1">
          <a:extLst>
            <a:ext uri="{FF2B5EF4-FFF2-40B4-BE49-F238E27FC236}">
              <a16:creationId xmlns:a16="http://schemas.microsoft.com/office/drawing/2014/main" id="{00000000-0008-0000-0F00-0000C8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3" name="AutoShape 1">
          <a:extLst>
            <a:ext uri="{FF2B5EF4-FFF2-40B4-BE49-F238E27FC236}">
              <a16:creationId xmlns:a16="http://schemas.microsoft.com/office/drawing/2014/main" id="{00000000-0008-0000-0F00-0000C9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4" name="AutoShape 1">
          <a:extLst>
            <a:ext uri="{FF2B5EF4-FFF2-40B4-BE49-F238E27FC236}">
              <a16:creationId xmlns:a16="http://schemas.microsoft.com/office/drawing/2014/main" id="{00000000-0008-0000-0F00-0000CA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5" name="AutoShape 1">
          <a:extLst>
            <a:ext uri="{FF2B5EF4-FFF2-40B4-BE49-F238E27FC236}">
              <a16:creationId xmlns:a16="http://schemas.microsoft.com/office/drawing/2014/main" id="{00000000-0008-0000-0F00-0000CB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6" name="AutoShape 1">
          <a:extLst>
            <a:ext uri="{FF2B5EF4-FFF2-40B4-BE49-F238E27FC236}">
              <a16:creationId xmlns:a16="http://schemas.microsoft.com/office/drawing/2014/main" id="{00000000-0008-0000-0F00-0000CC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7" name="AutoShape 1">
          <a:extLst>
            <a:ext uri="{FF2B5EF4-FFF2-40B4-BE49-F238E27FC236}">
              <a16:creationId xmlns:a16="http://schemas.microsoft.com/office/drawing/2014/main" id="{00000000-0008-0000-0F00-0000CD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8" name="AutoShape 1">
          <a:extLst>
            <a:ext uri="{FF2B5EF4-FFF2-40B4-BE49-F238E27FC236}">
              <a16:creationId xmlns:a16="http://schemas.microsoft.com/office/drawing/2014/main" id="{00000000-0008-0000-0F00-0000CE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79" name="AutoShape 1">
          <a:extLst>
            <a:ext uri="{FF2B5EF4-FFF2-40B4-BE49-F238E27FC236}">
              <a16:creationId xmlns:a16="http://schemas.microsoft.com/office/drawing/2014/main" id="{00000000-0008-0000-0F00-0000CF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0" name="AutoShape 1">
          <a:extLst>
            <a:ext uri="{FF2B5EF4-FFF2-40B4-BE49-F238E27FC236}">
              <a16:creationId xmlns:a16="http://schemas.microsoft.com/office/drawing/2014/main" id="{00000000-0008-0000-0F00-0000D0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1" name="AutoShape 1">
          <a:extLst>
            <a:ext uri="{FF2B5EF4-FFF2-40B4-BE49-F238E27FC236}">
              <a16:creationId xmlns:a16="http://schemas.microsoft.com/office/drawing/2014/main" id="{00000000-0008-0000-0F00-0000D1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2" name="AutoShape 1">
          <a:extLst>
            <a:ext uri="{FF2B5EF4-FFF2-40B4-BE49-F238E27FC236}">
              <a16:creationId xmlns:a16="http://schemas.microsoft.com/office/drawing/2014/main" id="{00000000-0008-0000-0F00-0000D2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3" name="AutoShape 1">
          <a:extLst>
            <a:ext uri="{FF2B5EF4-FFF2-40B4-BE49-F238E27FC236}">
              <a16:creationId xmlns:a16="http://schemas.microsoft.com/office/drawing/2014/main" id="{00000000-0008-0000-0F00-0000D3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4" name="AutoShape 1">
          <a:extLst>
            <a:ext uri="{FF2B5EF4-FFF2-40B4-BE49-F238E27FC236}">
              <a16:creationId xmlns:a16="http://schemas.microsoft.com/office/drawing/2014/main" id="{00000000-0008-0000-0F00-0000D4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5" name="AutoShape 1">
          <a:extLst>
            <a:ext uri="{FF2B5EF4-FFF2-40B4-BE49-F238E27FC236}">
              <a16:creationId xmlns:a16="http://schemas.microsoft.com/office/drawing/2014/main" id="{00000000-0008-0000-0F00-0000D5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6" name="AutoShape 1">
          <a:extLst>
            <a:ext uri="{FF2B5EF4-FFF2-40B4-BE49-F238E27FC236}">
              <a16:creationId xmlns:a16="http://schemas.microsoft.com/office/drawing/2014/main" id="{00000000-0008-0000-0F00-0000D6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7" name="AutoShape 1">
          <a:extLst>
            <a:ext uri="{FF2B5EF4-FFF2-40B4-BE49-F238E27FC236}">
              <a16:creationId xmlns:a16="http://schemas.microsoft.com/office/drawing/2014/main" id="{00000000-0008-0000-0F00-0000D7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8" name="AutoShape 1">
          <a:extLst>
            <a:ext uri="{FF2B5EF4-FFF2-40B4-BE49-F238E27FC236}">
              <a16:creationId xmlns:a16="http://schemas.microsoft.com/office/drawing/2014/main" id="{00000000-0008-0000-0F00-0000D8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89" name="AutoShape 1">
          <a:extLst>
            <a:ext uri="{FF2B5EF4-FFF2-40B4-BE49-F238E27FC236}">
              <a16:creationId xmlns:a16="http://schemas.microsoft.com/office/drawing/2014/main" id="{00000000-0008-0000-0F00-0000D9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0" name="AutoShape 1">
          <a:extLst>
            <a:ext uri="{FF2B5EF4-FFF2-40B4-BE49-F238E27FC236}">
              <a16:creationId xmlns:a16="http://schemas.microsoft.com/office/drawing/2014/main" id="{00000000-0008-0000-0F00-0000DA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1" name="AutoShape 1">
          <a:extLst>
            <a:ext uri="{FF2B5EF4-FFF2-40B4-BE49-F238E27FC236}">
              <a16:creationId xmlns:a16="http://schemas.microsoft.com/office/drawing/2014/main" id="{00000000-0008-0000-0F00-0000DB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2" name="AutoShape 1">
          <a:extLst>
            <a:ext uri="{FF2B5EF4-FFF2-40B4-BE49-F238E27FC236}">
              <a16:creationId xmlns:a16="http://schemas.microsoft.com/office/drawing/2014/main" id="{00000000-0008-0000-0F00-0000DC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3" name="AutoShape 1">
          <a:extLst>
            <a:ext uri="{FF2B5EF4-FFF2-40B4-BE49-F238E27FC236}">
              <a16:creationId xmlns:a16="http://schemas.microsoft.com/office/drawing/2014/main" id="{00000000-0008-0000-0F00-0000DD0C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533400</xdr:colOff>
      <xdr:row>28</xdr:row>
      <xdr:rowOff>0</xdr:rowOff>
    </xdr:from>
    <xdr:ext cx="304800" cy="304800"/>
    <xdr:sp macro="" textlink="">
      <xdr:nvSpPr>
        <xdr:cNvPr id="3294" name="AutoShape 1">
          <a:extLst>
            <a:ext uri="{FF2B5EF4-FFF2-40B4-BE49-F238E27FC236}">
              <a16:creationId xmlns:a16="http://schemas.microsoft.com/office/drawing/2014/main" id="{00000000-0008-0000-0F00-0000DE0C0000}"/>
            </a:ext>
          </a:extLst>
        </xdr:cNvPr>
        <xdr:cNvSpPr>
          <a:spLocks noChangeAspect="1" noChangeArrowheads="1"/>
        </xdr:cNvSpPr>
      </xdr:nvSpPr>
      <xdr:spPr bwMode="auto">
        <a:xfrm>
          <a:off x="3048000" y="745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5" name="AutoShape 1">
          <a:extLst>
            <a:ext uri="{FF2B5EF4-FFF2-40B4-BE49-F238E27FC236}">
              <a16:creationId xmlns:a16="http://schemas.microsoft.com/office/drawing/2014/main" id="{00000000-0008-0000-0F00-0000D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6" name="AutoShape 1">
          <a:extLst>
            <a:ext uri="{FF2B5EF4-FFF2-40B4-BE49-F238E27FC236}">
              <a16:creationId xmlns:a16="http://schemas.microsoft.com/office/drawing/2014/main" id="{00000000-0008-0000-0F00-0000E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7" name="AutoShape 1">
          <a:extLst>
            <a:ext uri="{FF2B5EF4-FFF2-40B4-BE49-F238E27FC236}">
              <a16:creationId xmlns:a16="http://schemas.microsoft.com/office/drawing/2014/main" id="{00000000-0008-0000-0F00-0000E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8" name="AutoShape 1">
          <a:extLst>
            <a:ext uri="{FF2B5EF4-FFF2-40B4-BE49-F238E27FC236}">
              <a16:creationId xmlns:a16="http://schemas.microsoft.com/office/drawing/2014/main" id="{00000000-0008-0000-0F00-0000E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299" name="AutoShape 1">
          <a:extLst>
            <a:ext uri="{FF2B5EF4-FFF2-40B4-BE49-F238E27FC236}">
              <a16:creationId xmlns:a16="http://schemas.microsoft.com/office/drawing/2014/main" id="{00000000-0008-0000-0F00-0000E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0" name="AutoShape 1">
          <a:extLst>
            <a:ext uri="{FF2B5EF4-FFF2-40B4-BE49-F238E27FC236}">
              <a16:creationId xmlns:a16="http://schemas.microsoft.com/office/drawing/2014/main" id="{00000000-0008-0000-0F00-0000E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1" name="AutoShape 1">
          <a:extLst>
            <a:ext uri="{FF2B5EF4-FFF2-40B4-BE49-F238E27FC236}">
              <a16:creationId xmlns:a16="http://schemas.microsoft.com/office/drawing/2014/main" id="{00000000-0008-0000-0F00-0000E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2" name="AutoShape 1">
          <a:extLst>
            <a:ext uri="{FF2B5EF4-FFF2-40B4-BE49-F238E27FC236}">
              <a16:creationId xmlns:a16="http://schemas.microsoft.com/office/drawing/2014/main" id="{00000000-0008-0000-0F00-0000E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3" name="AutoShape 1">
          <a:extLst>
            <a:ext uri="{FF2B5EF4-FFF2-40B4-BE49-F238E27FC236}">
              <a16:creationId xmlns:a16="http://schemas.microsoft.com/office/drawing/2014/main" id="{00000000-0008-0000-0F00-0000E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4" name="AutoShape 1">
          <a:extLst>
            <a:ext uri="{FF2B5EF4-FFF2-40B4-BE49-F238E27FC236}">
              <a16:creationId xmlns:a16="http://schemas.microsoft.com/office/drawing/2014/main" id="{00000000-0008-0000-0F00-0000E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5" name="AutoShape 1">
          <a:extLst>
            <a:ext uri="{FF2B5EF4-FFF2-40B4-BE49-F238E27FC236}">
              <a16:creationId xmlns:a16="http://schemas.microsoft.com/office/drawing/2014/main" id="{00000000-0008-0000-0F00-0000E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6" name="AutoShape 1">
          <a:extLst>
            <a:ext uri="{FF2B5EF4-FFF2-40B4-BE49-F238E27FC236}">
              <a16:creationId xmlns:a16="http://schemas.microsoft.com/office/drawing/2014/main" id="{00000000-0008-0000-0F00-0000E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7" name="AutoShape 1">
          <a:extLst>
            <a:ext uri="{FF2B5EF4-FFF2-40B4-BE49-F238E27FC236}">
              <a16:creationId xmlns:a16="http://schemas.microsoft.com/office/drawing/2014/main" id="{00000000-0008-0000-0F00-0000E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8" name="AutoShape 1">
          <a:extLst>
            <a:ext uri="{FF2B5EF4-FFF2-40B4-BE49-F238E27FC236}">
              <a16:creationId xmlns:a16="http://schemas.microsoft.com/office/drawing/2014/main" id="{00000000-0008-0000-0F00-0000E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09" name="AutoShape 1">
          <a:extLst>
            <a:ext uri="{FF2B5EF4-FFF2-40B4-BE49-F238E27FC236}">
              <a16:creationId xmlns:a16="http://schemas.microsoft.com/office/drawing/2014/main" id="{00000000-0008-0000-0F00-0000E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0" name="AutoShape 1">
          <a:extLst>
            <a:ext uri="{FF2B5EF4-FFF2-40B4-BE49-F238E27FC236}">
              <a16:creationId xmlns:a16="http://schemas.microsoft.com/office/drawing/2014/main" id="{00000000-0008-0000-0F00-0000E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1" name="AutoShape 1">
          <a:extLst>
            <a:ext uri="{FF2B5EF4-FFF2-40B4-BE49-F238E27FC236}">
              <a16:creationId xmlns:a16="http://schemas.microsoft.com/office/drawing/2014/main" id="{00000000-0008-0000-0F00-0000E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2" name="AutoShape 1">
          <a:extLst>
            <a:ext uri="{FF2B5EF4-FFF2-40B4-BE49-F238E27FC236}">
              <a16:creationId xmlns:a16="http://schemas.microsoft.com/office/drawing/2014/main" id="{00000000-0008-0000-0F00-0000F0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3" name="AutoShape 1">
          <a:extLst>
            <a:ext uri="{FF2B5EF4-FFF2-40B4-BE49-F238E27FC236}">
              <a16:creationId xmlns:a16="http://schemas.microsoft.com/office/drawing/2014/main" id="{00000000-0008-0000-0F00-0000F1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4" name="AutoShape 1">
          <a:extLst>
            <a:ext uri="{FF2B5EF4-FFF2-40B4-BE49-F238E27FC236}">
              <a16:creationId xmlns:a16="http://schemas.microsoft.com/office/drawing/2014/main" id="{00000000-0008-0000-0F00-0000F2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5" name="AutoShape 1">
          <a:extLst>
            <a:ext uri="{FF2B5EF4-FFF2-40B4-BE49-F238E27FC236}">
              <a16:creationId xmlns:a16="http://schemas.microsoft.com/office/drawing/2014/main" id="{00000000-0008-0000-0F00-0000F3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6" name="AutoShape 1">
          <a:extLst>
            <a:ext uri="{FF2B5EF4-FFF2-40B4-BE49-F238E27FC236}">
              <a16:creationId xmlns:a16="http://schemas.microsoft.com/office/drawing/2014/main" id="{00000000-0008-0000-0F00-0000F4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7" name="AutoShape 1">
          <a:extLst>
            <a:ext uri="{FF2B5EF4-FFF2-40B4-BE49-F238E27FC236}">
              <a16:creationId xmlns:a16="http://schemas.microsoft.com/office/drawing/2014/main" id="{00000000-0008-0000-0F00-0000F5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8" name="AutoShape 1">
          <a:extLst>
            <a:ext uri="{FF2B5EF4-FFF2-40B4-BE49-F238E27FC236}">
              <a16:creationId xmlns:a16="http://schemas.microsoft.com/office/drawing/2014/main" id="{00000000-0008-0000-0F00-0000F6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19" name="AutoShape 1">
          <a:extLst>
            <a:ext uri="{FF2B5EF4-FFF2-40B4-BE49-F238E27FC236}">
              <a16:creationId xmlns:a16="http://schemas.microsoft.com/office/drawing/2014/main" id="{00000000-0008-0000-0F00-0000F7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0" name="AutoShape 1">
          <a:extLst>
            <a:ext uri="{FF2B5EF4-FFF2-40B4-BE49-F238E27FC236}">
              <a16:creationId xmlns:a16="http://schemas.microsoft.com/office/drawing/2014/main" id="{00000000-0008-0000-0F00-0000F8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1" name="AutoShape 1">
          <a:extLst>
            <a:ext uri="{FF2B5EF4-FFF2-40B4-BE49-F238E27FC236}">
              <a16:creationId xmlns:a16="http://schemas.microsoft.com/office/drawing/2014/main" id="{00000000-0008-0000-0F00-0000F9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2" name="AutoShape 1">
          <a:extLst>
            <a:ext uri="{FF2B5EF4-FFF2-40B4-BE49-F238E27FC236}">
              <a16:creationId xmlns:a16="http://schemas.microsoft.com/office/drawing/2014/main" id="{00000000-0008-0000-0F00-0000FA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3" name="AutoShape 1">
          <a:extLst>
            <a:ext uri="{FF2B5EF4-FFF2-40B4-BE49-F238E27FC236}">
              <a16:creationId xmlns:a16="http://schemas.microsoft.com/office/drawing/2014/main" id="{00000000-0008-0000-0F00-0000FB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4" name="AutoShape 1">
          <a:extLst>
            <a:ext uri="{FF2B5EF4-FFF2-40B4-BE49-F238E27FC236}">
              <a16:creationId xmlns:a16="http://schemas.microsoft.com/office/drawing/2014/main" id="{00000000-0008-0000-0F00-0000FC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5" name="AutoShape 1">
          <a:extLst>
            <a:ext uri="{FF2B5EF4-FFF2-40B4-BE49-F238E27FC236}">
              <a16:creationId xmlns:a16="http://schemas.microsoft.com/office/drawing/2014/main" id="{00000000-0008-0000-0F00-0000FD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6" name="AutoShape 1">
          <a:extLst>
            <a:ext uri="{FF2B5EF4-FFF2-40B4-BE49-F238E27FC236}">
              <a16:creationId xmlns:a16="http://schemas.microsoft.com/office/drawing/2014/main" id="{00000000-0008-0000-0F00-0000FE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7" name="AutoShape 1">
          <a:extLst>
            <a:ext uri="{FF2B5EF4-FFF2-40B4-BE49-F238E27FC236}">
              <a16:creationId xmlns:a16="http://schemas.microsoft.com/office/drawing/2014/main" id="{00000000-0008-0000-0F00-0000FF0C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8" name="AutoShape 1">
          <a:extLst>
            <a:ext uri="{FF2B5EF4-FFF2-40B4-BE49-F238E27FC236}">
              <a16:creationId xmlns:a16="http://schemas.microsoft.com/office/drawing/2014/main" id="{00000000-0008-0000-0F00-00000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29" name="AutoShape 1">
          <a:extLst>
            <a:ext uri="{FF2B5EF4-FFF2-40B4-BE49-F238E27FC236}">
              <a16:creationId xmlns:a16="http://schemas.microsoft.com/office/drawing/2014/main" id="{00000000-0008-0000-0F00-00000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0" name="AutoShape 1">
          <a:extLst>
            <a:ext uri="{FF2B5EF4-FFF2-40B4-BE49-F238E27FC236}">
              <a16:creationId xmlns:a16="http://schemas.microsoft.com/office/drawing/2014/main" id="{00000000-0008-0000-0F00-00000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1" name="AutoShape 1">
          <a:extLst>
            <a:ext uri="{FF2B5EF4-FFF2-40B4-BE49-F238E27FC236}">
              <a16:creationId xmlns:a16="http://schemas.microsoft.com/office/drawing/2014/main" id="{00000000-0008-0000-0F00-00000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2" name="AutoShape 1">
          <a:extLst>
            <a:ext uri="{FF2B5EF4-FFF2-40B4-BE49-F238E27FC236}">
              <a16:creationId xmlns:a16="http://schemas.microsoft.com/office/drawing/2014/main" id="{00000000-0008-0000-0F00-00000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3" name="AutoShape 1">
          <a:extLst>
            <a:ext uri="{FF2B5EF4-FFF2-40B4-BE49-F238E27FC236}">
              <a16:creationId xmlns:a16="http://schemas.microsoft.com/office/drawing/2014/main" id="{00000000-0008-0000-0F00-00000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4" name="AutoShape 1">
          <a:extLst>
            <a:ext uri="{FF2B5EF4-FFF2-40B4-BE49-F238E27FC236}">
              <a16:creationId xmlns:a16="http://schemas.microsoft.com/office/drawing/2014/main" id="{00000000-0008-0000-0F00-00000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5" name="AutoShape 1">
          <a:extLst>
            <a:ext uri="{FF2B5EF4-FFF2-40B4-BE49-F238E27FC236}">
              <a16:creationId xmlns:a16="http://schemas.microsoft.com/office/drawing/2014/main" id="{00000000-0008-0000-0F00-00000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6" name="AutoShape 1">
          <a:extLst>
            <a:ext uri="{FF2B5EF4-FFF2-40B4-BE49-F238E27FC236}">
              <a16:creationId xmlns:a16="http://schemas.microsoft.com/office/drawing/2014/main" id="{00000000-0008-0000-0F00-00000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7" name="AutoShape 1">
          <a:extLst>
            <a:ext uri="{FF2B5EF4-FFF2-40B4-BE49-F238E27FC236}">
              <a16:creationId xmlns:a16="http://schemas.microsoft.com/office/drawing/2014/main" id="{00000000-0008-0000-0F00-00000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8" name="AutoShape 1">
          <a:extLst>
            <a:ext uri="{FF2B5EF4-FFF2-40B4-BE49-F238E27FC236}">
              <a16:creationId xmlns:a16="http://schemas.microsoft.com/office/drawing/2014/main" id="{00000000-0008-0000-0F00-00000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39" name="AutoShape 1">
          <a:extLst>
            <a:ext uri="{FF2B5EF4-FFF2-40B4-BE49-F238E27FC236}">
              <a16:creationId xmlns:a16="http://schemas.microsoft.com/office/drawing/2014/main" id="{00000000-0008-0000-0F00-00000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0" name="AutoShape 1">
          <a:extLst>
            <a:ext uri="{FF2B5EF4-FFF2-40B4-BE49-F238E27FC236}">
              <a16:creationId xmlns:a16="http://schemas.microsoft.com/office/drawing/2014/main" id="{00000000-0008-0000-0F00-00000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1" name="AutoShape 1">
          <a:extLst>
            <a:ext uri="{FF2B5EF4-FFF2-40B4-BE49-F238E27FC236}">
              <a16:creationId xmlns:a16="http://schemas.microsoft.com/office/drawing/2014/main" id="{00000000-0008-0000-0F00-00000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2" name="AutoShape 1">
          <a:extLst>
            <a:ext uri="{FF2B5EF4-FFF2-40B4-BE49-F238E27FC236}">
              <a16:creationId xmlns:a16="http://schemas.microsoft.com/office/drawing/2014/main" id="{00000000-0008-0000-0F00-00000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3" name="AutoShape 1">
          <a:extLst>
            <a:ext uri="{FF2B5EF4-FFF2-40B4-BE49-F238E27FC236}">
              <a16:creationId xmlns:a16="http://schemas.microsoft.com/office/drawing/2014/main" id="{00000000-0008-0000-0F00-00000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4" name="AutoShape 1">
          <a:extLst>
            <a:ext uri="{FF2B5EF4-FFF2-40B4-BE49-F238E27FC236}">
              <a16:creationId xmlns:a16="http://schemas.microsoft.com/office/drawing/2014/main" id="{00000000-0008-0000-0F00-00001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5" name="AutoShape 1">
          <a:extLst>
            <a:ext uri="{FF2B5EF4-FFF2-40B4-BE49-F238E27FC236}">
              <a16:creationId xmlns:a16="http://schemas.microsoft.com/office/drawing/2014/main" id="{00000000-0008-0000-0F00-00001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6" name="AutoShape 1">
          <a:extLst>
            <a:ext uri="{FF2B5EF4-FFF2-40B4-BE49-F238E27FC236}">
              <a16:creationId xmlns:a16="http://schemas.microsoft.com/office/drawing/2014/main" id="{00000000-0008-0000-0F00-00001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7" name="AutoShape 1">
          <a:extLst>
            <a:ext uri="{FF2B5EF4-FFF2-40B4-BE49-F238E27FC236}">
              <a16:creationId xmlns:a16="http://schemas.microsoft.com/office/drawing/2014/main" id="{00000000-0008-0000-0F00-00001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8" name="AutoShape 1">
          <a:extLst>
            <a:ext uri="{FF2B5EF4-FFF2-40B4-BE49-F238E27FC236}">
              <a16:creationId xmlns:a16="http://schemas.microsoft.com/office/drawing/2014/main" id="{00000000-0008-0000-0F00-00001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49" name="AutoShape 1">
          <a:extLst>
            <a:ext uri="{FF2B5EF4-FFF2-40B4-BE49-F238E27FC236}">
              <a16:creationId xmlns:a16="http://schemas.microsoft.com/office/drawing/2014/main" id="{00000000-0008-0000-0F00-00001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0" name="AutoShape 1">
          <a:extLst>
            <a:ext uri="{FF2B5EF4-FFF2-40B4-BE49-F238E27FC236}">
              <a16:creationId xmlns:a16="http://schemas.microsoft.com/office/drawing/2014/main" id="{00000000-0008-0000-0F00-00001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1" name="AutoShape 1">
          <a:extLst>
            <a:ext uri="{FF2B5EF4-FFF2-40B4-BE49-F238E27FC236}">
              <a16:creationId xmlns:a16="http://schemas.microsoft.com/office/drawing/2014/main" id="{00000000-0008-0000-0F00-00001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2" name="AutoShape 1">
          <a:extLst>
            <a:ext uri="{FF2B5EF4-FFF2-40B4-BE49-F238E27FC236}">
              <a16:creationId xmlns:a16="http://schemas.microsoft.com/office/drawing/2014/main" id="{00000000-0008-0000-0F00-00001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3" name="AutoShape 1">
          <a:extLst>
            <a:ext uri="{FF2B5EF4-FFF2-40B4-BE49-F238E27FC236}">
              <a16:creationId xmlns:a16="http://schemas.microsoft.com/office/drawing/2014/main" id="{00000000-0008-0000-0F00-00001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4" name="AutoShape 1">
          <a:extLst>
            <a:ext uri="{FF2B5EF4-FFF2-40B4-BE49-F238E27FC236}">
              <a16:creationId xmlns:a16="http://schemas.microsoft.com/office/drawing/2014/main" id="{00000000-0008-0000-0F00-00001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5" name="AutoShape 1">
          <a:extLst>
            <a:ext uri="{FF2B5EF4-FFF2-40B4-BE49-F238E27FC236}">
              <a16:creationId xmlns:a16="http://schemas.microsoft.com/office/drawing/2014/main" id="{00000000-0008-0000-0F00-00001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6" name="AutoShape 1">
          <a:extLst>
            <a:ext uri="{FF2B5EF4-FFF2-40B4-BE49-F238E27FC236}">
              <a16:creationId xmlns:a16="http://schemas.microsoft.com/office/drawing/2014/main" id="{00000000-0008-0000-0F00-00001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7" name="AutoShape 1">
          <a:extLst>
            <a:ext uri="{FF2B5EF4-FFF2-40B4-BE49-F238E27FC236}">
              <a16:creationId xmlns:a16="http://schemas.microsoft.com/office/drawing/2014/main" id="{00000000-0008-0000-0F00-00001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8" name="AutoShape 1">
          <a:extLst>
            <a:ext uri="{FF2B5EF4-FFF2-40B4-BE49-F238E27FC236}">
              <a16:creationId xmlns:a16="http://schemas.microsoft.com/office/drawing/2014/main" id="{00000000-0008-0000-0F00-00001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59" name="AutoShape 1">
          <a:extLst>
            <a:ext uri="{FF2B5EF4-FFF2-40B4-BE49-F238E27FC236}">
              <a16:creationId xmlns:a16="http://schemas.microsoft.com/office/drawing/2014/main" id="{00000000-0008-0000-0F00-00001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0" name="AutoShape 1">
          <a:extLst>
            <a:ext uri="{FF2B5EF4-FFF2-40B4-BE49-F238E27FC236}">
              <a16:creationId xmlns:a16="http://schemas.microsoft.com/office/drawing/2014/main" id="{00000000-0008-0000-0F00-00002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1" name="AutoShape 1">
          <a:extLst>
            <a:ext uri="{FF2B5EF4-FFF2-40B4-BE49-F238E27FC236}">
              <a16:creationId xmlns:a16="http://schemas.microsoft.com/office/drawing/2014/main" id="{00000000-0008-0000-0F00-00002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2" name="AutoShape 1">
          <a:extLst>
            <a:ext uri="{FF2B5EF4-FFF2-40B4-BE49-F238E27FC236}">
              <a16:creationId xmlns:a16="http://schemas.microsoft.com/office/drawing/2014/main" id="{00000000-0008-0000-0F00-00002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3" name="AutoShape 1">
          <a:extLst>
            <a:ext uri="{FF2B5EF4-FFF2-40B4-BE49-F238E27FC236}">
              <a16:creationId xmlns:a16="http://schemas.microsoft.com/office/drawing/2014/main" id="{00000000-0008-0000-0F00-00002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4" name="AutoShape 1">
          <a:extLst>
            <a:ext uri="{FF2B5EF4-FFF2-40B4-BE49-F238E27FC236}">
              <a16:creationId xmlns:a16="http://schemas.microsoft.com/office/drawing/2014/main" id="{00000000-0008-0000-0F00-00002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5" name="AutoShape 1">
          <a:extLst>
            <a:ext uri="{FF2B5EF4-FFF2-40B4-BE49-F238E27FC236}">
              <a16:creationId xmlns:a16="http://schemas.microsoft.com/office/drawing/2014/main" id="{00000000-0008-0000-0F00-00002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6" name="AutoShape 1">
          <a:extLst>
            <a:ext uri="{FF2B5EF4-FFF2-40B4-BE49-F238E27FC236}">
              <a16:creationId xmlns:a16="http://schemas.microsoft.com/office/drawing/2014/main" id="{00000000-0008-0000-0F00-00002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7" name="AutoShape 1">
          <a:extLst>
            <a:ext uri="{FF2B5EF4-FFF2-40B4-BE49-F238E27FC236}">
              <a16:creationId xmlns:a16="http://schemas.microsoft.com/office/drawing/2014/main" id="{00000000-0008-0000-0F00-00002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8" name="AutoShape 1">
          <a:extLst>
            <a:ext uri="{FF2B5EF4-FFF2-40B4-BE49-F238E27FC236}">
              <a16:creationId xmlns:a16="http://schemas.microsoft.com/office/drawing/2014/main" id="{00000000-0008-0000-0F00-00002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69" name="AutoShape 1">
          <a:extLst>
            <a:ext uri="{FF2B5EF4-FFF2-40B4-BE49-F238E27FC236}">
              <a16:creationId xmlns:a16="http://schemas.microsoft.com/office/drawing/2014/main" id="{00000000-0008-0000-0F00-00002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0" name="AutoShape 1">
          <a:extLst>
            <a:ext uri="{FF2B5EF4-FFF2-40B4-BE49-F238E27FC236}">
              <a16:creationId xmlns:a16="http://schemas.microsoft.com/office/drawing/2014/main" id="{00000000-0008-0000-0F00-00002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1" name="AutoShape 1">
          <a:extLst>
            <a:ext uri="{FF2B5EF4-FFF2-40B4-BE49-F238E27FC236}">
              <a16:creationId xmlns:a16="http://schemas.microsoft.com/office/drawing/2014/main" id="{00000000-0008-0000-0F00-00002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2" name="AutoShape 1">
          <a:extLst>
            <a:ext uri="{FF2B5EF4-FFF2-40B4-BE49-F238E27FC236}">
              <a16:creationId xmlns:a16="http://schemas.microsoft.com/office/drawing/2014/main" id="{00000000-0008-0000-0F00-00002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3" name="AutoShape 1">
          <a:extLst>
            <a:ext uri="{FF2B5EF4-FFF2-40B4-BE49-F238E27FC236}">
              <a16:creationId xmlns:a16="http://schemas.microsoft.com/office/drawing/2014/main" id="{00000000-0008-0000-0F00-00002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4" name="AutoShape 1">
          <a:extLst>
            <a:ext uri="{FF2B5EF4-FFF2-40B4-BE49-F238E27FC236}">
              <a16:creationId xmlns:a16="http://schemas.microsoft.com/office/drawing/2014/main" id="{00000000-0008-0000-0F00-00002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5" name="AutoShape 1">
          <a:extLst>
            <a:ext uri="{FF2B5EF4-FFF2-40B4-BE49-F238E27FC236}">
              <a16:creationId xmlns:a16="http://schemas.microsoft.com/office/drawing/2014/main" id="{00000000-0008-0000-0F00-00002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6" name="AutoShape 1">
          <a:extLst>
            <a:ext uri="{FF2B5EF4-FFF2-40B4-BE49-F238E27FC236}">
              <a16:creationId xmlns:a16="http://schemas.microsoft.com/office/drawing/2014/main" id="{00000000-0008-0000-0F00-00003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7" name="AutoShape 1">
          <a:extLst>
            <a:ext uri="{FF2B5EF4-FFF2-40B4-BE49-F238E27FC236}">
              <a16:creationId xmlns:a16="http://schemas.microsoft.com/office/drawing/2014/main" id="{00000000-0008-0000-0F00-00003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8" name="AutoShape 1">
          <a:extLst>
            <a:ext uri="{FF2B5EF4-FFF2-40B4-BE49-F238E27FC236}">
              <a16:creationId xmlns:a16="http://schemas.microsoft.com/office/drawing/2014/main" id="{00000000-0008-0000-0F00-00003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79" name="AutoShape 1">
          <a:extLst>
            <a:ext uri="{FF2B5EF4-FFF2-40B4-BE49-F238E27FC236}">
              <a16:creationId xmlns:a16="http://schemas.microsoft.com/office/drawing/2014/main" id="{00000000-0008-0000-0F00-00003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0" name="AutoShape 1">
          <a:extLst>
            <a:ext uri="{FF2B5EF4-FFF2-40B4-BE49-F238E27FC236}">
              <a16:creationId xmlns:a16="http://schemas.microsoft.com/office/drawing/2014/main" id="{00000000-0008-0000-0F00-00003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1" name="AutoShape 1">
          <a:extLst>
            <a:ext uri="{FF2B5EF4-FFF2-40B4-BE49-F238E27FC236}">
              <a16:creationId xmlns:a16="http://schemas.microsoft.com/office/drawing/2014/main" id="{00000000-0008-0000-0F00-00003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2" name="AutoShape 1">
          <a:extLst>
            <a:ext uri="{FF2B5EF4-FFF2-40B4-BE49-F238E27FC236}">
              <a16:creationId xmlns:a16="http://schemas.microsoft.com/office/drawing/2014/main" id="{00000000-0008-0000-0F00-00003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3" name="AutoShape 1">
          <a:extLst>
            <a:ext uri="{FF2B5EF4-FFF2-40B4-BE49-F238E27FC236}">
              <a16:creationId xmlns:a16="http://schemas.microsoft.com/office/drawing/2014/main" id="{00000000-0008-0000-0F00-00003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4" name="AutoShape 1">
          <a:extLst>
            <a:ext uri="{FF2B5EF4-FFF2-40B4-BE49-F238E27FC236}">
              <a16:creationId xmlns:a16="http://schemas.microsoft.com/office/drawing/2014/main" id="{00000000-0008-0000-0F00-00003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5" name="AutoShape 1">
          <a:extLst>
            <a:ext uri="{FF2B5EF4-FFF2-40B4-BE49-F238E27FC236}">
              <a16:creationId xmlns:a16="http://schemas.microsoft.com/office/drawing/2014/main" id="{00000000-0008-0000-0F00-00003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6" name="AutoShape 1">
          <a:extLst>
            <a:ext uri="{FF2B5EF4-FFF2-40B4-BE49-F238E27FC236}">
              <a16:creationId xmlns:a16="http://schemas.microsoft.com/office/drawing/2014/main" id="{00000000-0008-0000-0F00-00003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7" name="AutoShape 1">
          <a:extLst>
            <a:ext uri="{FF2B5EF4-FFF2-40B4-BE49-F238E27FC236}">
              <a16:creationId xmlns:a16="http://schemas.microsoft.com/office/drawing/2014/main" id="{00000000-0008-0000-0F00-00003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8" name="AutoShape 1">
          <a:extLst>
            <a:ext uri="{FF2B5EF4-FFF2-40B4-BE49-F238E27FC236}">
              <a16:creationId xmlns:a16="http://schemas.microsoft.com/office/drawing/2014/main" id="{00000000-0008-0000-0F00-00003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89" name="AutoShape 1">
          <a:extLst>
            <a:ext uri="{FF2B5EF4-FFF2-40B4-BE49-F238E27FC236}">
              <a16:creationId xmlns:a16="http://schemas.microsoft.com/office/drawing/2014/main" id="{00000000-0008-0000-0F00-00003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0" name="AutoShape 1">
          <a:extLst>
            <a:ext uri="{FF2B5EF4-FFF2-40B4-BE49-F238E27FC236}">
              <a16:creationId xmlns:a16="http://schemas.microsoft.com/office/drawing/2014/main" id="{00000000-0008-0000-0F00-00003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1" name="AutoShape 1">
          <a:extLst>
            <a:ext uri="{FF2B5EF4-FFF2-40B4-BE49-F238E27FC236}">
              <a16:creationId xmlns:a16="http://schemas.microsoft.com/office/drawing/2014/main" id="{00000000-0008-0000-0F00-00003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2" name="AutoShape 1">
          <a:extLst>
            <a:ext uri="{FF2B5EF4-FFF2-40B4-BE49-F238E27FC236}">
              <a16:creationId xmlns:a16="http://schemas.microsoft.com/office/drawing/2014/main" id="{00000000-0008-0000-0F00-00004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3" name="AutoShape 1">
          <a:extLst>
            <a:ext uri="{FF2B5EF4-FFF2-40B4-BE49-F238E27FC236}">
              <a16:creationId xmlns:a16="http://schemas.microsoft.com/office/drawing/2014/main" id="{00000000-0008-0000-0F00-00004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4" name="AutoShape 1">
          <a:extLst>
            <a:ext uri="{FF2B5EF4-FFF2-40B4-BE49-F238E27FC236}">
              <a16:creationId xmlns:a16="http://schemas.microsoft.com/office/drawing/2014/main" id="{00000000-0008-0000-0F00-00004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5" name="AutoShape 1">
          <a:extLst>
            <a:ext uri="{FF2B5EF4-FFF2-40B4-BE49-F238E27FC236}">
              <a16:creationId xmlns:a16="http://schemas.microsoft.com/office/drawing/2014/main" id="{00000000-0008-0000-0F00-00004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6" name="AutoShape 1">
          <a:extLst>
            <a:ext uri="{FF2B5EF4-FFF2-40B4-BE49-F238E27FC236}">
              <a16:creationId xmlns:a16="http://schemas.microsoft.com/office/drawing/2014/main" id="{00000000-0008-0000-0F00-00004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7" name="AutoShape 1">
          <a:extLst>
            <a:ext uri="{FF2B5EF4-FFF2-40B4-BE49-F238E27FC236}">
              <a16:creationId xmlns:a16="http://schemas.microsoft.com/office/drawing/2014/main" id="{00000000-0008-0000-0F00-00004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8" name="AutoShape 1">
          <a:extLst>
            <a:ext uri="{FF2B5EF4-FFF2-40B4-BE49-F238E27FC236}">
              <a16:creationId xmlns:a16="http://schemas.microsoft.com/office/drawing/2014/main" id="{00000000-0008-0000-0F00-00004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399" name="AutoShape 1">
          <a:extLst>
            <a:ext uri="{FF2B5EF4-FFF2-40B4-BE49-F238E27FC236}">
              <a16:creationId xmlns:a16="http://schemas.microsoft.com/office/drawing/2014/main" id="{00000000-0008-0000-0F00-00004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0" name="AutoShape 1">
          <a:extLst>
            <a:ext uri="{FF2B5EF4-FFF2-40B4-BE49-F238E27FC236}">
              <a16:creationId xmlns:a16="http://schemas.microsoft.com/office/drawing/2014/main" id="{00000000-0008-0000-0F00-00004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1" name="AutoShape 1">
          <a:extLst>
            <a:ext uri="{FF2B5EF4-FFF2-40B4-BE49-F238E27FC236}">
              <a16:creationId xmlns:a16="http://schemas.microsoft.com/office/drawing/2014/main" id="{00000000-0008-0000-0F00-00004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2" name="AutoShape 1">
          <a:extLst>
            <a:ext uri="{FF2B5EF4-FFF2-40B4-BE49-F238E27FC236}">
              <a16:creationId xmlns:a16="http://schemas.microsoft.com/office/drawing/2014/main" id="{00000000-0008-0000-0F00-00004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3" name="AutoShape 1">
          <a:extLst>
            <a:ext uri="{FF2B5EF4-FFF2-40B4-BE49-F238E27FC236}">
              <a16:creationId xmlns:a16="http://schemas.microsoft.com/office/drawing/2014/main" id="{00000000-0008-0000-0F00-00004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4" name="AutoShape 1">
          <a:extLst>
            <a:ext uri="{FF2B5EF4-FFF2-40B4-BE49-F238E27FC236}">
              <a16:creationId xmlns:a16="http://schemas.microsoft.com/office/drawing/2014/main" id="{00000000-0008-0000-0F00-00004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5" name="AutoShape 1">
          <a:extLst>
            <a:ext uri="{FF2B5EF4-FFF2-40B4-BE49-F238E27FC236}">
              <a16:creationId xmlns:a16="http://schemas.microsoft.com/office/drawing/2014/main" id="{00000000-0008-0000-0F00-00004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6" name="AutoShape 1">
          <a:extLst>
            <a:ext uri="{FF2B5EF4-FFF2-40B4-BE49-F238E27FC236}">
              <a16:creationId xmlns:a16="http://schemas.microsoft.com/office/drawing/2014/main" id="{00000000-0008-0000-0F00-00004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7" name="AutoShape 1">
          <a:extLst>
            <a:ext uri="{FF2B5EF4-FFF2-40B4-BE49-F238E27FC236}">
              <a16:creationId xmlns:a16="http://schemas.microsoft.com/office/drawing/2014/main" id="{00000000-0008-0000-0F00-00004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8" name="AutoShape 1">
          <a:extLst>
            <a:ext uri="{FF2B5EF4-FFF2-40B4-BE49-F238E27FC236}">
              <a16:creationId xmlns:a16="http://schemas.microsoft.com/office/drawing/2014/main" id="{00000000-0008-0000-0F00-00005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09" name="AutoShape 1">
          <a:extLst>
            <a:ext uri="{FF2B5EF4-FFF2-40B4-BE49-F238E27FC236}">
              <a16:creationId xmlns:a16="http://schemas.microsoft.com/office/drawing/2014/main" id="{00000000-0008-0000-0F00-00005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0" name="AutoShape 1">
          <a:extLst>
            <a:ext uri="{FF2B5EF4-FFF2-40B4-BE49-F238E27FC236}">
              <a16:creationId xmlns:a16="http://schemas.microsoft.com/office/drawing/2014/main" id="{00000000-0008-0000-0F00-00005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1" name="AutoShape 1">
          <a:extLst>
            <a:ext uri="{FF2B5EF4-FFF2-40B4-BE49-F238E27FC236}">
              <a16:creationId xmlns:a16="http://schemas.microsoft.com/office/drawing/2014/main" id="{00000000-0008-0000-0F00-00005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2" name="AutoShape 1">
          <a:extLst>
            <a:ext uri="{FF2B5EF4-FFF2-40B4-BE49-F238E27FC236}">
              <a16:creationId xmlns:a16="http://schemas.microsoft.com/office/drawing/2014/main" id="{00000000-0008-0000-0F00-00005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3" name="AutoShape 1">
          <a:extLst>
            <a:ext uri="{FF2B5EF4-FFF2-40B4-BE49-F238E27FC236}">
              <a16:creationId xmlns:a16="http://schemas.microsoft.com/office/drawing/2014/main" id="{00000000-0008-0000-0F00-00005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4" name="AutoShape 1">
          <a:extLst>
            <a:ext uri="{FF2B5EF4-FFF2-40B4-BE49-F238E27FC236}">
              <a16:creationId xmlns:a16="http://schemas.microsoft.com/office/drawing/2014/main" id="{00000000-0008-0000-0F00-00005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5" name="AutoShape 1">
          <a:extLst>
            <a:ext uri="{FF2B5EF4-FFF2-40B4-BE49-F238E27FC236}">
              <a16:creationId xmlns:a16="http://schemas.microsoft.com/office/drawing/2014/main" id="{00000000-0008-0000-0F00-00005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6" name="AutoShape 1">
          <a:extLst>
            <a:ext uri="{FF2B5EF4-FFF2-40B4-BE49-F238E27FC236}">
              <a16:creationId xmlns:a16="http://schemas.microsoft.com/office/drawing/2014/main" id="{00000000-0008-0000-0F00-00005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7" name="AutoShape 1">
          <a:extLst>
            <a:ext uri="{FF2B5EF4-FFF2-40B4-BE49-F238E27FC236}">
              <a16:creationId xmlns:a16="http://schemas.microsoft.com/office/drawing/2014/main" id="{00000000-0008-0000-0F00-00005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8" name="AutoShape 1">
          <a:extLst>
            <a:ext uri="{FF2B5EF4-FFF2-40B4-BE49-F238E27FC236}">
              <a16:creationId xmlns:a16="http://schemas.microsoft.com/office/drawing/2014/main" id="{00000000-0008-0000-0F00-00005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19" name="AutoShape 1">
          <a:extLst>
            <a:ext uri="{FF2B5EF4-FFF2-40B4-BE49-F238E27FC236}">
              <a16:creationId xmlns:a16="http://schemas.microsoft.com/office/drawing/2014/main" id="{00000000-0008-0000-0F00-00005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0" name="AutoShape 1">
          <a:extLst>
            <a:ext uri="{FF2B5EF4-FFF2-40B4-BE49-F238E27FC236}">
              <a16:creationId xmlns:a16="http://schemas.microsoft.com/office/drawing/2014/main" id="{00000000-0008-0000-0F00-00005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1" name="AutoShape 1">
          <a:extLst>
            <a:ext uri="{FF2B5EF4-FFF2-40B4-BE49-F238E27FC236}">
              <a16:creationId xmlns:a16="http://schemas.microsoft.com/office/drawing/2014/main" id="{00000000-0008-0000-0F00-00005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2" name="AutoShape 1">
          <a:extLst>
            <a:ext uri="{FF2B5EF4-FFF2-40B4-BE49-F238E27FC236}">
              <a16:creationId xmlns:a16="http://schemas.microsoft.com/office/drawing/2014/main" id="{00000000-0008-0000-0F00-00005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3" name="AutoShape 1">
          <a:extLst>
            <a:ext uri="{FF2B5EF4-FFF2-40B4-BE49-F238E27FC236}">
              <a16:creationId xmlns:a16="http://schemas.microsoft.com/office/drawing/2014/main" id="{00000000-0008-0000-0F00-00005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4" name="AutoShape 1">
          <a:extLst>
            <a:ext uri="{FF2B5EF4-FFF2-40B4-BE49-F238E27FC236}">
              <a16:creationId xmlns:a16="http://schemas.microsoft.com/office/drawing/2014/main" id="{00000000-0008-0000-0F00-00006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5" name="AutoShape 1">
          <a:extLst>
            <a:ext uri="{FF2B5EF4-FFF2-40B4-BE49-F238E27FC236}">
              <a16:creationId xmlns:a16="http://schemas.microsoft.com/office/drawing/2014/main" id="{00000000-0008-0000-0F00-00006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6" name="AutoShape 1">
          <a:extLst>
            <a:ext uri="{FF2B5EF4-FFF2-40B4-BE49-F238E27FC236}">
              <a16:creationId xmlns:a16="http://schemas.microsoft.com/office/drawing/2014/main" id="{00000000-0008-0000-0F00-00006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7" name="AutoShape 1">
          <a:extLst>
            <a:ext uri="{FF2B5EF4-FFF2-40B4-BE49-F238E27FC236}">
              <a16:creationId xmlns:a16="http://schemas.microsoft.com/office/drawing/2014/main" id="{00000000-0008-0000-0F00-00006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8" name="AutoShape 1">
          <a:extLst>
            <a:ext uri="{FF2B5EF4-FFF2-40B4-BE49-F238E27FC236}">
              <a16:creationId xmlns:a16="http://schemas.microsoft.com/office/drawing/2014/main" id="{00000000-0008-0000-0F00-00006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29" name="AutoShape 1">
          <a:extLst>
            <a:ext uri="{FF2B5EF4-FFF2-40B4-BE49-F238E27FC236}">
              <a16:creationId xmlns:a16="http://schemas.microsoft.com/office/drawing/2014/main" id="{00000000-0008-0000-0F00-00006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0" name="AutoShape 1">
          <a:extLst>
            <a:ext uri="{FF2B5EF4-FFF2-40B4-BE49-F238E27FC236}">
              <a16:creationId xmlns:a16="http://schemas.microsoft.com/office/drawing/2014/main" id="{00000000-0008-0000-0F00-00006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1" name="AutoShape 1">
          <a:extLst>
            <a:ext uri="{FF2B5EF4-FFF2-40B4-BE49-F238E27FC236}">
              <a16:creationId xmlns:a16="http://schemas.microsoft.com/office/drawing/2014/main" id="{00000000-0008-0000-0F00-00006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2" name="AutoShape 1">
          <a:extLst>
            <a:ext uri="{FF2B5EF4-FFF2-40B4-BE49-F238E27FC236}">
              <a16:creationId xmlns:a16="http://schemas.microsoft.com/office/drawing/2014/main" id="{00000000-0008-0000-0F00-00006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3" name="AutoShape 1">
          <a:extLst>
            <a:ext uri="{FF2B5EF4-FFF2-40B4-BE49-F238E27FC236}">
              <a16:creationId xmlns:a16="http://schemas.microsoft.com/office/drawing/2014/main" id="{00000000-0008-0000-0F00-00006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4" name="AutoShape 1">
          <a:extLst>
            <a:ext uri="{FF2B5EF4-FFF2-40B4-BE49-F238E27FC236}">
              <a16:creationId xmlns:a16="http://schemas.microsoft.com/office/drawing/2014/main" id="{00000000-0008-0000-0F00-00006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5" name="AutoShape 1">
          <a:extLst>
            <a:ext uri="{FF2B5EF4-FFF2-40B4-BE49-F238E27FC236}">
              <a16:creationId xmlns:a16="http://schemas.microsoft.com/office/drawing/2014/main" id="{00000000-0008-0000-0F00-00006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6" name="AutoShape 1">
          <a:extLst>
            <a:ext uri="{FF2B5EF4-FFF2-40B4-BE49-F238E27FC236}">
              <a16:creationId xmlns:a16="http://schemas.microsoft.com/office/drawing/2014/main" id="{00000000-0008-0000-0F00-00006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7" name="AutoShape 1">
          <a:extLst>
            <a:ext uri="{FF2B5EF4-FFF2-40B4-BE49-F238E27FC236}">
              <a16:creationId xmlns:a16="http://schemas.microsoft.com/office/drawing/2014/main" id="{00000000-0008-0000-0F00-00006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8" name="AutoShape 1">
          <a:extLst>
            <a:ext uri="{FF2B5EF4-FFF2-40B4-BE49-F238E27FC236}">
              <a16:creationId xmlns:a16="http://schemas.microsoft.com/office/drawing/2014/main" id="{00000000-0008-0000-0F00-00006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39" name="AutoShape 1">
          <a:extLst>
            <a:ext uri="{FF2B5EF4-FFF2-40B4-BE49-F238E27FC236}">
              <a16:creationId xmlns:a16="http://schemas.microsoft.com/office/drawing/2014/main" id="{00000000-0008-0000-0F00-00006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0" name="AutoShape 1">
          <a:extLst>
            <a:ext uri="{FF2B5EF4-FFF2-40B4-BE49-F238E27FC236}">
              <a16:creationId xmlns:a16="http://schemas.microsoft.com/office/drawing/2014/main" id="{00000000-0008-0000-0F00-00007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1" name="AutoShape 1">
          <a:extLst>
            <a:ext uri="{FF2B5EF4-FFF2-40B4-BE49-F238E27FC236}">
              <a16:creationId xmlns:a16="http://schemas.microsoft.com/office/drawing/2014/main" id="{00000000-0008-0000-0F00-00007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2" name="AutoShape 1">
          <a:extLst>
            <a:ext uri="{FF2B5EF4-FFF2-40B4-BE49-F238E27FC236}">
              <a16:creationId xmlns:a16="http://schemas.microsoft.com/office/drawing/2014/main" id="{00000000-0008-0000-0F00-00007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3" name="AutoShape 1">
          <a:extLst>
            <a:ext uri="{FF2B5EF4-FFF2-40B4-BE49-F238E27FC236}">
              <a16:creationId xmlns:a16="http://schemas.microsoft.com/office/drawing/2014/main" id="{00000000-0008-0000-0F00-00007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4" name="AutoShape 1">
          <a:extLst>
            <a:ext uri="{FF2B5EF4-FFF2-40B4-BE49-F238E27FC236}">
              <a16:creationId xmlns:a16="http://schemas.microsoft.com/office/drawing/2014/main" id="{00000000-0008-0000-0F00-00007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5" name="AutoShape 1">
          <a:extLst>
            <a:ext uri="{FF2B5EF4-FFF2-40B4-BE49-F238E27FC236}">
              <a16:creationId xmlns:a16="http://schemas.microsoft.com/office/drawing/2014/main" id="{00000000-0008-0000-0F00-00007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6" name="AutoShape 1">
          <a:extLst>
            <a:ext uri="{FF2B5EF4-FFF2-40B4-BE49-F238E27FC236}">
              <a16:creationId xmlns:a16="http://schemas.microsoft.com/office/drawing/2014/main" id="{00000000-0008-0000-0F00-00007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7" name="AutoShape 1">
          <a:extLst>
            <a:ext uri="{FF2B5EF4-FFF2-40B4-BE49-F238E27FC236}">
              <a16:creationId xmlns:a16="http://schemas.microsoft.com/office/drawing/2014/main" id="{00000000-0008-0000-0F00-00007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8" name="AutoShape 1">
          <a:extLst>
            <a:ext uri="{FF2B5EF4-FFF2-40B4-BE49-F238E27FC236}">
              <a16:creationId xmlns:a16="http://schemas.microsoft.com/office/drawing/2014/main" id="{00000000-0008-0000-0F00-00007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49" name="AutoShape 1">
          <a:extLst>
            <a:ext uri="{FF2B5EF4-FFF2-40B4-BE49-F238E27FC236}">
              <a16:creationId xmlns:a16="http://schemas.microsoft.com/office/drawing/2014/main" id="{00000000-0008-0000-0F00-00007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0" name="AutoShape 1">
          <a:extLst>
            <a:ext uri="{FF2B5EF4-FFF2-40B4-BE49-F238E27FC236}">
              <a16:creationId xmlns:a16="http://schemas.microsoft.com/office/drawing/2014/main" id="{00000000-0008-0000-0F00-00007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1" name="AutoShape 1">
          <a:extLst>
            <a:ext uri="{FF2B5EF4-FFF2-40B4-BE49-F238E27FC236}">
              <a16:creationId xmlns:a16="http://schemas.microsoft.com/office/drawing/2014/main" id="{00000000-0008-0000-0F00-00007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2" name="AutoShape 1">
          <a:extLst>
            <a:ext uri="{FF2B5EF4-FFF2-40B4-BE49-F238E27FC236}">
              <a16:creationId xmlns:a16="http://schemas.microsoft.com/office/drawing/2014/main" id="{00000000-0008-0000-0F00-00007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3" name="AutoShape 1">
          <a:extLst>
            <a:ext uri="{FF2B5EF4-FFF2-40B4-BE49-F238E27FC236}">
              <a16:creationId xmlns:a16="http://schemas.microsoft.com/office/drawing/2014/main" id="{00000000-0008-0000-0F00-00007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4" name="AutoShape 1">
          <a:extLst>
            <a:ext uri="{FF2B5EF4-FFF2-40B4-BE49-F238E27FC236}">
              <a16:creationId xmlns:a16="http://schemas.microsoft.com/office/drawing/2014/main" id="{00000000-0008-0000-0F00-00007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5" name="AutoShape 1">
          <a:extLst>
            <a:ext uri="{FF2B5EF4-FFF2-40B4-BE49-F238E27FC236}">
              <a16:creationId xmlns:a16="http://schemas.microsoft.com/office/drawing/2014/main" id="{00000000-0008-0000-0F00-00007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6" name="AutoShape 1">
          <a:extLst>
            <a:ext uri="{FF2B5EF4-FFF2-40B4-BE49-F238E27FC236}">
              <a16:creationId xmlns:a16="http://schemas.microsoft.com/office/drawing/2014/main" id="{00000000-0008-0000-0F00-00008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7" name="AutoShape 1">
          <a:extLst>
            <a:ext uri="{FF2B5EF4-FFF2-40B4-BE49-F238E27FC236}">
              <a16:creationId xmlns:a16="http://schemas.microsoft.com/office/drawing/2014/main" id="{00000000-0008-0000-0F00-00008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8" name="AutoShape 1">
          <a:extLst>
            <a:ext uri="{FF2B5EF4-FFF2-40B4-BE49-F238E27FC236}">
              <a16:creationId xmlns:a16="http://schemas.microsoft.com/office/drawing/2014/main" id="{00000000-0008-0000-0F00-00008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59" name="AutoShape 1">
          <a:extLst>
            <a:ext uri="{FF2B5EF4-FFF2-40B4-BE49-F238E27FC236}">
              <a16:creationId xmlns:a16="http://schemas.microsoft.com/office/drawing/2014/main" id="{00000000-0008-0000-0F00-00008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0" name="AutoShape 1">
          <a:extLst>
            <a:ext uri="{FF2B5EF4-FFF2-40B4-BE49-F238E27FC236}">
              <a16:creationId xmlns:a16="http://schemas.microsoft.com/office/drawing/2014/main" id="{00000000-0008-0000-0F00-00008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1" name="AutoShape 1">
          <a:extLst>
            <a:ext uri="{FF2B5EF4-FFF2-40B4-BE49-F238E27FC236}">
              <a16:creationId xmlns:a16="http://schemas.microsoft.com/office/drawing/2014/main" id="{00000000-0008-0000-0F00-00008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2" name="AutoShape 1">
          <a:extLst>
            <a:ext uri="{FF2B5EF4-FFF2-40B4-BE49-F238E27FC236}">
              <a16:creationId xmlns:a16="http://schemas.microsoft.com/office/drawing/2014/main" id="{00000000-0008-0000-0F00-00008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3" name="AutoShape 1">
          <a:extLst>
            <a:ext uri="{FF2B5EF4-FFF2-40B4-BE49-F238E27FC236}">
              <a16:creationId xmlns:a16="http://schemas.microsoft.com/office/drawing/2014/main" id="{00000000-0008-0000-0F00-00008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4" name="AutoShape 1">
          <a:extLst>
            <a:ext uri="{FF2B5EF4-FFF2-40B4-BE49-F238E27FC236}">
              <a16:creationId xmlns:a16="http://schemas.microsoft.com/office/drawing/2014/main" id="{00000000-0008-0000-0F00-00008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5" name="AutoShape 1">
          <a:extLst>
            <a:ext uri="{FF2B5EF4-FFF2-40B4-BE49-F238E27FC236}">
              <a16:creationId xmlns:a16="http://schemas.microsoft.com/office/drawing/2014/main" id="{00000000-0008-0000-0F00-00008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6" name="AutoShape 1">
          <a:extLst>
            <a:ext uri="{FF2B5EF4-FFF2-40B4-BE49-F238E27FC236}">
              <a16:creationId xmlns:a16="http://schemas.microsoft.com/office/drawing/2014/main" id="{00000000-0008-0000-0F00-00008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7" name="AutoShape 1">
          <a:extLst>
            <a:ext uri="{FF2B5EF4-FFF2-40B4-BE49-F238E27FC236}">
              <a16:creationId xmlns:a16="http://schemas.microsoft.com/office/drawing/2014/main" id="{00000000-0008-0000-0F00-00008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8" name="AutoShape 1">
          <a:extLst>
            <a:ext uri="{FF2B5EF4-FFF2-40B4-BE49-F238E27FC236}">
              <a16:creationId xmlns:a16="http://schemas.microsoft.com/office/drawing/2014/main" id="{00000000-0008-0000-0F00-00008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69" name="AutoShape 1">
          <a:extLst>
            <a:ext uri="{FF2B5EF4-FFF2-40B4-BE49-F238E27FC236}">
              <a16:creationId xmlns:a16="http://schemas.microsoft.com/office/drawing/2014/main" id="{00000000-0008-0000-0F00-00008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0" name="AutoShape 1">
          <a:extLst>
            <a:ext uri="{FF2B5EF4-FFF2-40B4-BE49-F238E27FC236}">
              <a16:creationId xmlns:a16="http://schemas.microsoft.com/office/drawing/2014/main" id="{00000000-0008-0000-0F00-00008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1" name="AutoShape 1">
          <a:extLst>
            <a:ext uri="{FF2B5EF4-FFF2-40B4-BE49-F238E27FC236}">
              <a16:creationId xmlns:a16="http://schemas.microsoft.com/office/drawing/2014/main" id="{00000000-0008-0000-0F00-00008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2" name="AutoShape 1">
          <a:extLst>
            <a:ext uri="{FF2B5EF4-FFF2-40B4-BE49-F238E27FC236}">
              <a16:creationId xmlns:a16="http://schemas.microsoft.com/office/drawing/2014/main" id="{00000000-0008-0000-0F00-00009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3" name="AutoShape 1">
          <a:extLst>
            <a:ext uri="{FF2B5EF4-FFF2-40B4-BE49-F238E27FC236}">
              <a16:creationId xmlns:a16="http://schemas.microsoft.com/office/drawing/2014/main" id="{00000000-0008-0000-0F00-00009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4" name="AutoShape 1">
          <a:extLst>
            <a:ext uri="{FF2B5EF4-FFF2-40B4-BE49-F238E27FC236}">
              <a16:creationId xmlns:a16="http://schemas.microsoft.com/office/drawing/2014/main" id="{00000000-0008-0000-0F00-00009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5" name="AutoShape 1">
          <a:extLst>
            <a:ext uri="{FF2B5EF4-FFF2-40B4-BE49-F238E27FC236}">
              <a16:creationId xmlns:a16="http://schemas.microsoft.com/office/drawing/2014/main" id="{00000000-0008-0000-0F00-00009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6" name="AutoShape 1">
          <a:extLst>
            <a:ext uri="{FF2B5EF4-FFF2-40B4-BE49-F238E27FC236}">
              <a16:creationId xmlns:a16="http://schemas.microsoft.com/office/drawing/2014/main" id="{00000000-0008-0000-0F00-00009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7" name="AutoShape 1">
          <a:extLst>
            <a:ext uri="{FF2B5EF4-FFF2-40B4-BE49-F238E27FC236}">
              <a16:creationId xmlns:a16="http://schemas.microsoft.com/office/drawing/2014/main" id="{00000000-0008-0000-0F00-00009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8" name="AutoShape 1">
          <a:extLst>
            <a:ext uri="{FF2B5EF4-FFF2-40B4-BE49-F238E27FC236}">
              <a16:creationId xmlns:a16="http://schemas.microsoft.com/office/drawing/2014/main" id="{00000000-0008-0000-0F00-00009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79" name="AutoShape 1">
          <a:extLst>
            <a:ext uri="{FF2B5EF4-FFF2-40B4-BE49-F238E27FC236}">
              <a16:creationId xmlns:a16="http://schemas.microsoft.com/office/drawing/2014/main" id="{00000000-0008-0000-0F00-00009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0" name="AutoShape 1">
          <a:extLst>
            <a:ext uri="{FF2B5EF4-FFF2-40B4-BE49-F238E27FC236}">
              <a16:creationId xmlns:a16="http://schemas.microsoft.com/office/drawing/2014/main" id="{00000000-0008-0000-0F00-00009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1" name="AutoShape 1">
          <a:extLst>
            <a:ext uri="{FF2B5EF4-FFF2-40B4-BE49-F238E27FC236}">
              <a16:creationId xmlns:a16="http://schemas.microsoft.com/office/drawing/2014/main" id="{00000000-0008-0000-0F00-00009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2" name="AutoShape 1">
          <a:extLst>
            <a:ext uri="{FF2B5EF4-FFF2-40B4-BE49-F238E27FC236}">
              <a16:creationId xmlns:a16="http://schemas.microsoft.com/office/drawing/2014/main" id="{00000000-0008-0000-0F00-00009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3" name="AutoShape 1">
          <a:extLst>
            <a:ext uri="{FF2B5EF4-FFF2-40B4-BE49-F238E27FC236}">
              <a16:creationId xmlns:a16="http://schemas.microsoft.com/office/drawing/2014/main" id="{00000000-0008-0000-0F00-00009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4" name="AutoShape 1">
          <a:extLst>
            <a:ext uri="{FF2B5EF4-FFF2-40B4-BE49-F238E27FC236}">
              <a16:creationId xmlns:a16="http://schemas.microsoft.com/office/drawing/2014/main" id="{00000000-0008-0000-0F00-00009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5" name="AutoShape 1">
          <a:extLst>
            <a:ext uri="{FF2B5EF4-FFF2-40B4-BE49-F238E27FC236}">
              <a16:creationId xmlns:a16="http://schemas.microsoft.com/office/drawing/2014/main" id="{00000000-0008-0000-0F00-00009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6" name="AutoShape 1">
          <a:extLst>
            <a:ext uri="{FF2B5EF4-FFF2-40B4-BE49-F238E27FC236}">
              <a16:creationId xmlns:a16="http://schemas.microsoft.com/office/drawing/2014/main" id="{00000000-0008-0000-0F00-00009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7" name="AutoShape 1">
          <a:extLst>
            <a:ext uri="{FF2B5EF4-FFF2-40B4-BE49-F238E27FC236}">
              <a16:creationId xmlns:a16="http://schemas.microsoft.com/office/drawing/2014/main" id="{00000000-0008-0000-0F00-00009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8" name="AutoShape 1">
          <a:extLst>
            <a:ext uri="{FF2B5EF4-FFF2-40B4-BE49-F238E27FC236}">
              <a16:creationId xmlns:a16="http://schemas.microsoft.com/office/drawing/2014/main" id="{00000000-0008-0000-0F00-0000A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89" name="AutoShape 1">
          <a:extLst>
            <a:ext uri="{FF2B5EF4-FFF2-40B4-BE49-F238E27FC236}">
              <a16:creationId xmlns:a16="http://schemas.microsoft.com/office/drawing/2014/main" id="{00000000-0008-0000-0F00-0000A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0" name="AutoShape 1">
          <a:extLst>
            <a:ext uri="{FF2B5EF4-FFF2-40B4-BE49-F238E27FC236}">
              <a16:creationId xmlns:a16="http://schemas.microsoft.com/office/drawing/2014/main" id="{00000000-0008-0000-0F00-0000A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1" name="AutoShape 1">
          <a:extLst>
            <a:ext uri="{FF2B5EF4-FFF2-40B4-BE49-F238E27FC236}">
              <a16:creationId xmlns:a16="http://schemas.microsoft.com/office/drawing/2014/main" id="{00000000-0008-0000-0F00-0000A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2" name="AutoShape 1">
          <a:extLst>
            <a:ext uri="{FF2B5EF4-FFF2-40B4-BE49-F238E27FC236}">
              <a16:creationId xmlns:a16="http://schemas.microsoft.com/office/drawing/2014/main" id="{00000000-0008-0000-0F00-0000A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3" name="AutoShape 1">
          <a:extLst>
            <a:ext uri="{FF2B5EF4-FFF2-40B4-BE49-F238E27FC236}">
              <a16:creationId xmlns:a16="http://schemas.microsoft.com/office/drawing/2014/main" id="{00000000-0008-0000-0F00-0000A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4" name="AutoShape 1">
          <a:extLst>
            <a:ext uri="{FF2B5EF4-FFF2-40B4-BE49-F238E27FC236}">
              <a16:creationId xmlns:a16="http://schemas.microsoft.com/office/drawing/2014/main" id="{00000000-0008-0000-0F00-0000A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5" name="AutoShape 1">
          <a:extLst>
            <a:ext uri="{FF2B5EF4-FFF2-40B4-BE49-F238E27FC236}">
              <a16:creationId xmlns:a16="http://schemas.microsoft.com/office/drawing/2014/main" id="{00000000-0008-0000-0F00-0000A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6" name="AutoShape 1">
          <a:extLst>
            <a:ext uri="{FF2B5EF4-FFF2-40B4-BE49-F238E27FC236}">
              <a16:creationId xmlns:a16="http://schemas.microsoft.com/office/drawing/2014/main" id="{00000000-0008-0000-0F00-0000A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7" name="AutoShape 1">
          <a:extLst>
            <a:ext uri="{FF2B5EF4-FFF2-40B4-BE49-F238E27FC236}">
              <a16:creationId xmlns:a16="http://schemas.microsoft.com/office/drawing/2014/main" id="{00000000-0008-0000-0F00-0000A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8" name="AutoShape 1">
          <a:extLst>
            <a:ext uri="{FF2B5EF4-FFF2-40B4-BE49-F238E27FC236}">
              <a16:creationId xmlns:a16="http://schemas.microsoft.com/office/drawing/2014/main" id="{00000000-0008-0000-0F00-0000A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499" name="AutoShape 1">
          <a:extLst>
            <a:ext uri="{FF2B5EF4-FFF2-40B4-BE49-F238E27FC236}">
              <a16:creationId xmlns:a16="http://schemas.microsoft.com/office/drawing/2014/main" id="{00000000-0008-0000-0F00-0000A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0" name="AutoShape 1">
          <a:extLst>
            <a:ext uri="{FF2B5EF4-FFF2-40B4-BE49-F238E27FC236}">
              <a16:creationId xmlns:a16="http://schemas.microsoft.com/office/drawing/2014/main" id="{00000000-0008-0000-0F00-0000A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1" name="AutoShape 1">
          <a:extLst>
            <a:ext uri="{FF2B5EF4-FFF2-40B4-BE49-F238E27FC236}">
              <a16:creationId xmlns:a16="http://schemas.microsoft.com/office/drawing/2014/main" id="{00000000-0008-0000-0F00-0000A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2" name="AutoShape 1">
          <a:extLst>
            <a:ext uri="{FF2B5EF4-FFF2-40B4-BE49-F238E27FC236}">
              <a16:creationId xmlns:a16="http://schemas.microsoft.com/office/drawing/2014/main" id="{00000000-0008-0000-0F00-0000A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3" name="AutoShape 1">
          <a:extLst>
            <a:ext uri="{FF2B5EF4-FFF2-40B4-BE49-F238E27FC236}">
              <a16:creationId xmlns:a16="http://schemas.microsoft.com/office/drawing/2014/main" id="{00000000-0008-0000-0F00-0000A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4" name="AutoShape 1">
          <a:extLst>
            <a:ext uri="{FF2B5EF4-FFF2-40B4-BE49-F238E27FC236}">
              <a16:creationId xmlns:a16="http://schemas.microsoft.com/office/drawing/2014/main" id="{00000000-0008-0000-0F00-0000B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5" name="AutoShape 1">
          <a:extLst>
            <a:ext uri="{FF2B5EF4-FFF2-40B4-BE49-F238E27FC236}">
              <a16:creationId xmlns:a16="http://schemas.microsoft.com/office/drawing/2014/main" id="{00000000-0008-0000-0F00-0000B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6" name="AutoShape 1">
          <a:extLst>
            <a:ext uri="{FF2B5EF4-FFF2-40B4-BE49-F238E27FC236}">
              <a16:creationId xmlns:a16="http://schemas.microsoft.com/office/drawing/2014/main" id="{00000000-0008-0000-0F00-0000B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7" name="AutoShape 1">
          <a:extLst>
            <a:ext uri="{FF2B5EF4-FFF2-40B4-BE49-F238E27FC236}">
              <a16:creationId xmlns:a16="http://schemas.microsoft.com/office/drawing/2014/main" id="{00000000-0008-0000-0F00-0000B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8" name="AutoShape 1">
          <a:extLst>
            <a:ext uri="{FF2B5EF4-FFF2-40B4-BE49-F238E27FC236}">
              <a16:creationId xmlns:a16="http://schemas.microsoft.com/office/drawing/2014/main" id="{00000000-0008-0000-0F00-0000B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09" name="AutoShape 1">
          <a:extLst>
            <a:ext uri="{FF2B5EF4-FFF2-40B4-BE49-F238E27FC236}">
              <a16:creationId xmlns:a16="http://schemas.microsoft.com/office/drawing/2014/main" id="{00000000-0008-0000-0F00-0000B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0" name="AutoShape 1">
          <a:extLst>
            <a:ext uri="{FF2B5EF4-FFF2-40B4-BE49-F238E27FC236}">
              <a16:creationId xmlns:a16="http://schemas.microsoft.com/office/drawing/2014/main" id="{00000000-0008-0000-0F00-0000B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1" name="AutoShape 1">
          <a:extLst>
            <a:ext uri="{FF2B5EF4-FFF2-40B4-BE49-F238E27FC236}">
              <a16:creationId xmlns:a16="http://schemas.microsoft.com/office/drawing/2014/main" id="{00000000-0008-0000-0F00-0000B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2" name="AutoShape 1">
          <a:extLst>
            <a:ext uri="{FF2B5EF4-FFF2-40B4-BE49-F238E27FC236}">
              <a16:creationId xmlns:a16="http://schemas.microsoft.com/office/drawing/2014/main" id="{00000000-0008-0000-0F00-0000B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3" name="AutoShape 1">
          <a:extLst>
            <a:ext uri="{FF2B5EF4-FFF2-40B4-BE49-F238E27FC236}">
              <a16:creationId xmlns:a16="http://schemas.microsoft.com/office/drawing/2014/main" id="{00000000-0008-0000-0F00-0000B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4" name="AutoShape 1">
          <a:extLst>
            <a:ext uri="{FF2B5EF4-FFF2-40B4-BE49-F238E27FC236}">
              <a16:creationId xmlns:a16="http://schemas.microsoft.com/office/drawing/2014/main" id="{00000000-0008-0000-0F00-0000B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5" name="AutoShape 1">
          <a:extLst>
            <a:ext uri="{FF2B5EF4-FFF2-40B4-BE49-F238E27FC236}">
              <a16:creationId xmlns:a16="http://schemas.microsoft.com/office/drawing/2014/main" id="{00000000-0008-0000-0F00-0000B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6" name="AutoShape 1">
          <a:extLst>
            <a:ext uri="{FF2B5EF4-FFF2-40B4-BE49-F238E27FC236}">
              <a16:creationId xmlns:a16="http://schemas.microsoft.com/office/drawing/2014/main" id="{00000000-0008-0000-0F00-0000B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7" name="AutoShape 1">
          <a:extLst>
            <a:ext uri="{FF2B5EF4-FFF2-40B4-BE49-F238E27FC236}">
              <a16:creationId xmlns:a16="http://schemas.microsoft.com/office/drawing/2014/main" id="{00000000-0008-0000-0F00-0000B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8" name="AutoShape 1">
          <a:extLst>
            <a:ext uri="{FF2B5EF4-FFF2-40B4-BE49-F238E27FC236}">
              <a16:creationId xmlns:a16="http://schemas.microsoft.com/office/drawing/2014/main" id="{00000000-0008-0000-0F00-0000B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19" name="AutoShape 1">
          <a:extLst>
            <a:ext uri="{FF2B5EF4-FFF2-40B4-BE49-F238E27FC236}">
              <a16:creationId xmlns:a16="http://schemas.microsoft.com/office/drawing/2014/main" id="{00000000-0008-0000-0F00-0000B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0" name="AutoShape 1">
          <a:extLst>
            <a:ext uri="{FF2B5EF4-FFF2-40B4-BE49-F238E27FC236}">
              <a16:creationId xmlns:a16="http://schemas.microsoft.com/office/drawing/2014/main" id="{00000000-0008-0000-0F00-0000C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1" name="AutoShape 1">
          <a:extLst>
            <a:ext uri="{FF2B5EF4-FFF2-40B4-BE49-F238E27FC236}">
              <a16:creationId xmlns:a16="http://schemas.microsoft.com/office/drawing/2014/main" id="{00000000-0008-0000-0F00-0000C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2" name="AutoShape 1">
          <a:extLst>
            <a:ext uri="{FF2B5EF4-FFF2-40B4-BE49-F238E27FC236}">
              <a16:creationId xmlns:a16="http://schemas.microsoft.com/office/drawing/2014/main" id="{00000000-0008-0000-0F00-0000C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3" name="AutoShape 1">
          <a:extLst>
            <a:ext uri="{FF2B5EF4-FFF2-40B4-BE49-F238E27FC236}">
              <a16:creationId xmlns:a16="http://schemas.microsoft.com/office/drawing/2014/main" id="{00000000-0008-0000-0F00-0000C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4" name="AutoShape 1">
          <a:extLst>
            <a:ext uri="{FF2B5EF4-FFF2-40B4-BE49-F238E27FC236}">
              <a16:creationId xmlns:a16="http://schemas.microsoft.com/office/drawing/2014/main" id="{00000000-0008-0000-0F00-0000C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5" name="AutoShape 1">
          <a:extLst>
            <a:ext uri="{FF2B5EF4-FFF2-40B4-BE49-F238E27FC236}">
              <a16:creationId xmlns:a16="http://schemas.microsoft.com/office/drawing/2014/main" id="{00000000-0008-0000-0F00-0000C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6" name="AutoShape 1">
          <a:extLst>
            <a:ext uri="{FF2B5EF4-FFF2-40B4-BE49-F238E27FC236}">
              <a16:creationId xmlns:a16="http://schemas.microsoft.com/office/drawing/2014/main" id="{00000000-0008-0000-0F00-0000C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7" name="AutoShape 1">
          <a:extLst>
            <a:ext uri="{FF2B5EF4-FFF2-40B4-BE49-F238E27FC236}">
              <a16:creationId xmlns:a16="http://schemas.microsoft.com/office/drawing/2014/main" id="{00000000-0008-0000-0F00-0000C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8" name="AutoShape 1">
          <a:extLst>
            <a:ext uri="{FF2B5EF4-FFF2-40B4-BE49-F238E27FC236}">
              <a16:creationId xmlns:a16="http://schemas.microsoft.com/office/drawing/2014/main" id="{00000000-0008-0000-0F00-0000C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29" name="AutoShape 1">
          <a:extLst>
            <a:ext uri="{FF2B5EF4-FFF2-40B4-BE49-F238E27FC236}">
              <a16:creationId xmlns:a16="http://schemas.microsoft.com/office/drawing/2014/main" id="{00000000-0008-0000-0F00-0000C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0" name="AutoShape 1">
          <a:extLst>
            <a:ext uri="{FF2B5EF4-FFF2-40B4-BE49-F238E27FC236}">
              <a16:creationId xmlns:a16="http://schemas.microsoft.com/office/drawing/2014/main" id="{00000000-0008-0000-0F00-0000C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1" name="AutoShape 1">
          <a:extLst>
            <a:ext uri="{FF2B5EF4-FFF2-40B4-BE49-F238E27FC236}">
              <a16:creationId xmlns:a16="http://schemas.microsoft.com/office/drawing/2014/main" id="{00000000-0008-0000-0F00-0000C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2" name="AutoShape 1">
          <a:extLst>
            <a:ext uri="{FF2B5EF4-FFF2-40B4-BE49-F238E27FC236}">
              <a16:creationId xmlns:a16="http://schemas.microsoft.com/office/drawing/2014/main" id="{00000000-0008-0000-0F00-0000C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3" name="AutoShape 1">
          <a:extLst>
            <a:ext uri="{FF2B5EF4-FFF2-40B4-BE49-F238E27FC236}">
              <a16:creationId xmlns:a16="http://schemas.microsoft.com/office/drawing/2014/main" id="{00000000-0008-0000-0F00-0000C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4" name="AutoShape 1">
          <a:extLst>
            <a:ext uri="{FF2B5EF4-FFF2-40B4-BE49-F238E27FC236}">
              <a16:creationId xmlns:a16="http://schemas.microsoft.com/office/drawing/2014/main" id="{00000000-0008-0000-0F00-0000C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5" name="AutoShape 1">
          <a:extLst>
            <a:ext uri="{FF2B5EF4-FFF2-40B4-BE49-F238E27FC236}">
              <a16:creationId xmlns:a16="http://schemas.microsoft.com/office/drawing/2014/main" id="{00000000-0008-0000-0F00-0000C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6" name="AutoShape 1">
          <a:extLst>
            <a:ext uri="{FF2B5EF4-FFF2-40B4-BE49-F238E27FC236}">
              <a16:creationId xmlns:a16="http://schemas.microsoft.com/office/drawing/2014/main" id="{00000000-0008-0000-0F00-0000D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7" name="AutoShape 1">
          <a:extLst>
            <a:ext uri="{FF2B5EF4-FFF2-40B4-BE49-F238E27FC236}">
              <a16:creationId xmlns:a16="http://schemas.microsoft.com/office/drawing/2014/main" id="{00000000-0008-0000-0F00-0000D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8" name="AutoShape 1">
          <a:extLst>
            <a:ext uri="{FF2B5EF4-FFF2-40B4-BE49-F238E27FC236}">
              <a16:creationId xmlns:a16="http://schemas.microsoft.com/office/drawing/2014/main" id="{00000000-0008-0000-0F00-0000D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39" name="AutoShape 1">
          <a:extLst>
            <a:ext uri="{FF2B5EF4-FFF2-40B4-BE49-F238E27FC236}">
              <a16:creationId xmlns:a16="http://schemas.microsoft.com/office/drawing/2014/main" id="{00000000-0008-0000-0F00-0000D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0" name="AutoShape 1">
          <a:extLst>
            <a:ext uri="{FF2B5EF4-FFF2-40B4-BE49-F238E27FC236}">
              <a16:creationId xmlns:a16="http://schemas.microsoft.com/office/drawing/2014/main" id="{00000000-0008-0000-0F00-0000D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1" name="AutoShape 1">
          <a:extLst>
            <a:ext uri="{FF2B5EF4-FFF2-40B4-BE49-F238E27FC236}">
              <a16:creationId xmlns:a16="http://schemas.microsoft.com/office/drawing/2014/main" id="{00000000-0008-0000-0F00-0000D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2" name="AutoShape 1">
          <a:extLst>
            <a:ext uri="{FF2B5EF4-FFF2-40B4-BE49-F238E27FC236}">
              <a16:creationId xmlns:a16="http://schemas.microsoft.com/office/drawing/2014/main" id="{00000000-0008-0000-0F00-0000D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3" name="AutoShape 1">
          <a:extLst>
            <a:ext uri="{FF2B5EF4-FFF2-40B4-BE49-F238E27FC236}">
              <a16:creationId xmlns:a16="http://schemas.microsoft.com/office/drawing/2014/main" id="{00000000-0008-0000-0F00-0000D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4" name="AutoShape 1">
          <a:extLst>
            <a:ext uri="{FF2B5EF4-FFF2-40B4-BE49-F238E27FC236}">
              <a16:creationId xmlns:a16="http://schemas.microsoft.com/office/drawing/2014/main" id="{00000000-0008-0000-0F00-0000D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5" name="AutoShape 1">
          <a:extLst>
            <a:ext uri="{FF2B5EF4-FFF2-40B4-BE49-F238E27FC236}">
              <a16:creationId xmlns:a16="http://schemas.microsoft.com/office/drawing/2014/main" id="{00000000-0008-0000-0F00-0000D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6" name="AutoShape 1">
          <a:extLst>
            <a:ext uri="{FF2B5EF4-FFF2-40B4-BE49-F238E27FC236}">
              <a16:creationId xmlns:a16="http://schemas.microsoft.com/office/drawing/2014/main" id="{00000000-0008-0000-0F00-0000D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7" name="AutoShape 1">
          <a:extLst>
            <a:ext uri="{FF2B5EF4-FFF2-40B4-BE49-F238E27FC236}">
              <a16:creationId xmlns:a16="http://schemas.microsoft.com/office/drawing/2014/main" id="{00000000-0008-0000-0F00-0000D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8" name="AutoShape 1">
          <a:extLst>
            <a:ext uri="{FF2B5EF4-FFF2-40B4-BE49-F238E27FC236}">
              <a16:creationId xmlns:a16="http://schemas.microsoft.com/office/drawing/2014/main" id="{00000000-0008-0000-0F00-0000D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49" name="AutoShape 1">
          <a:extLst>
            <a:ext uri="{FF2B5EF4-FFF2-40B4-BE49-F238E27FC236}">
              <a16:creationId xmlns:a16="http://schemas.microsoft.com/office/drawing/2014/main" id="{00000000-0008-0000-0F00-0000D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0" name="AutoShape 1">
          <a:extLst>
            <a:ext uri="{FF2B5EF4-FFF2-40B4-BE49-F238E27FC236}">
              <a16:creationId xmlns:a16="http://schemas.microsoft.com/office/drawing/2014/main" id="{00000000-0008-0000-0F00-0000D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1" name="AutoShape 1">
          <a:extLst>
            <a:ext uri="{FF2B5EF4-FFF2-40B4-BE49-F238E27FC236}">
              <a16:creationId xmlns:a16="http://schemas.microsoft.com/office/drawing/2014/main" id="{00000000-0008-0000-0F00-0000D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2" name="AutoShape 1">
          <a:extLst>
            <a:ext uri="{FF2B5EF4-FFF2-40B4-BE49-F238E27FC236}">
              <a16:creationId xmlns:a16="http://schemas.microsoft.com/office/drawing/2014/main" id="{00000000-0008-0000-0F00-0000E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3" name="AutoShape 1">
          <a:extLst>
            <a:ext uri="{FF2B5EF4-FFF2-40B4-BE49-F238E27FC236}">
              <a16:creationId xmlns:a16="http://schemas.microsoft.com/office/drawing/2014/main" id="{00000000-0008-0000-0F00-0000E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4" name="AutoShape 1">
          <a:extLst>
            <a:ext uri="{FF2B5EF4-FFF2-40B4-BE49-F238E27FC236}">
              <a16:creationId xmlns:a16="http://schemas.microsoft.com/office/drawing/2014/main" id="{00000000-0008-0000-0F00-0000E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5" name="AutoShape 1">
          <a:extLst>
            <a:ext uri="{FF2B5EF4-FFF2-40B4-BE49-F238E27FC236}">
              <a16:creationId xmlns:a16="http://schemas.microsoft.com/office/drawing/2014/main" id="{00000000-0008-0000-0F00-0000E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6" name="AutoShape 1">
          <a:extLst>
            <a:ext uri="{FF2B5EF4-FFF2-40B4-BE49-F238E27FC236}">
              <a16:creationId xmlns:a16="http://schemas.microsoft.com/office/drawing/2014/main" id="{00000000-0008-0000-0F00-0000E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7" name="AutoShape 1">
          <a:extLst>
            <a:ext uri="{FF2B5EF4-FFF2-40B4-BE49-F238E27FC236}">
              <a16:creationId xmlns:a16="http://schemas.microsoft.com/office/drawing/2014/main" id="{00000000-0008-0000-0F00-0000E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8" name="AutoShape 1">
          <a:extLst>
            <a:ext uri="{FF2B5EF4-FFF2-40B4-BE49-F238E27FC236}">
              <a16:creationId xmlns:a16="http://schemas.microsoft.com/office/drawing/2014/main" id="{00000000-0008-0000-0F00-0000E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59" name="AutoShape 1">
          <a:extLst>
            <a:ext uri="{FF2B5EF4-FFF2-40B4-BE49-F238E27FC236}">
              <a16:creationId xmlns:a16="http://schemas.microsoft.com/office/drawing/2014/main" id="{00000000-0008-0000-0F00-0000E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0" name="AutoShape 1">
          <a:extLst>
            <a:ext uri="{FF2B5EF4-FFF2-40B4-BE49-F238E27FC236}">
              <a16:creationId xmlns:a16="http://schemas.microsoft.com/office/drawing/2014/main" id="{00000000-0008-0000-0F00-0000E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1" name="AutoShape 1">
          <a:extLst>
            <a:ext uri="{FF2B5EF4-FFF2-40B4-BE49-F238E27FC236}">
              <a16:creationId xmlns:a16="http://schemas.microsoft.com/office/drawing/2014/main" id="{00000000-0008-0000-0F00-0000E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2" name="AutoShape 1">
          <a:extLst>
            <a:ext uri="{FF2B5EF4-FFF2-40B4-BE49-F238E27FC236}">
              <a16:creationId xmlns:a16="http://schemas.microsoft.com/office/drawing/2014/main" id="{00000000-0008-0000-0F00-0000E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3" name="AutoShape 1">
          <a:extLst>
            <a:ext uri="{FF2B5EF4-FFF2-40B4-BE49-F238E27FC236}">
              <a16:creationId xmlns:a16="http://schemas.microsoft.com/office/drawing/2014/main" id="{00000000-0008-0000-0F00-0000E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4" name="AutoShape 1">
          <a:extLst>
            <a:ext uri="{FF2B5EF4-FFF2-40B4-BE49-F238E27FC236}">
              <a16:creationId xmlns:a16="http://schemas.microsoft.com/office/drawing/2014/main" id="{00000000-0008-0000-0F00-0000E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5" name="AutoShape 1">
          <a:extLst>
            <a:ext uri="{FF2B5EF4-FFF2-40B4-BE49-F238E27FC236}">
              <a16:creationId xmlns:a16="http://schemas.microsoft.com/office/drawing/2014/main" id="{00000000-0008-0000-0F00-0000E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6" name="AutoShape 1">
          <a:extLst>
            <a:ext uri="{FF2B5EF4-FFF2-40B4-BE49-F238E27FC236}">
              <a16:creationId xmlns:a16="http://schemas.microsoft.com/office/drawing/2014/main" id="{00000000-0008-0000-0F00-0000E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7" name="AutoShape 1">
          <a:extLst>
            <a:ext uri="{FF2B5EF4-FFF2-40B4-BE49-F238E27FC236}">
              <a16:creationId xmlns:a16="http://schemas.microsoft.com/office/drawing/2014/main" id="{00000000-0008-0000-0F00-0000E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8" name="AutoShape 1">
          <a:extLst>
            <a:ext uri="{FF2B5EF4-FFF2-40B4-BE49-F238E27FC236}">
              <a16:creationId xmlns:a16="http://schemas.microsoft.com/office/drawing/2014/main" id="{00000000-0008-0000-0F00-0000F0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69" name="AutoShape 1">
          <a:extLst>
            <a:ext uri="{FF2B5EF4-FFF2-40B4-BE49-F238E27FC236}">
              <a16:creationId xmlns:a16="http://schemas.microsoft.com/office/drawing/2014/main" id="{00000000-0008-0000-0F00-0000F1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0" name="AutoShape 1">
          <a:extLst>
            <a:ext uri="{FF2B5EF4-FFF2-40B4-BE49-F238E27FC236}">
              <a16:creationId xmlns:a16="http://schemas.microsoft.com/office/drawing/2014/main" id="{00000000-0008-0000-0F00-0000F2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1" name="AutoShape 1">
          <a:extLst>
            <a:ext uri="{FF2B5EF4-FFF2-40B4-BE49-F238E27FC236}">
              <a16:creationId xmlns:a16="http://schemas.microsoft.com/office/drawing/2014/main" id="{00000000-0008-0000-0F00-0000F3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2" name="AutoShape 1">
          <a:extLst>
            <a:ext uri="{FF2B5EF4-FFF2-40B4-BE49-F238E27FC236}">
              <a16:creationId xmlns:a16="http://schemas.microsoft.com/office/drawing/2014/main" id="{00000000-0008-0000-0F00-0000F4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3" name="AutoShape 1">
          <a:extLst>
            <a:ext uri="{FF2B5EF4-FFF2-40B4-BE49-F238E27FC236}">
              <a16:creationId xmlns:a16="http://schemas.microsoft.com/office/drawing/2014/main" id="{00000000-0008-0000-0F00-0000F5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4" name="AutoShape 1">
          <a:extLst>
            <a:ext uri="{FF2B5EF4-FFF2-40B4-BE49-F238E27FC236}">
              <a16:creationId xmlns:a16="http://schemas.microsoft.com/office/drawing/2014/main" id="{00000000-0008-0000-0F00-0000F6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5" name="AutoShape 1">
          <a:extLst>
            <a:ext uri="{FF2B5EF4-FFF2-40B4-BE49-F238E27FC236}">
              <a16:creationId xmlns:a16="http://schemas.microsoft.com/office/drawing/2014/main" id="{00000000-0008-0000-0F00-0000F7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6" name="AutoShape 1">
          <a:extLst>
            <a:ext uri="{FF2B5EF4-FFF2-40B4-BE49-F238E27FC236}">
              <a16:creationId xmlns:a16="http://schemas.microsoft.com/office/drawing/2014/main" id="{00000000-0008-0000-0F00-0000F8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7" name="AutoShape 1">
          <a:extLst>
            <a:ext uri="{FF2B5EF4-FFF2-40B4-BE49-F238E27FC236}">
              <a16:creationId xmlns:a16="http://schemas.microsoft.com/office/drawing/2014/main" id="{00000000-0008-0000-0F00-0000F9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8" name="AutoShape 1">
          <a:extLst>
            <a:ext uri="{FF2B5EF4-FFF2-40B4-BE49-F238E27FC236}">
              <a16:creationId xmlns:a16="http://schemas.microsoft.com/office/drawing/2014/main" id="{00000000-0008-0000-0F00-0000FA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79" name="AutoShape 1">
          <a:extLst>
            <a:ext uri="{FF2B5EF4-FFF2-40B4-BE49-F238E27FC236}">
              <a16:creationId xmlns:a16="http://schemas.microsoft.com/office/drawing/2014/main" id="{00000000-0008-0000-0F00-0000FB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0" name="AutoShape 1">
          <a:extLst>
            <a:ext uri="{FF2B5EF4-FFF2-40B4-BE49-F238E27FC236}">
              <a16:creationId xmlns:a16="http://schemas.microsoft.com/office/drawing/2014/main" id="{00000000-0008-0000-0F00-0000FC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1" name="AutoShape 1">
          <a:extLst>
            <a:ext uri="{FF2B5EF4-FFF2-40B4-BE49-F238E27FC236}">
              <a16:creationId xmlns:a16="http://schemas.microsoft.com/office/drawing/2014/main" id="{00000000-0008-0000-0F00-0000FD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2" name="AutoShape 1">
          <a:extLst>
            <a:ext uri="{FF2B5EF4-FFF2-40B4-BE49-F238E27FC236}">
              <a16:creationId xmlns:a16="http://schemas.microsoft.com/office/drawing/2014/main" id="{00000000-0008-0000-0F00-0000FE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3" name="AutoShape 1">
          <a:extLst>
            <a:ext uri="{FF2B5EF4-FFF2-40B4-BE49-F238E27FC236}">
              <a16:creationId xmlns:a16="http://schemas.microsoft.com/office/drawing/2014/main" id="{00000000-0008-0000-0F00-0000FF0D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4" name="AutoShape 1">
          <a:extLst>
            <a:ext uri="{FF2B5EF4-FFF2-40B4-BE49-F238E27FC236}">
              <a16:creationId xmlns:a16="http://schemas.microsoft.com/office/drawing/2014/main" id="{00000000-0008-0000-0F00-00000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5" name="AutoShape 1">
          <a:extLst>
            <a:ext uri="{FF2B5EF4-FFF2-40B4-BE49-F238E27FC236}">
              <a16:creationId xmlns:a16="http://schemas.microsoft.com/office/drawing/2014/main" id="{00000000-0008-0000-0F00-00000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6" name="AutoShape 1">
          <a:extLst>
            <a:ext uri="{FF2B5EF4-FFF2-40B4-BE49-F238E27FC236}">
              <a16:creationId xmlns:a16="http://schemas.microsoft.com/office/drawing/2014/main" id="{00000000-0008-0000-0F00-00000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7" name="AutoShape 1">
          <a:extLst>
            <a:ext uri="{FF2B5EF4-FFF2-40B4-BE49-F238E27FC236}">
              <a16:creationId xmlns:a16="http://schemas.microsoft.com/office/drawing/2014/main" id="{00000000-0008-0000-0F00-00000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8" name="AutoShape 1">
          <a:extLst>
            <a:ext uri="{FF2B5EF4-FFF2-40B4-BE49-F238E27FC236}">
              <a16:creationId xmlns:a16="http://schemas.microsoft.com/office/drawing/2014/main" id="{00000000-0008-0000-0F00-00000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89" name="AutoShape 1">
          <a:extLst>
            <a:ext uri="{FF2B5EF4-FFF2-40B4-BE49-F238E27FC236}">
              <a16:creationId xmlns:a16="http://schemas.microsoft.com/office/drawing/2014/main" id="{00000000-0008-0000-0F00-00000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0" name="AutoShape 1">
          <a:extLst>
            <a:ext uri="{FF2B5EF4-FFF2-40B4-BE49-F238E27FC236}">
              <a16:creationId xmlns:a16="http://schemas.microsoft.com/office/drawing/2014/main" id="{00000000-0008-0000-0F00-00000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1" name="AutoShape 1">
          <a:extLst>
            <a:ext uri="{FF2B5EF4-FFF2-40B4-BE49-F238E27FC236}">
              <a16:creationId xmlns:a16="http://schemas.microsoft.com/office/drawing/2014/main" id="{00000000-0008-0000-0F00-00000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2" name="AutoShape 1">
          <a:extLst>
            <a:ext uri="{FF2B5EF4-FFF2-40B4-BE49-F238E27FC236}">
              <a16:creationId xmlns:a16="http://schemas.microsoft.com/office/drawing/2014/main" id="{00000000-0008-0000-0F00-00000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3" name="AutoShape 1">
          <a:extLst>
            <a:ext uri="{FF2B5EF4-FFF2-40B4-BE49-F238E27FC236}">
              <a16:creationId xmlns:a16="http://schemas.microsoft.com/office/drawing/2014/main" id="{00000000-0008-0000-0F00-00000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4" name="AutoShape 1">
          <a:extLst>
            <a:ext uri="{FF2B5EF4-FFF2-40B4-BE49-F238E27FC236}">
              <a16:creationId xmlns:a16="http://schemas.microsoft.com/office/drawing/2014/main" id="{00000000-0008-0000-0F00-00000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5" name="AutoShape 1">
          <a:extLst>
            <a:ext uri="{FF2B5EF4-FFF2-40B4-BE49-F238E27FC236}">
              <a16:creationId xmlns:a16="http://schemas.microsoft.com/office/drawing/2014/main" id="{00000000-0008-0000-0F00-00000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6" name="AutoShape 1">
          <a:extLst>
            <a:ext uri="{FF2B5EF4-FFF2-40B4-BE49-F238E27FC236}">
              <a16:creationId xmlns:a16="http://schemas.microsoft.com/office/drawing/2014/main" id="{00000000-0008-0000-0F00-00000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7" name="AutoShape 1">
          <a:extLst>
            <a:ext uri="{FF2B5EF4-FFF2-40B4-BE49-F238E27FC236}">
              <a16:creationId xmlns:a16="http://schemas.microsoft.com/office/drawing/2014/main" id="{00000000-0008-0000-0F00-00000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8" name="AutoShape 1">
          <a:extLst>
            <a:ext uri="{FF2B5EF4-FFF2-40B4-BE49-F238E27FC236}">
              <a16:creationId xmlns:a16="http://schemas.microsoft.com/office/drawing/2014/main" id="{00000000-0008-0000-0F00-00000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599" name="AutoShape 1">
          <a:extLst>
            <a:ext uri="{FF2B5EF4-FFF2-40B4-BE49-F238E27FC236}">
              <a16:creationId xmlns:a16="http://schemas.microsoft.com/office/drawing/2014/main" id="{00000000-0008-0000-0F00-00000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0" name="AutoShape 1">
          <a:extLst>
            <a:ext uri="{FF2B5EF4-FFF2-40B4-BE49-F238E27FC236}">
              <a16:creationId xmlns:a16="http://schemas.microsoft.com/office/drawing/2014/main" id="{00000000-0008-0000-0F00-00001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1" name="AutoShape 1">
          <a:extLst>
            <a:ext uri="{FF2B5EF4-FFF2-40B4-BE49-F238E27FC236}">
              <a16:creationId xmlns:a16="http://schemas.microsoft.com/office/drawing/2014/main" id="{00000000-0008-0000-0F00-00001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2" name="AutoShape 1">
          <a:extLst>
            <a:ext uri="{FF2B5EF4-FFF2-40B4-BE49-F238E27FC236}">
              <a16:creationId xmlns:a16="http://schemas.microsoft.com/office/drawing/2014/main" id="{00000000-0008-0000-0F00-00001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3" name="AutoShape 1">
          <a:extLst>
            <a:ext uri="{FF2B5EF4-FFF2-40B4-BE49-F238E27FC236}">
              <a16:creationId xmlns:a16="http://schemas.microsoft.com/office/drawing/2014/main" id="{00000000-0008-0000-0F00-00001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4" name="AutoShape 1">
          <a:extLst>
            <a:ext uri="{FF2B5EF4-FFF2-40B4-BE49-F238E27FC236}">
              <a16:creationId xmlns:a16="http://schemas.microsoft.com/office/drawing/2014/main" id="{00000000-0008-0000-0F00-00001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5" name="AutoShape 1">
          <a:extLst>
            <a:ext uri="{FF2B5EF4-FFF2-40B4-BE49-F238E27FC236}">
              <a16:creationId xmlns:a16="http://schemas.microsoft.com/office/drawing/2014/main" id="{00000000-0008-0000-0F00-00001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6" name="AutoShape 1">
          <a:extLst>
            <a:ext uri="{FF2B5EF4-FFF2-40B4-BE49-F238E27FC236}">
              <a16:creationId xmlns:a16="http://schemas.microsoft.com/office/drawing/2014/main" id="{00000000-0008-0000-0F00-00001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7" name="AutoShape 1">
          <a:extLst>
            <a:ext uri="{FF2B5EF4-FFF2-40B4-BE49-F238E27FC236}">
              <a16:creationId xmlns:a16="http://schemas.microsoft.com/office/drawing/2014/main" id="{00000000-0008-0000-0F00-00001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8" name="AutoShape 1">
          <a:extLst>
            <a:ext uri="{FF2B5EF4-FFF2-40B4-BE49-F238E27FC236}">
              <a16:creationId xmlns:a16="http://schemas.microsoft.com/office/drawing/2014/main" id="{00000000-0008-0000-0F00-00001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09" name="AutoShape 1">
          <a:extLst>
            <a:ext uri="{FF2B5EF4-FFF2-40B4-BE49-F238E27FC236}">
              <a16:creationId xmlns:a16="http://schemas.microsoft.com/office/drawing/2014/main" id="{00000000-0008-0000-0F00-00001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0" name="AutoShape 1">
          <a:extLst>
            <a:ext uri="{FF2B5EF4-FFF2-40B4-BE49-F238E27FC236}">
              <a16:creationId xmlns:a16="http://schemas.microsoft.com/office/drawing/2014/main" id="{00000000-0008-0000-0F00-00001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1" name="AutoShape 1">
          <a:extLst>
            <a:ext uri="{FF2B5EF4-FFF2-40B4-BE49-F238E27FC236}">
              <a16:creationId xmlns:a16="http://schemas.microsoft.com/office/drawing/2014/main" id="{00000000-0008-0000-0F00-00001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2" name="AutoShape 1">
          <a:extLst>
            <a:ext uri="{FF2B5EF4-FFF2-40B4-BE49-F238E27FC236}">
              <a16:creationId xmlns:a16="http://schemas.microsoft.com/office/drawing/2014/main" id="{00000000-0008-0000-0F00-00001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3" name="AutoShape 1">
          <a:extLst>
            <a:ext uri="{FF2B5EF4-FFF2-40B4-BE49-F238E27FC236}">
              <a16:creationId xmlns:a16="http://schemas.microsoft.com/office/drawing/2014/main" id="{00000000-0008-0000-0F00-00001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4" name="AutoShape 1">
          <a:extLst>
            <a:ext uri="{FF2B5EF4-FFF2-40B4-BE49-F238E27FC236}">
              <a16:creationId xmlns:a16="http://schemas.microsoft.com/office/drawing/2014/main" id="{00000000-0008-0000-0F00-00001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5" name="AutoShape 1">
          <a:extLst>
            <a:ext uri="{FF2B5EF4-FFF2-40B4-BE49-F238E27FC236}">
              <a16:creationId xmlns:a16="http://schemas.microsoft.com/office/drawing/2014/main" id="{00000000-0008-0000-0F00-00001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6" name="AutoShape 1">
          <a:extLst>
            <a:ext uri="{FF2B5EF4-FFF2-40B4-BE49-F238E27FC236}">
              <a16:creationId xmlns:a16="http://schemas.microsoft.com/office/drawing/2014/main" id="{00000000-0008-0000-0F00-00002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7" name="AutoShape 1">
          <a:extLst>
            <a:ext uri="{FF2B5EF4-FFF2-40B4-BE49-F238E27FC236}">
              <a16:creationId xmlns:a16="http://schemas.microsoft.com/office/drawing/2014/main" id="{00000000-0008-0000-0F00-00002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8" name="AutoShape 1">
          <a:extLst>
            <a:ext uri="{FF2B5EF4-FFF2-40B4-BE49-F238E27FC236}">
              <a16:creationId xmlns:a16="http://schemas.microsoft.com/office/drawing/2014/main" id="{00000000-0008-0000-0F00-00002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19" name="AutoShape 1">
          <a:extLst>
            <a:ext uri="{FF2B5EF4-FFF2-40B4-BE49-F238E27FC236}">
              <a16:creationId xmlns:a16="http://schemas.microsoft.com/office/drawing/2014/main" id="{00000000-0008-0000-0F00-00002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0" name="AutoShape 1">
          <a:extLst>
            <a:ext uri="{FF2B5EF4-FFF2-40B4-BE49-F238E27FC236}">
              <a16:creationId xmlns:a16="http://schemas.microsoft.com/office/drawing/2014/main" id="{00000000-0008-0000-0F00-00002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1" name="AutoShape 1">
          <a:extLst>
            <a:ext uri="{FF2B5EF4-FFF2-40B4-BE49-F238E27FC236}">
              <a16:creationId xmlns:a16="http://schemas.microsoft.com/office/drawing/2014/main" id="{00000000-0008-0000-0F00-00002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2" name="AutoShape 1">
          <a:extLst>
            <a:ext uri="{FF2B5EF4-FFF2-40B4-BE49-F238E27FC236}">
              <a16:creationId xmlns:a16="http://schemas.microsoft.com/office/drawing/2014/main" id="{00000000-0008-0000-0F00-00002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3" name="AutoShape 1">
          <a:extLst>
            <a:ext uri="{FF2B5EF4-FFF2-40B4-BE49-F238E27FC236}">
              <a16:creationId xmlns:a16="http://schemas.microsoft.com/office/drawing/2014/main" id="{00000000-0008-0000-0F00-00002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4" name="AutoShape 1">
          <a:extLst>
            <a:ext uri="{FF2B5EF4-FFF2-40B4-BE49-F238E27FC236}">
              <a16:creationId xmlns:a16="http://schemas.microsoft.com/office/drawing/2014/main" id="{00000000-0008-0000-0F00-00002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5" name="AutoShape 1">
          <a:extLst>
            <a:ext uri="{FF2B5EF4-FFF2-40B4-BE49-F238E27FC236}">
              <a16:creationId xmlns:a16="http://schemas.microsoft.com/office/drawing/2014/main" id="{00000000-0008-0000-0F00-00002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6" name="AutoShape 1">
          <a:extLst>
            <a:ext uri="{FF2B5EF4-FFF2-40B4-BE49-F238E27FC236}">
              <a16:creationId xmlns:a16="http://schemas.microsoft.com/office/drawing/2014/main" id="{00000000-0008-0000-0F00-00002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7" name="AutoShape 1">
          <a:extLst>
            <a:ext uri="{FF2B5EF4-FFF2-40B4-BE49-F238E27FC236}">
              <a16:creationId xmlns:a16="http://schemas.microsoft.com/office/drawing/2014/main" id="{00000000-0008-0000-0F00-00002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8" name="AutoShape 1">
          <a:extLst>
            <a:ext uri="{FF2B5EF4-FFF2-40B4-BE49-F238E27FC236}">
              <a16:creationId xmlns:a16="http://schemas.microsoft.com/office/drawing/2014/main" id="{00000000-0008-0000-0F00-00002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29" name="AutoShape 1">
          <a:extLst>
            <a:ext uri="{FF2B5EF4-FFF2-40B4-BE49-F238E27FC236}">
              <a16:creationId xmlns:a16="http://schemas.microsoft.com/office/drawing/2014/main" id="{00000000-0008-0000-0F00-00002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0" name="AutoShape 1">
          <a:extLst>
            <a:ext uri="{FF2B5EF4-FFF2-40B4-BE49-F238E27FC236}">
              <a16:creationId xmlns:a16="http://schemas.microsoft.com/office/drawing/2014/main" id="{00000000-0008-0000-0F00-00002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1" name="AutoShape 1">
          <a:extLst>
            <a:ext uri="{FF2B5EF4-FFF2-40B4-BE49-F238E27FC236}">
              <a16:creationId xmlns:a16="http://schemas.microsoft.com/office/drawing/2014/main" id="{00000000-0008-0000-0F00-00002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2" name="AutoShape 1">
          <a:extLst>
            <a:ext uri="{FF2B5EF4-FFF2-40B4-BE49-F238E27FC236}">
              <a16:creationId xmlns:a16="http://schemas.microsoft.com/office/drawing/2014/main" id="{00000000-0008-0000-0F00-00003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3" name="AutoShape 1">
          <a:extLst>
            <a:ext uri="{FF2B5EF4-FFF2-40B4-BE49-F238E27FC236}">
              <a16:creationId xmlns:a16="http://schemas.microsoft.com/office/drawing/2014/main" id="{00000000-0008-0000-0F00-00003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4" name="AutoShape 1">
          <a:extLst>
            <a:ext uri="{FF2B5EF4-FFF2-40B4-BE49-F238E27FC236}">
              <a16:creationId xmlns:a16="http://schemas.microsoft.com/office/drawing/2014/main" id="{00000000-0008-0000-0F00-00003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5" name="AutoShape 1">
          <a:extLst>
            <a:ext uri="{FF2B5EF4-FFF2-40B4-BE49-F238E27FC236}">
              <a16:creationId xmlns:a16="http://schemas.microsoft.com/office/drawing/2014/main" id="{00000000-0008-0000-0F00-00003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6" name="AutoShape 1">
          <a:extLst>
            <a:ext uri="{FF2B5EF4-FFF2-40B4-BE49-F238E27FC236}">
              <a16:creationId xmlns:a16="http://schemas.microsoft.com/office/drawing/2014/main" id="{00000000-0008-0000-0F00-00003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7" name="AutoShape 1">
          <a:extLst>
            <a:ext uri="{FF2B5EF4-FFF2-40B4-BE49-F238E27FC236}">
              <a16:creationId xmlns:a16="http://schemas.microsoft.com/office/drawing/2014/main" id="{00000000-0008-0000-0F00-00003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8" name="AutoShape 1">
          <a:extLst>
            <a:ext uri="{FF2B5EF4-FFF2-40B4-BE49-F238E27FC236}">
              <a16:creationId xmlns:a16="http://schemas.microsoft.com/office/drawing/2014/main" id="{00000000-0008-0000-0F00-00003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39" name="AutoShape 1">
          <a:extLst>
            <a:ext uri="{FF2B5EF4-FFF2-40B4-BE49-F238E27FC236}">
              <a16:creationId xmlns:a16="http://schemas.microsoft.com/office/drawing/2014/main" id="{00000000-0008-0000-0F00-00003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0" name="AutoShape 1">
          <a:extLst>
            <a:ext uri="{FF2B5EF4-FFF2-40B4-BE49-F238E27FC236}">
              <a16:creationId xmlns:a16="http://schemas.microsoft.com/office/drawing/2014/main" id="{00000000-0008-0000-0F00-00003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1" name="AutoShape 1">
          <a:extLst>
            <a:ext uri="{FF2B5EF4-FFF2-40B4-BE49-F238E27FC236}">
              <a16:creationId xmlns:a16="http://schemas.microsoft.com/office/drawing/2014/main" id="{00000000-0008-0000-0F00-00003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2" name="AutoShape 1">
          <a:extLst>
            <a:ext uri="{FF2B5EF4-FFF2-40B4-BE49-F238E27FC236}">
              <a16:creationId xmlns:a16="http://schemas.microsoft.com/office/drawing/2014/main" id="{00000000-0008-0000-0F00-00003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3" name="AutoShape 1">
          <a:extLst>
            <a:ext uri="{FF2B5EF4-FFF2-40B4-BE49-F238E27FC236}">
              <a16:creationId xmlns:a16="http://schemas.microsoft.com/office/drawing/2014/main" id="{00000000-0008-0000-0F00-00003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4" name="AutoShape 1">
          <a:extLst>
            <a:ext uri="{FF2B5EF4-FFF2-40B4-BE49-F238E27FC236}">
              <a16:creationId xmlns:a16="http://schemas.microsoft.com/office/drawing/2014/main" id="{00000000-0008-0000-0F00-00003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5" name="AutoShape 1">
          <a:extLst>
            <a:ext uri="{FF2B5EF4-FFF2-40B4-BE49-F238E27FC236}">
              <a16:creationId xmlns:a16="http://schemas.microsoft.com/office/drawing/2014/main" id="{00000000-0008-0000-0F00-00003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6" name="AutoShape 1">
          <a:extLst>
            <a:ext uri="{FF2B5EF4-FFF2-40B4-BE49-F238E27FC236}">
              <a16:creationId xmlns:a16="http://schemas.microsoft.com/office/drawing/2014/main" id="{00000000-0008-0000-0F00-00003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7" name="AutoShape 1">
          <a:extLst>
            <a:ext uri="{FF2B5EF4-FFF2-40B4-BE49-F238E27FC236}">
              <a16:creationId xmlns:a16="http://schemas.microsoft.com/office/drawing/2014/main" id="{00000000-0008-0000-0F00-00003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8" name="AutoShape 1">
          <a:extLst>
            <a:ext uri="{FF2B5EF4-FFF2-40B4-BE49-F238E27FC236}">
              <a16:creationId xmlns:a16="http://schemas.microsoft.com/office/drawing/2014/main" id="{00000000-0008-0000-0F00-00004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49" name="AutoShape 1">
          <a:extLst>
            <a:ext uri="{FF2B5EF4-FFF2-40B4-BE49-F238E27FC236}">
              <a16:creationId xmlns:a16="http://schemas.microsoft.com/office/drawing/2014/main" id="{00000000-0008-0000-0F00-00004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0" name="AutoShape 1">
          <a:extLst>
            <a:ext uri="{FF2B5EF4-FFF2-40B4-BE49-F238E27FC236}">
              <a16:creationId xmlns:a16="http://schemas.microsoft.com/office/drawing/2014/main" id="{00000000-0008-0000-0F00-00004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1" name="AutoShape 1">
          <a:extLst>
            <a:ext uri="{FF2B5EF4-FFF2-40B4-BE49-F238E27FC236}">
              <a16:creationId xmlns:a16="http://schemas.microsoft.com/office/drawing/2014/main" id="{00000000-0008-0000-0F00-00004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2" name="AutoShape 1">
          <a:extLst>
            <a:ext uri="{FF2B5EF4-FFF2-40B4-BE49-F238E27FC236}">
              <a16:creationId xmlns:a16="http://schemas.microsoft.com/office/drawing/2014/main" id="{00000000-0008-0000-0F00-00004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3" name="AutoShape 1">
          <a:extLst>
            <a:ext uri="{FF2B5EF4-FFF2-40B4-BE49-F238E27FC236}">
              <a16:creationId xmlns:a16="http://schemas.microsoft.com/office/drawing/2014/main" id="{00000000-0008-0000-0F00-00004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4" name="AutoShape 1">
          <a:extLst>
            <a:ext uri="{FF2B5EF4-FFF2-40B4-BE49-F238E27FC236}">
              <a16:creationId xmlns:a16="http://schemas.microsoft.com/office/drawing/2014/main" id="{00000000-0008-0000-0F00-00004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5" name="AutoShape 1">
          <a:extLst>
            <a:ext uri="{FF2B5EF4-FFF2-40B4-BE49-F238E27FC236}">
              <a16:creationId xmlns:a16="http://schemas.microsoft.com/office/drawing/2014/main" id="{00000000-0008-0000-0F00-00004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6" name="AutoShape 1">
          <a:extLst>
            <a:ext uri="{FF2B5EF4-FFF2-40B4-BE49-F238E27FC236}">
              <a16:creationId xmlns:a16="http://schemas.microsoft.com/office/drawing/2014/main" id="{00000000-0008-0000-0F00-00004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7" name="AutoShape 1">
          <a:extLst>
            <a:ext uri="{FF2B5EF4-FFF2-40B4-BE49-F238E27FC236}">
              <a16:creationId xmlns:a16="http://schemas.microsoft.com/office/drawing/2014/main" id="{00000000-0008-0000-0F00-00004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8" name="AutoShape 1">
          <a:extLst>
            <a:ext uri="{FF2B5EF4-FFF2-40B4-BE49-F238E27FC236}">
              <a16:creationId xmlns:a16="http://schemas.microsoft.com/office/drawing/2014/main" id="{00000000-0008-0000-0F00-00004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59" name="AutoShape 1">
          <a:extLst>
            <a:ext uri="{FF2B5EF4-FFF2-40B4-BE49-F238E27FC236}">
              <a16:creationId xmlns:a16="http://schemas.microsoft.com/office/drawing/2014/main" id="{00000000-0008-0000-0F00-00004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0" name="AutoShape 1">
          <a:extLst>
            <a:ext uri="{FF2B5EF4-FFF2-40B4-BE49-F238E27FC236}">
              <a16:creationId xmlns:a16="http://schemas.microsoft.com/office/drawing/2014/main" id="{00000000-0008-0000-0F00-00004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1" name="AutoShape 1">
          <a:extLst>
            <a:ext uri="{FF2B5EF4-FFF2-40B4-BE49-F238E27FC236}">
              <a16:creationId xmlns:a16="http://schemas.microsoft.com/office/drawing/2014/main" id="{00000000-0008-0000-0F00-00004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2" name="AutoShape 1">
          <a:extLst>
            <a:ext uri="{FF2B5EF4-FFF2-40B4-BE49-F238E27FC236}">
              <a16:creationId xmlns:a16="http://schemas.microsoft.com/office/drawing/2014/main" id="{00000000-0008-0000-0F00-00004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3" name="AutoShape 1">
          <a:extLst>
            <a:ext uri="{FF2B5EF4-FFF2-40B4-BE49-F238E27FC236}">
              <a16:creationId xmlns:a16="http://schemas.microsoft.com/office/drawing/2014/main" id="{00000000-0008-0000-0F00-00004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4" name="AutoShape 1">
          <a:extLst>
            <a:ext uri="{FF2B5EF4-FFF2-40B4-BE49-F238E27FC236}">
              <a16:creationId xmlns:a16="http://schemas.microsoft.com/office/drawing/2014/main" id="{00000000-0008-0000-0F00-00005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5" name="AutoShape 1">
          <a:extLst>
            <a:ext uri="{FF2B5EF4-FFF2-40B4-BE49-F238E27FC236}">
              <a16:creationId xmlns:a16="http://schemas.microsoft.com/office/drawing/2014/main" id="{00000000-0008-0000-0F00-00005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6" name="AutoShape 1">
          <a:extLst>
            <a:ext uri="{FF2B5EF4-FFF2-40B4-BE49-F238E27FC236}">
              <a16:creationId xmlns:a16="http://schemas.microsoft.com/office/drawing/2014/main" id="{00000000-0008-0000-0F00-00005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7" name="AutoShape 1">
          <a:extLst>
            <a:ext uri="{FF2B5EF4-FFF2-40B4-BE49-F238E27FC236}">
              <a16:creationId xmlns:a16="http://schemas.microsoft.com/office/drawing/2014/main" id="{00000000-0008-0000-0F00-00005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8" name="AutoShape 1">
          <a:extLst>
            <a:ext uri="{FF2B5EF4-FFF2-40B4-BE49-F238E27FC236}">
              <a16:creationId xmlns:a16="http://schemas.microsoft.com/office/drawing/2014/main" id="{00000000-0008-0000-0F00-00005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69" name="AutoShape 1">
          <a:extLst>
            <a:ext uri="{FF2B5EF4-FFF2-40B4-BE49-F238E27FC236}">
              <a16:creationId xmlns:a16="http://schemas.microsoft.com/office/drawing/2014/main" id="{00000000-0008-0000-0F00-00005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0" name="AutoShape 1">
          <a:extLst>
            <a:ext uri="{FF2B5EF4-FFF2-40B4-BE49-F238E27FC236}">
              <a16:creationId xmlns:a16="http://schemas.microsoft.com/office/drawing/2014/main" id="{00000000-0008-0000-0F00-00005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1" name="AutoShape 1">
          <a:extLst>
            <a:ext uri="{FF2B5EF4-FFF2-40B4-BE49-F238E27FC236}">
              <a16:creationId xmlns:a16="http://schemas.microsoft.com/office/drawing/2014/main" id="{00000000-0008-0000-0F00-00005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2" name="AutoShape 1">
          <a:extLst>
            <a:ext uri="{FF2B5EF4-FFF2-40B4-BE49-F238E27FC236}">
              <a16:creationId xmlns:a16="http://schemas.microsoft.com/office/drawing/2014/main" id="{00000000-0008-0000-0F00-00005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3" name="AutoShape 1">
          <a:extLst>
            <a:ext uri="{FF2B5EF4-FFF2-40B4-BE49-F238E27FC236}">
              <a16:creationId xmlns:a16="http://schemas.microsoft.com/office/drawing/2014/main" id="{00000000-0008-0000-0F00-00005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4" name="AutoShape 1">
          <a:extLst>
            <a:ext uri="{FF2B5EF4-FFF2-40B4-BE49-F238E27FC236}">
              <a16:creationId xmlns:a16="http://schemas.microsoft.com/office/drawing/2014/main" id="{00000000-0008-0000-0F00-00005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5" name="AutoShape 1">
          <a:extLst>
            <a:ext uri="{FF2B5EF4-FFF2-40B4-BE49-F238E27FC236}">
              <a16:creationId xmlns:a16="http://schemas.microsoft.com/office/drawing/2014/main" id="{00000000-0008-0000-0F00-00005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6" name="AutoShape 1">
          <a:extLst>
            <a:ext uri="{FF2B5EF4-FFF2-40B4-BE49-F238E27FC236}">
              <a16:creationId xmlns:a16="http://schemas.microsoft.com/office/drawing/2014/main" id="{00000000-0008-0000-0F00-00005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7" name="AutoShape 1">
          <a:extLst>
            <a:ext uri="{FF2B5EF4-FFF2-40B4-BE49-F238E27FC236}">
              <a16:creationId xmlns:a16="http://schemas.microsoft.com/office/drawing/2014/main" id="{00000000-0008-0000-0F00-00005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8" name="AutoShape 1">
          <a:extLst>
            <a:ext uri="{FF2B5EF4-FFF2-40B4-BE49-F238E27FC236}">
              <a16:creationId xmlns:a16="http://schemas.microsoft.com/office/drawing/2014/main" id="{00000000-0008-0000-0F00-00005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79" name="AutoShape 1">
          <a:extLst>
            <a:ext uri="{FF2B5EF4-FFF2-40B4-BE49-F238E27FC236}">
              <a16:creationId xmlns:a16="http://schemas.microsoft.com/office/drawing/2014/main" id="{00000000-0008-0000-0F00-00005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0" name="AutoShape 1">
          <a:extLst>
            <a:ext uri="{FF2B5EF4-FFF2-40B4-BE49-F238E27FC236}">
              <a16:creationId xmlns:a16="http://schemas.microsoft.com/office/drawing/2014/main" id="{00000000-0008-0000-0F00-00006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1" name="AutoShape 1">
          <a:extLst>
            <a:ext uri="{FF2B5EF4-FFF2-40B4-BE49-F238E27FC236}">
              <a16:creationId xmlns:a16="http://schemas.microsoft.com/office/drawing/2014/main" id="{00000000-0008-0000-0F00-00006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2" name="AutoShape 1">
          <a:extLst>
            <a:ext uri="{FF2B5EF4-FFF2-40B4-BE49-F238E27FC236}">
              <a16:creationId xmlns:a16="http://schemas.microsoft.com/office/drawing/2014/main" id="{00000000-0008-0000-0F00-00006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3" name="AutoShape 1">
          <a:extLst>
            <a:ext uri="{FF2B5EF4-FFF2-40B4-BE49-F238E27FC236}">
              <a16:creationId xmlns:a16="http://schemas.microsoft.com/office/drawing/2014/main" id="{00000000-0008-0000-0F00-00006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4" name="AutoShape 1">
          <a:extLst>
            <a:ext uri="{FF2B5EF4-FFF2-40B4-BE49-F238E27FC236}">
              <a16:creationId xmlns:a16="http://schemas.microsoft.com/office/drawing/2014/main" id="{00000000-0008-0000-0F00-00006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5" name="AutoShape 1">
          <a:extLst>
            <a:ext uri="{FF2B5EF4-FFF2-40B4-BE49-F238E27FC236}">
              <a16:creationId xmlns:a16="http://schemas.microsoft.com/office/drawing/2014/main" id="{00000000-0008-0000-0F00-00006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6" name="AutoShape 1">
          <a:extLst>
            <a:ext uri="{FF2B5EF4-FFF2-40B4-BE49-F238E27FC236}">
              <a16:creationId xmlns:a16="http://schemas.microsoft.com/office/drawing/2014/main" id="{00000000-0008-0000-0F00-00006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7" name="AutoShape 1">
          <a:extLst>
            <a:ext uri="{FF2B5EF4-FFF2-40B4-BE49-F238E27FC236}">
              <a16:creationId xmlns:a16="http://schemas.microsoft.com/office/drawing/2014/main" id="{00000000-0008-0000-0F00-00006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8" name="AutoShape 1">
          <a:extLst>
            <a:ext uri="{FF2B5EF4-FFF2-40B4-BE49-F238E27FC236}">
              <a16:creationId xmlns:a16="http://schemas.microsoft.com/office/drawing/2014/main" id="{00000000-0008-0000-0F00-00006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89" name="AutoShape 1">
          <a:extLst>
            <a:ext uri="{FF2B5EF4-FFF2-40B4-BE49-F238E27FC236}">
              <a16:creationId xmlns:a16="http://schemas.microsoft.com/office/drawing/2014/main" id="{00000000-0008-0000-0F00-00006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0" name="AutoShape 1">
          <a:extLst>
            <a:ext uri="{FF2B5EF4-FFF2-40B4-BE49-F238E27FC236}">
              <a16:creationId xmlns:a16="http://schemas.microsoft.com/office/drawing/2014/main" id="{00000000-0008-0000-0F00-00006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1" name="AutoShape 1">
          <a:extLst>
            <a:ext uri="{FF2B5EF4-FFF2-40B4-BE49-F238E27FC236}">
              <a16:creationId xmlns:a16="http://schemas.microsoft.com/office/drawing/2014/main" id="{00000000-0008-0000-0F00-00006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2" name="AutoShape 1">
          <a:extLst>
            <a:ext uri="{FF2B5EF4-FFF2-40B4-BE49-F238E27FC236}">
              <a16:creationId xmlns:a16="http://schemas.microsoft.com/office/drawing/2014/main" id="{00000000-0008-0000-0F00-00006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3" name="AutoShape 1">
          <a:extLst>
            <a:ext uri="{FF2B5EF4-FFF2-40B4-BE49-F238E27FC236}">
              <a16:creationId xmlns:a16="http://schemas.microsoft.com/office/drawing/2014/main" id="{00000000-0008-0000-0F00-00006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4" name="AutoShape 1">
          <a:extLst>
            <a:ext uri="{FF2B5EF4-FFF2-40B4-BE49-F238E27FC236}">
              <a16:creationId xmlns:a16="http://schemas.microsoft.com/office/drawing/2014/main" id="{00000000-0008-0000-0F00-00006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5" name="AutoShape 1">
          <a:extLst>
            <a:ext uri="{FF2B5EF4-FFF2-40B4-BE49-F238E27FC236}">
              <a16:creationId xmlns:a16="http://schemas.microsoft.com/office/drawing/2014/main" id="{00000000-0008-0000-0F00-00006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6" name="AutoShape 1">
          <a:extLst>
            <a:ext uri="{FF2B5EF4-FFF2-40B4-BE49-F238E27FC236}">
              <a16:creationId xmlns:a16="http://schemas.microsoft.com/office/drawing/2014/main" id="{00000000-0008-0000-0F00-00007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7" name="AutoShape 1">
          <a:extLst>
            <a:ext uri="{FF2B5EF4-FFF2-40B4-BE49-F238E27FC236}">
              <a16:creationId xmlns:a16="http://schemas.microsoft.com/office/drawing/2014/main" id="{00000000-0008-0000-0F00-00007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8" name="AutoShape 1">
          <a:extLst>
            <a:ext uri="{FF2B5EF4-FFF2-40B4-BE49-F238E27FC236}">
              <a16:creationId xmlns:a16="http://schemas.microsoft.com/office/drawing/2014/main" id="{00000000-0008-0000-0F00-00007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699" name="AutoShape 1">
          <a:extLst>
            <a:ext uri="{FF2B5EF4-FFF2-40B4-BE49-F238E27FC236}">
              <a16:creationId xmlns:a16="http://schemas.microsoft.com/office/drawing/2014/main" id="{00000000-0008-0000-0F00-00007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0" name="AutoShape 1">
          <a:extLst>
            <a:ext uri="{FF2B5EF4-FFF2-40B4-BE49-F238E27FC236}">
              <a16:creationId xmlns:a16="http://schemas.microsoft.com/office/drawing/2014/main" id="{00000000-0008-0000-0F00-00007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1" name="AutoShape 1">
          <a:extLst>
            <a:ext uri="{FF2B5EF4-FFF2-40B4-BE49-F238E27FC236}">
              <a16:creationId xmlns:a16="http://schemas.microsoft.com/office/drawing/2014/main" id="{00000000-0008-0000-0F00-00007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2" name="AutoShape 1">
          <a:extLst>
            <a:ext uri="{FF2B5EF4-FFF2-40B4-BE49-F238E27FC236}">
              <a16:creationId xmlns:a16="http://schemas.microsoft.com/office/drawing/2014/main" id="{00000000-0008-0000-0F00-00007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3" name="AutoShape 1">
          <a:extLst>
            <a:ext uri="{FF2B5EF4-FFF2-40B4-BE49-F238E27FC236}">
              <a16:creationId xmlns:a16="http://schemas.microsoft.com/office/drawing/2014/main" id="{00000000-0008-0000-0F00-00007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4" name="AutoShape 1">
          <a:extLst>
            <a:ext uri="{FF2B5EF4-FFF2-40B4-BE49-F238E27FC236}">
              <a16:creationId xmlns:a16="http://schemas.microsoft.com/office/drawing/2014/main" id="{00000000-0008-0000-0F00-00007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5" name="AutoShape 1">
          <a:extLst>
            <a:ext uri="{FF2B5EF4-FFF2-40B4-BE49-F238E27FC236}">
              <a16:creationId xmlns:a16="http://schemas.microsoft.com/office/drawing/2014/main" id="{00000000-0008-0000-0F00-00007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6" name="AutoShape 1">
          <a:extLst>
            <a:ext uri="{FF2B5EF4-FFF2-40B4-BE49-F238E27FC236}">
              <a16:creationId xmlns:a16="http://schemas.microsoft.com/office/drawing/2014/main" id="{00000000-0008-0000-0F00-00007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7" name="AutoShape 1">
          <a:extLst>
            <a:ext uri="{FF2B5EF4-FFF2-40B4-BE49-F238E27FC236}">
              <a16:creationId xmlns:a16="http://schemas.microsoft.com/office/drawing/2014/main" id="{00000000-0008-0000-0F00-00007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8" name="AutoShape 1">
          <a:extLst>
            <a:ext uri="{FF2B5EF4-FFF2-40B4-BE49-F238E27FC236}">
              <a16:creationId xmlns:a16="http://schemas.microsoft.com/office/drawing/2014/main" id="{00000000-0008-0000-0F00-00007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09" name="AutoShape 1">
          <a:extLst>
            <a:ext uri="{FF2B5EF4-FFF2-40B4-BE49-F238E27FC236}">
              <a16:creationId xmlns:a16="http://schemas.microsoft.com/office/drawing/2014/main" id="{00000000-0008-0000-0F00-00007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0" name="AutoShape 1">
          <a:extLst>
            <a:ext uri="{FF2B5EF4-FFF2-40B4-BE49-F238E27FC236}">
              <a16:creationId xmlns:a16="http://schemas.microsoft.com/office/drawing/2014/main" id="{00000000-0008-0000-0F00-00007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1" name="AutoShape 1">
          <a:extLst>
            <a:ext uri="{FF2B5EF4-FFF2-40B4-BE49-F238E27FC236}">
              <a16:creationId xmlns:a16="http://schemas.microsoft.com/office/drawing/2014/main" id="{00000000-0008-0000-0F00-00007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2" name="AutoShape 1">
          <a:extLst>
            <a:ext uri="{FF2B5EF4-FFF2-40B4-BE49-F238E27FC236}">
              <a16:creationId xmlns:a16="http://schemas.microsoft.com/office/drawing/2014/main" id="{00000000-0008-0000-0F00-00008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3" name="AutoShape 1">
          <a:extLst>
            <a:ext uri="{FF2B5EF4-FFF2-40B4-BE49-F238E27FC236}">
              <a16:creationId xmlns:a16="http://schemas.microsoft.com/office/drawing/2014/main" id="{00000000-0008-0000-0F00-00008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4" name="AutoShape 1">
          <a:extLst>
            <a:ext uri="{FF2B5EF4-FFF2-40B4-BE49-F238E27FC236}">
              <a16:creationId xmlns:a16="http://schemas.microsoft.com/office/drawing/2014/main" id="{00000000-0008-0000-0F00-00008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5" name="AutoShape 1">
          <a:extLst>
            <a:ext uri="{FF2B5EF4-FFF2-40B4-BE49-F238E27FC236}">
              <a16:creationId xmlns:a16="http://schemas.microsoft.com/office/drawing/2014/main" id="{00000000-0008-0000-0F00-000083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6" name="AutoShape 1">
          <a:extLst>
            <a:ext uri="{FF2B5EF4-FFF2-40B4-BE49-F238E27FC236}">
              <a16:creationId xmlns:a16="http://schemas.microsoft.com/office/drawing/2014/main" id="{00000000-0008-0000-0F00-000084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7" name="AutoShape 1">
          <a:extLst>
            <a:ext uri="{FF2B5EF4-FFF2-40B4-BE49-F238E27FC236}">
              <a16:creationId xmlns:a16="http://schemas.microsoft.com/office/drawing/2014/main" id="{00000000-0008-0000-0F00-000085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8" name="AutoShape 1">
          <a:extLst>
            <a:ext uri="{FF2B5EF4-FFF2-40B4-BE49-F238E27FC236}">
              <a16:creationId xmlns:a16="http://schemas.microsoft.com/office/drawing/2014/main" id="{00000000-0008-0000-0F00-000086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19" name="AutoShape 1">
          <a:extLst>
            <a:ext uri="{FF2B5EF4-FFF2-40B4-BE49-F238E27FC236}">
              <a16:creationId xmlns:a16="http://schemas.microsoft.com/office/drawing/2014/main" id="{00000000-0008-0000-0F00-000087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0" name="AutoShape 1">
          <a:extLst>
            <a:ext uri="{FF2B5EF4-FFF2-40B4-BE49-F238E27FC236}">
              <a16:creationId xmlns:a16="http://schemas.microsoft.com/office/drawing/2014/main" id="{00000000-0008-0000-0F00-000088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1" name="AutoShape 1">
          <a:extLst>
            <a:ext uri="{FF2B5EF4-FFF2-40B4-BE49-F238E27FC236}">
              <a16:creationId xmlns:a16="http://schemas.microsoft.com/office/drawing/2014/main" id="{00000000-0008-0000-0F00-000089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2" name="AutoShape 1">
          <a:extLst>
            <a:ext uri="{FF2B5EF4-FFF2-40B4-BE49-F238E27FC236}">
              <a16:creationId xmlns:a16="http://schemas.microsoft.com/office/drawing/2014/main" id="{00000000-0008-0000-0F00-00008A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3" name="AutoShape 1">
          <a:extLst>
            <a:ext uri="{FF2B5EF4-FFF2-40B4-BE49-F238E27FC236}">
              <a16:creationId xmlns:a16="http://schemas.microsoft.com/office/drawing/2014/main" id="{00000000-0008-0000-0F00-00008B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4" name="AutoShape 1">
          <a:extLst>
            <a:ext uri="{FF2B5EF4-FFF2-40B4-BE49-F238E27FC236}">
              <a16:creationId xmlns:a16="http://schemas.microsoft.com/office/drawing/2014/main" id="{00000000-0008-0000-0F00-00008C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5" name="AutoShape 1">
          <a:extLst>
            <a:ext uri="{FF2B5EF4-FFF2-40B4-BE49-F238E27FC236}">
              <a16:creationId xmlns:a16="http://schemas.microsoft.com/office/drawing/2014/main" id="{00000000-0008-0000-0F00-00008D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6" name="AutoShape 1">
          <a:extLst>
            <a:ext uri="{FF2B5EF4-FFF2-40B4-BE49-F238E27FC236}">
              <a16:creationId xmlns:a16="http://schemas.microsoft.com/office/drawing/2014/main" id="{00000000-0008-0000-0F00-00008E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7" name="AutoShape 1">
          <a:extLst>
            <a:ext uri="{FF2B5EF4-FFF2-40B4-BE49-F238E27FC236}">
              <a16:creationId xmlns:a16="http://schemas.microsoft.com/office/drawing/2014/main" id="{00000000-0008-0000-0F00-00008F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8" name="AutoShape 1">
          <a:extLst>
            <a:ext uri="{FF2B5EF4-FFF2-40B4-BE49-F238E27FC236}">
              <a16:creationId xmlns:a16="http://schemas.microsoft.com/office/drawing/2014/main" id="{00000000-0008-0000-0F00-000090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29" name="AutoShape 1">
          <a:extLst>
            <a:ext uri="{FF2B5EF4-FFF2-40B4-BE49-F238E27FC236}">
              <a16:creationId xmlns:a16="http://schemas.microsoft.com/office/drawing/2014/main" id="{00000000-0008-0000-0F00-000091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0" name="AutoShape 1">
          <a:extLst>
            <a:ext uri="{FF2B5EF4-FFF2-40B4-BE49-F238E27FC236}">
              <a16:creationId xmlns:a16="http://schemas.microsoft.com/office/drawing/2014/main" id="{00000000-0008-0000-0F00-0000920E0000}"/>
            </a:ext>
          </a:extLst>
        </xdr:cNvPr>
        <xdr:cNvSpPr>
          <a:spLocks noChangeAspect="1" noChangeArrowheads="1"/>
        </xdr:cNvSpPr>
      </xdr:nvSpPr>
      <xdr:spPr bwMode="auto">
        <a:xfrm>
          <a:off x="977900" y="6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1" name="AutoShape 1">
          <a:extLst>
            <a:ext uri="{FF2B5EF4-FFF2-40B4-BE49-F238E27FC236}">
              <a16:creationId xmlns:a16="http://schemas.microsoft.com/office/drawing/2014/main" id="{00000000-0008-0000-0F00-000093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2" name="AutoShape 1">
          <a:extLst>
            <a:ext uri="{FF2B5EF4-FFF2-40B4-BE49-F238E27FC236}">
              <a16:creationId xmlns:a16="http://schemas.microsoft.com/office/drawing/2014/main" id="{00000000-0008-0000-0F00-000094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3" name="AutoShape 1">
          <a:extLst>
            <a:ext uri="{FF2B5EF4-FFF2-40B4-BE49-F238E27FC236}">
              <a16:creationId xmlns:a16="http://schemas.microsoft.com/office/drawing/2014/main" id="{00000000-0008-0000-0F00-000095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4" name="AutoShape 1">
          <a:extLst>
            <a:ext uri="{FF2B5EF4-FFF2-40B4-BE49-F238E27FC236}">
              <a16:creationId xmlns:a16="http://schemas.microsoft.com/office/drawing/2014/main" id="{00000000-0008-0000-0F00-000096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5" name="AutoShape 1">
          <a:extLst>
            <a:ext uri="{FF2B5EF4-FFF2-40B4-BE49-F238E27FC236}">
              <a16:creationId xmlns:a16="http://schemas.microsoft.com/office/drawing/2014/main" id="{00000000-0008-0000-0F00-000097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6" name="AutoShape 1">
          <a:extLst>
            <a:ext uri="{FF2B5EF4-FFF2-40B4-BE49-F238E27FC236}">
              <a16:creationId xmlns:a16="http://schemas.microsoft.com/office/drawing/2014/main" id="{00000000-0008-0000-0F00-000098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7" name="AutoShape 1">
          <a:extLst>
            <a:ext uri="{FF2B5EF4-FFF2-40B4-BE49-F238E27FC236}">
              <a16:creationId xmlns:a16="http://schemas.microsoft.com/office/drawing/2014/main" id="{00000000-0008-0000-0F00-000099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8" name="AutoShape 1">
          <a:extLst>
            <a:ext uri="{FF2B5EF4-FFF2-40B4-BE49-F238E27FC236}">
              <a16:creationId xmlns:a16="http://schemas.microsoft.com/office/drawing/2014/main" id="{00000000-0008-0000-0F00-00009A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39" name="AutoShape 1">
          <a:extLst>
            <a:ext uri="{FF2B5EF4-FFF2-40B4-BE49-F238E27FC236}">
              <a16:creationId xmlns:a16="http://schemas.microsoft.com/office/drawing/2014/main" id="{00000000-0008-0000-0F00-00009B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0" name="AutoShape 1">
          <a:extLst>
            <a:ext uri="{FF2B5EF4-FFF2-40B4-BE49-F238E27FC236}">
              <a16:creationId xmlns:a16="http://schemas.microsoft.com/office/drawing/2014/main" id="{00000000-0008-0000-0F00-00009C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1" name="AutoShape 1">
          <a:extLst>
            <a:ext uri="{FF2B5EF4-FFF2-40B4-BE49-F238E27FC236}">
              <a16:creationId xmlns:a16="http://schemas.microsoft.com/office/drawing/2014/main" id="{00000000-0008-0000-0F00-00009D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2" name="AutoShape 1">
          <a:extLst>
            <a:ext uri="{FF2B5EF4-FFF2-40B4-BE49-F238E27FC236}">
              <a16:creationId xmlns:a16="http://schemas.microsoft.com/office/drawing/2014/main" id="{00000000-0008-0000-0F00-00009E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3" name="AutoShape 1">
          <a:extLst>
            <a:ext uri="{FF2B5EF4-FFF2-40B4-BE49-F238E27FC236}">
              <a16:creationId xmlns:a16="http://schemas.microsoft.com/office/drawing/2014/main" id="{00000000-0008-0000-0F00-00009F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4" name="AutoShape 1">
          <a:extLst>
            <a:ext uri="{FF2B5EF4-FFF2-40B4-BE49-F238E27FC236}">
              <a16:creationId xmlns:a16="http://schemas.microsoft.com/office/drawing/2014/main" id="{00000000-0008-0000-0F00-0000A0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5" name="AutoShape 1">
          <a:extLst>
            <a:ext uri="{FF2B5EF4-FFF2-40B4-BE49-F238E27FC236}">
              <a16:creationId xmlns:a16="http://schemas.microsoft.com/office/drawing/2014/main" id="{00000000-0008-0000-0F00-0000A1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6" name="AutoShape 1">
          <a:extLst>
            <a:ext uri="{FF2B5EF4-FFF2-40B4-BE49-F238E27FC236}">
              <a16:creationId xmlns:a16="http://schemas.microsoft.com/office/drawing/2014/main" id="{00000000-0008-0000-0F00-0000A2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7" name="AutoShape 1">
          <a:extLst>
            <a:ext uri="{FF2B5EF4-FFF2-40B4-BE49-F238E27FC236}">
              <a16:creationId xmlns:a16="http://schemas.microsoft.com/office/drawing/2014/main" id="{00000000-0008-0000-0F00-0000A3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8" name="AutoShape 1">
          <a:extLst>
            <a:ext uri="{FF2B5EF4-FFF2-40B4-BE49-F238E27FC236}">
              <a16:creationId xmlns:a16="http://schemas.microsoft.com/office/drawing/2014/main" id="{00000000-0008-0000-0F00-0000A4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49" name="AutoShape 1">
          <a:extLst>
            <a:ext uri="{FF2B5EF4-FFF2-40B4-BE49-F238E27FC236}">
              <a16:creationId xmlns:a16="http://schemas.microsoft.com/office/drawing/2014/main" id="{00000000-0008-0000-0F00-0000A5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0" name="AutoShape 1">
          <a:extLst>
            <a:ext uri="{FF2B5EF4-FFF2-40B4-BE49-F238E27FC236}">
              <a16:creationId xmlns:a16="http://schemas.microsoft.com/office/drawing/2014/main" id="{00000000-0008-0000-0F00-0000A6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1" name="AutoShape 1">
          <a:extLst>
            <a:ext uri="{FF2B5EF4-FFF2-40B4-BE49-F238E27FC236}">
              <a16:creationId xmlns:a16="http://schemas.microsoft.com/office/drawing/2014/main" id="{00000000-0008-0000-0F00-0000A7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2" name="AutoShape 1">
          <a:extLst>
            <a:ext uri="{FF2B5EF4-FFF2-40B4-BE49-F238E27FC236}">
              <a16:creationId xmlns:a16="http://schemas.microsoft.com/office/drawing/2014/main" id="{00000000-0008-0000-0F00-0000A8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3" name="AutoShape 1">
          <a:extLst>
            <a:ext uri="{FF2B5EF4-FFF2-40B4-BE49-F238E27FC236}">
              <a16:creationId xmlns:a16="http://schemas.microsoft.com/office/drawing/2014/main" id="{00000000-0008-0000-0F00-0000A9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4" name="AutoShape 1">
          <a:extLst>
            <a:ext uri="{FF2B5EF4-FFF2-40B4-BE49-F238E27FC236}">
              <a16:creationId xmlns:a16="http://schemas.microsoft.com/office/drawing/2014/main" id="{00000000-0008-0000-0F00-0000AA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5" name="AutoShape 1">
          <a:extLst>
            <a:ext uri="{FF2B5EF4-FFF2-40B4-BE49-F238E27FC236}">
              <a16:creationId xmlns:a16="http://schemas.microsoft.com/office/drawing/2014/main" id="{00000000-0008-0000-0F00-0000AB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6" name="AutoShape 1">
          <a:extLst>
            <a:ext uri="{FF2B5EF4-FFF2-40B4-BE49-F238E27FC236}">
              <a16:creationId xmlns:a16="http://schemas.microsoft.com/office/drawing/2014/main" id="{00000000-0008-0000-0F00-0000AC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7" name="AutoShape 1">
          <a:extLst>
            <a:ext uri="{FF2B5EF4-FFF2-40B4-BE49-F238E27FC236}">
              <a16:creationId xmlns:a16="http://schemas.microsoft.com/office/drawing/2014/main" id="{00000000-0008-0000-0F00-0000AD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8" name="AutoShape 1">
          <a:extLst>
            <a:ext uri="{FF2B5EF4-FFF2-40B4-BE49-F238E27FC236}">
              <a16:creationId xmlns:a16="http://schemas.microsoft.com/office/drawing/2014/main" id="{00000000-0008-0000-0F00-0000AE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59" name="AutoShape 1">
          <a:extLst>
            <a:ext uri="{FF2B5EF4-FFF2-40B4-BE49-F238E27FC236}">
              <a16:creationId xmlns:a16="http://schemas.microsoft.com/office/drawing/2014/main" id="{00000000-0008-0000-0F00-0000AF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0" name="AutoShape 1">
          <a:extLst>
            <a:ext uri="{FF2B5EF4-FFF2-40B4-BE49-F238E27FC236}">
              <a16:creationId xmlns:a16="http://schemas.microsoft.com/office/drawing/2014/main" id="{00000000-0008-0000-0F00-0000B0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1" name="AutoShape 1">
          <a:extLst>
            <a:ext uri="{FF2B5EF4-FFF2-40B4-BE49-F238E27FC236}">
              <a16:creationId xmlns:a16="http://schemas.microsoft.com/office/drawing/2014/main" id="{00000000-0008-0000-0F00-0000B1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2" name="AutoShape 1">
          <a:extLst>
            <a:ext uri="{FF2B5EF4-FFF2-40B4-BE49-F238E27FC236}">
              <a16:creationId xmlns:a16="http://schemas.microsoft.com/office/drawing/2014/main" id="{00000000-0008-0000-0F00-0000B2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3" name="AutoShape 1">
          <a:extLst>
            <a:ext uri="{FF2B5EF4-FFF2-40B4-BE49-F238E27FC236}">
              <a16:creationId xmlns:a16="http://schemas.microsoft.com/office/drawing/2014/main" id="{00000000-0008-0000-0F00-0000B3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4" name="AutoShape 1">
          <a:extLst>
            <a:ext uri="{FF2B5EF4-FFF2-40B4-BE49-F238E27FC236}">
              <a16:creationId xmlns:a16="http://schemas.microsoft.com/office/drawing/2014/main" id="{00000000-0008-0000-0F00-0000B4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5" name="AutoShape 1">
          <a:extLst>
            <a:ext uri="{FF2B5EF4-FFF2-40B4-BE49-F238E27FC236}">
              <a16:creationId xmlns:a16="http://schemas.microsoft.com/office/drawing/2014/main" id="{00000000-0008-0000-0F00-0000B5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6" name="AutoShape 1">
          <a:extLst>
            <a:ext uri="{FF2B5EF4-FFF2-40B4-BE49-F238E27FC236}">
              <a16:creationId xmlns:a16="http://schemas.microsoft.com/office/drawing/2014/main" id="{00000000-0008-0000-0F00-0000B6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7" name="AutoShape 1">
          <a:extLst>
            <a:ext uri="{FF2B5EF4-FFF2-40B4-BE49-F238E27FC236}">
              <a16:creationId xmlns:a16="http://schemas.microsoft.com/office/drawing/2014/main" id="{00000000-0008-0000-0F00-0000B7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8" name="AutoShape 1">
          <a:extLst>
            <a:ext uri="{FF2B5EF4-FFF2-40B4-BE49-F238E27FC236}">
              <a16:creationId xmlns:a16="http://schemas.microsoft.com/office/drawing/2014/main" id="{00000000-0008-0000-0F00-0000B8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69" name="AutoShape 1">
          <a:extLst>
            <a:ext uri="{FF2B5EF4-FFF2-40B4-BE49-F238E27FC236}">
              <a16:creationId xmlns:a16="http://schemas.microsoft.com/office/drawing/2014/main" id="{00000000-0008-0000-0F00-0000B9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0" name="AutoShape 1">
          <a:extLst>
            <a:ext uri="{FF2B5EF4-FFF2-40B4-BE49-F238E27FC236}">
              <a16:creationId xmlns:a16="http://schemas.microsoft.com/office/drawing/2014/main" id="{00000000-0008-0000-0F00-0000BA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1" name="AutoShape 1">
          <a:extLst>
            <a:ext uri="{FF2B5EF4-FFF2-40B4-BE49-F238E27FC236}">
              <a16:creationId xmlns:a16="http://schemas.microsoft.com/office/drawing/2014/main" id="{00000000-0008-0000-0F00-0000BB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2" name="AutoShape 1">
          <a:extLst>
            <a:ext uri="{FF2B5EF4-FFF2-40B4-BE49-F238E27FC236}">
              <a16:creationId xmlns:a16="http://schemas.microsoft.com/office/drawing/2014/main" id="{00000000-0008-0000-0F00-0000BC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3" name="AutoShape 1">
          <a:extLst>
            <a:ext uri="{FF2B5EF4-FFF2-40B4-BE49-F238E27FC236}">
              <a16:creationId xmlns:a16="http://schemas.microsoft.com/office/drawing/2014/main" id="{00000000-0008-0000-0F00-0000BD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4" name="AutoShape 1">
          <a:extLst>
            <a:ext uri="{FF2B5EF4-FFF2-40B4-BE49-F238E27FC236}">
              <a16:creationId xmlns:a16="http://schemas.microsoft.com/office/drawing/2014/main" id="{00000000-0008-0000-0F00-0000BE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5" name="AutoShape 1">
          <a:extLst>
            <a:ext uri="{FF2B5EF4-FFF2-40B4-BE49-F238E27FC236}">
              <a16:creationId xmlns:a16="http://schemas.microsoft.com/office/drawing/2014/main" id="{00000000-0008-0000-0F00-0000BF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6" name="AutoShape 1">
          <a:extLst>
            <a:ext uri="{FF2B5EF4-FFF2-40B4-BE49-F238E27FC236}">
              <a16:creationId xmlns:a16="http://schemas.microsoft.com/office/drawing/2014/main" id="{00000000-0008-0000-0F00-0000C0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7" name="AutoShape 1">
          <a:extLst>
            <a:ext uri="{FF2B5EF4-FFF2-40B4-BE49-F238E27FC236}">
              <a16:creationId xmlns:a16="http://schemas.microsoft.com/office/drawing/2014/main" id="{00000000-0008-0000-0F00-0000C1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8" name="AutoShape 1">
          <a:extLst>
            <a:ext uri="{FF2B5EF4-FFF2-40B4-BE49-F238E27FC236}">
              <a16:creationId xmlns:a16="http://schemas.microsoft.com/office/drawing/2014/main" id="{00000000-0008-0000-0F00-0000C2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79" name="AutoShape 1">
          <a:extLst>
            <a:ext uri="{FF2B5EF4-FFF2-40B4-BE49-F238E27FC236}">
              <a16:creationId xmlns:a16="http://schemas.microsoft.com/office/drawing/2014/main" id="{00000000-0008-0000-0F00-0000C3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0" name="AutoShape 1">
          <a:extLst>
            <a:ext uri="{FF2B5EF4-FFF2-40B4-BE49-F238E27FC236}">
              <a16:creationId xmlns:a16="http://schemas.microsoft.com/office/drawing/2014/main" id="{00000000-0008-0000-0F00-0000C4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1" name="AutoShape 1">
          <a:extLst>
            <a:ext uri="{FF2B5EF4-FFF2-40B4-BE49-F238E27FC236}">
              <a16:creationId xmlns:a16="http://schemas.microsoft.com/office/drawing/2014/main" id="{00000000-0008-0000-0F00-0000C5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2" name="AutoShape 1">
          <a:extLst>
            <a:ext uri="{FF2B5EF4-FFF2-40B4-BE49-F238E27FC236}">
              <a16:creationId xmlns:a16="http://schemas.microsoft.com/office/drawing/2014/main" id="{00000000-0008-0000-0F00-0000C6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3" name="AutoShape 1">
          <a:extLst>
            <a:ext uri="{FF2B5EF4-FFF2-40B4-BE49-F238E27FC236}">
              <a16:creationId xmlns:a16="http://schemas.microsoft.com/office/drawing/2014/main" id="{00000000-0008-0000-0F00-0000C7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4" name="AutoShape 1">
          <a:extLst>
            <a:ext uri="{FF2B5EF4-FFF2-40B4-BE49-F238E27FC236}">
              <a16:creationId xmlns:a16="http://schemas.microsoft.com/office/drawing/2014/main" id="{00000000-0008-0000-0F00-0000C8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5" name="AutoShape 1">
          <a:extLst>
            <a:ext uri="{FF2B5EF4-FFF2-40B4-BE49-F238E27FC236}">
              <a16:creationId xmlns:a16="http://schemas.microsoft.com/office/drawing/2014/main" id="{00000000-0008-0000-0F00-0000C9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6" name="AutoShape 1">
          <a:extLst>
            <a:ext uri="{FF2B5EF4-FFF2-40B4-BE49-F238E27FC236}">
              <a16:creationId xmlns:a16="http://schemas.microsoft.com/office/drawing/2014/main" id="{00000000-0008-0000-0F00-0000CA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7" name="AutoShape 1">
          <a:extLst>
            <a:ext uri="{FF2B5EF4-FFF2-40B4-BE49-F238E27FC236}">
              <a16:creationId xmlns:a16="http://schemas.microsoft.com/office/drawing/2014/main" id="{00000000-0008-0000-0F00-0000CB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8" name="AutoShape 1">
          <a:extLst>
            <a:ext uri="{FF2B5EF4-FFF2-40B4-BE49-F238E27FC236}">
              <a16:creationId xmlns:a16="http://schemas.microsoft.com/office/drawing/2014/main" id="{00000000-0008-0000-0F00-0000CC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89" name="AutoShape 1">
          <a:extLst>
            <a:ext uri="{FF2B5EF4-FFF2-40B4-BE49-F238E27FC236}">
              <a16:creationId xmlns:a16="http://schemas.microsoft.com/office/drawing/2014/main" id="{00000000-0008-0000-0F00-0000CD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0" name="AutoShape 1">
          <a:extLst>
            <a:ext uri="{FF2B5EF4-FFF2-40B4-BE49-F238E27FC236}">
              <a16:creationId xmlns:a16="http://schemas.microsoft.com/office/drawing/2014/main" id="{00000000-0008-0000-0F00-0000CE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1" name="AutoShape 1">
          <a:extLst>
            <a:ext uri="{FF2B5EF4-FFF2-40B4-BE49-F238E27FC236}">
              <a16:creationId xmlns:a16="http://schemas.microsoft.com/office/drawing/2014/main" id="{00000000-0008-0000-0F00-0000CF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2" name="AutoShape 1">
          <a:extLst>
            <a:ext uri="{FF2B5EF4-FFF2-40B4-BE49-F238E27FC236}">
              <a16:creationId xmlns:a16="http://schemas.microsoft.com/office/drawing/2014/main" id="{00000000-0008-0000-0F00-0000D0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3" name="AutoShape 1">
          <a:extLst>
            <a:ext uri="{FF2B5EF4-FFF2-40B4-BE49-F238E27FC236}">
              <a16:creationId xmlns:a16="http://schemas.microsoft.com/office/drawing/2014/main" id="{00000000-0008-0000-0F00-0000D1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4" name="AutoShape 1">
          <a:extLst>
            <a:ext uri="{FF2B5EF4-FFF2-40B4-BE49-F238E27FC236}">
              <a16:creationId xmlns:a16="http://schemas.microsoft.com/office/drawing/2014/main" id="{00000000-0008-0000-0F00-0000D2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5" name="AutoShape 1">
          <a:extLst>
            <a:ext uri="{FF2B5EF4-FFF2-40B4-BE49-F238E27FC236}">
              <a16:creationId xmlns:a16="http://schemas.microsoft.com/office/drawing/2014/main" id="{00000000-0008-0000-0F00-0000D3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6" name="AutoShape 1">
          <a:extLst>
            <a:ext uri="{FF2B5EF4-FFF2-40B4-BE49-F238E27FC236}">
              <a16:creationId xmlns:a16="http://schemas.microsoft.com/office/drawing/2014/main" id="{00000000-0008-0000-0F00-0000D4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7" name="AutoShape 1">
          <a:extLst>
            <a:ext uri="{FF2B5EF4-FFF2-40B4-BE49-F238E27FC236}">
              <a16:creationId xmlns:a16="http://schemas.microsoft.com/office/drawing/2014/main" id="{00000000-0008-0000-0F00-0000D5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8" name="AutoShape 1">
          <a:extLst>
            <a:ext uri="{FF2B5EF4-FFF2-40B4-BE49-F238E27FC236}">
              <a16:creationId xmlns:a16="http://schemas.microsoft.com/office/drawing/2014/main" id="{00000000-0008-0000-0F00-0000D6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799" name="AutoShape 1">
          <a:extLst>
            <a:ext uri="{FF2B5EF4-FFF2-40B4-BE49-F238E27FC236}">
              <a16:creationId xmlns:a16="http://schemas.microsoft.com/office/drawing/2014/main" id="{00000000-0008-0000-0F00-0000D7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0" name="AutoShape 1">
          <a:extLst>
            <a:ext uri="{FF2B5EF4-FFF2-40B4-BE49-F238E27FC236}">
              <a16:creationId xmlns:a16="http://schemas.microsoft.com/office/drawing/2014/main" id="{00000000-0008-0000-0F00-0000D8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1" name="AutoShape 1">
          <a:extLst>
            <a:ext uri="{FF2B5EF4-FFF2-40B4-BE49-F238E27FC236}">
              <a16:creationId xmlns:a16="http://schemas.microsoft.com/office/drawing/2014/main" id="{00000000-0008-0000-0F00-0000D9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2" name="AutoShape 1">
          <a:extLst>
            <a:ext uri="{FF2B5EF4-FFF2-40B4-BE49-F238E27FC236}">
              <a16:creationId xmlns:a16="http://schemas.microsoft.com/office/drawing/2014/main" id="{00000000-0008-0000-0F00-0000DA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3" name="AutoShape 1">
          <a:extLst>
            <a:ext uri="{FF2B5EF4-FFF2-40B4-BE49-F238E27FC236}">
              <a16:creationId xmlns:a16="http://schemas.microsoft.com/office/drawing/2014/main" id="{00000000-0008-0000-0F00-0000DB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4" name="AutoShape 1">
          <a:extLst>
            <a:ext uri="{FF2B5EF4-FFF2-40B4-BE49-F238E27FC236}">
              <a16:creationId xmlns:a16="http://schemas.microsoft.com/office/drawing/2014/main" id="{00000000-0008-0000-0F00-0000DC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5" name="AutoShape 1">
          <a:extLst>
            <a:ext uri="{FF2B5EF4-FFF2-40B4-BE49-F238E27FC236}">
              <a16:creationId xmlns:a16="http://schemas.microsoft.com/office/drawing/2014/main" id="{00000000-0008-0000-0F00-0000DD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6" name="AutoShape 1">
          <a:extLst>
            <a:ext uri="{FF2B5EF4-FFF2-40B4-BE49-F238E27FC236}">
              <a16:creationId xmlns:a16="http://schemas.microsoft.com/office/drawing/2014/main" id="{00000000-0008-0000-0F00-0000DE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7" name="AutoShape 1">
          <a:extLst>
            <a:ext uri="{FF2B5EF4-FFF2-40B4-BE49-F238E27FC236}">
              <a16:creationId xmlns:a16="http://schemas.microsoft.com/office/drawing/2014/main" id="{00000000-0008-0000-0F00-0000DF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8" name="AutoShape 1">
          <a:extLst>
            <a:ext uri="{FF2B5EF4-FFF2-40B4-BE49-F238E27FC236}">
              <a16:creationId xmlns:a16="http://schemas.microsoft.com/office/drawing/2014/main" id="{00000000-0008-0000-0F00-0000E0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09" name="AutoShape 1">
          <a:extLst>
            <a:ext uri="{FF2B5EF4-FFF2-40B4-BE49-F238E27FC236}">
              <a16:creationId xmlns:a16="http://schemas.microsoft.com/office/drawing/2014/main" id="{00000000-0008-0000-0F00-0000E1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0" name="AutoShape 1">
          <a:extLst>
            <a:ext uri="{FF2B5EF4-FFF2-40B4-BE49-F238E27FC236}">
              <a16:creationId xmlns:a16="http://schemas.microsoft.com/office/drawing/2014/main" id="{00000000-0008-0000-0F00-0000E2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1" name="AutoShape 1">
          <a:extLst>
            <a:ext uri="{FF2B5EF4-FFF2-40B4-BE49-F238E27FC236}">
              <a16:creationId xmlns:a16="http://schemas.microsoft.com/office/drawing/2014/main" id="{00000000-0008-0000-0F00-0000E3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2" name="AutoShape 1">
          <a:extLst>
            <a:ext uri="{FF2B5EF4-FFF2-40B4-BE49-F238E27FC236}">
              <a16:creationId xmlns:a16="http://schemas.microsoft.com/office/drawing/2014/main" id="{00000000-0008-0000-0F00-0000E4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3" name="AutoShape 1">
          <a:extLst>
            <a:ext uri="{FF2B5EF4-FFF2-40B4-BE49-F238E27FC236}">
              <a16:creationId xmlns:a16="http://schemas.microsoft.com/office/drawing/2014/main" id="{00000000-0008-0000-0F00-0000E5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4" name="AutoShape 1">
          <a:extLst>
            <a:ext uri="{FF2B5EF4-FFF2-40B4-BE49-F238E27FC236}">
              <a16:creationId xmlns:a16="http://schemas.microsoft.com/office/drawing/2014/main" id="{00000000-0008-0000-0F00-0000E6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5" name="AutoShape 1">
          <a:extLst>
            <a:ext uri="{FF2B5EF4-FFF2-40B4-BE49-F238E27FC236}">
              <a16:creationId xmlns:a16="http://schemas.microsoft.com/office/drawing/2014/main" id="{00000000-0008-0000-0F00-0000E7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6" name="AutoShape 1">
          <a:extLst>
            <a:ext uri="{FF2B5EF4-FFF2-40B4-BE49-F238E27FC236}">
              <a16:creationId xmlns:a16="http://schemas.microsoft.com/office/drawing/2014/main" id="{00000000-0008-0000-0F00-0000E8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7" name="AutoShape 1">
          <a:extLst>
            <a:ext uri="{FF2B5EF4-FFF2-40B4-BE49-F238E27FC236}">
              <a16:creationId xmlns:a16="http://schemas.microsoft.com/office/drawing/2014/main" id="{00000000-0008-0000-0F00-0000E9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8" name="AutoShape 1">
          <a:extLst>
            <a:ext uri="{FF2B5EF4-FFF2-40B4-BE49-F238E27FC236}">
              <a16:creationId xmlns:a16="http://schemas.microsoft.com/office/drawing/2014/main" id="{00000000-0008-0000-0F00-0000EA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19" name="AutoShape 1">
          <a:extLst>
            <a:ext uri="{FF2B5EF4-FFF2-40B4-BE49-F238E27FC236}">
              <a16:creationId xmlns:a16="http://schemas.microsoft.com/office/drawing/2014/main" id="{00000000-0008-0000-0F00-0000EB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0" name="AutoShape 1">
          <a:extLst>
            <a:ext uri="{FF2B5EF4-FFF2-40B4-BE49-F238E27FC236}">
              <a16:creationId xmlns:a16="http://schemas.microsoft.com/office/drawing/2014/main" id="{00000000-0008-0000-0F00-0000EC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1" name="AutoShape 1">
          <a:extLst>
            <a:ext uri="{FF2B5EF4-FFF2-40B4-BE49-F238E27FC236}">
              <a16:creationId xmlns:a16="http://schemas.microsoft.com/office/drawing/2014/main" id="{00000000-0008-0000-0F00-0000ED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2" name="AutoShape 1">
          <a:extLst>
            <a:ext uri="{FF2B5EF4-FFF2-40B4-BE49-F238E27FC236}">
              <a16:creationId xmlns:a16="http://schemas.microsoft.com/office/drawing/2014/main" id="{00000000-0008-0000-0F00-0000EE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3" name="AutoShape 1">
          <a:extLst>
            <a:ext uri="{FF2B5EF4-FFF2-40B4-BE49-F238E27FC236}">
              <a16:creationId xmlns:a16="http://schemas.microsoft.com/office/drawing/2014/main" id="{00000000-0008-0000-0F00-0000EF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4" name="AutoShape 1">
          <a:extLst>
            <a:ext uri="{FF2B5EF4-FFF2-40B4-BE49-F238E27FC236}">
              <a16:creationId xmlns:a16="http://schemas.microsoft.com/office/drawing/2014/main" id="{00000000-0008-0000-0F00-0000F0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5" name="AutoShape 1">
          <a:extLst>
            <a:ext uri="{FF2B5EF4-FFF2-40B4-BE49-F238E27FC236}">
              <a16:creationId xmlns:a16="http://schemas.microsoft.com/office/drawing/2014/main" id="{00000000-0008-0000-0F00-0000F1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6" name="AutoShape 1">
          <a:extLst>
            <a:ext uri="{FF2B5EF4-FFF2-40B4-BE49-F238E27FC236}">
              <a16:creationId xmlns:a16="http://schemas.microsoft.com/office/drawing/2014/main" id="{00000000-0008-0000-0F00-0000F2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7" name="AutoShape 1">
          <a:extLst>
            <a:ext uri="{FF2B5EF4-FFF2-40B4-BE49-F238E27FC236}">
              <a16:creationId xmlns:a16="http://schemas.microsoft.com/office/drawing/2014/main" id="{00000000-0008-0000-0F00-0000F3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8" name="AutoShape 1">
          <a:extLst>
            <a:ext uri="{FF2B5EF4-FFF2-40B4-BE49-F238E27FC236}">
              <a16:creationId xmlns:a16="http://schemas.microsoft.com/office/drawing/2014/main" id="{00000000-0008-0000-0F00-0000F4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29" name="AutoShape 1">
          <a:extLst>
            <a:ext uri="{FF2B5EF4-FFF2-40B4-BE49-F238E27FC236}">
              <a16:creationId xmlns:a16="http://schemas.microsoft.com/office/drawing/2014/main" id="{00000000-0008-0000-0F00-0000F5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0" name="AutoShape 1">
          <a:extLst>
            <a:ext uri="{FF2B5EF4-FFF2-40B4-BE49-F238E27FC236}">
              <a16:creationId xmlns:a16="http://schemas.microsoft.com/office/drawing/2014/main" id="{00000000-0008-0000-0F00-0000F6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1" name="AutoShape 1">
          <a:extLst>
            <a:ext uri="{FF2B5EF4-FFF2-40B4-BE49-F238E27FC236}">
              <a16:creationId xmlns:a16="http://schemas.microsoft.com/office/drawing/2014/main" id="{00000000-0008-0000-0F00-0000F7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2" name="AutoShape 1">
          <a:extLst>
            <a:ext uri="{FF2B5EF4-FFF2-40B4-BE49-F238E27FC236}">
              <a16:creationId xmlns:a16="http://schemas.microsoft.com/office/drawing/2014/main" id="{00000000-0008-0000-0F00-0000F8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3" name="AutoShape 1">
          <a:extLst>
            <a:ext uri="{FF2B5EF4-FFF2-40B4-BE49-F238E27FC236}">
              <a16:creationId xmlns:a16="http://schemas.microsoft.com/office/drawing/2014/main" id="{00000000-0008-0000-0F00-0000F9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4" name="AutoShape 1">
          <a:extLst>
            <a:ext uri="{FF2B5EF4-FFF2-40B4-BE49-F238E27FC236}">
              <a16:creationId xmlns:a16="http://schemas.microsoft.com/office/drawing/2014/main" id="{00000000-0008-0000-0F00-0000FA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5" name="AutoShape 1">
          <a:extLst>
            <a:ext uri="{FF2B5EF4-FFF2-40B4-BE49-F238E27FC236}">
              <a16:creationId xmlns:a16="http://schemas.microsoft.com/office/drawing/2014/main" id="{00000000-0008-0000-0F00-0000FB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6" name="AutoShape 1">
          <a:extLst>
            <a:ext uri="{FF2B5EF4-FFF2-40B4-BE49-F238E27FC236}">
              <a16:creationId xmlns:a16="http://schemas.microsoft.com/office/drawing/2014/main" id="{00000000-0008-0000-0F00-0000FC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7" name="AutoShape 1">
          <a:extLst>
            <a:ext uri="{FF2B5EF4-FFF2-40B4-BE49-F238E27FC236}">
              <a16:creationId xmlns:a16="http://schemas.microsoft.com/office/drawing/2014/main" id="{00000000-0008-0000-0F00-0000FD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8" name="AutoShape 1">
          <a:extLst>
            <a:ext uri="{FF2B5EF4-FFF2-40B4-BE49-F238E27FC236}">
              <a16:creationId xmlns:a16="http://schemas.microsoft.com/office/drawing/2014/main" id="{00000000-0008-0000-0F00-0000FE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39" name="AutoShape 1">
          <a:extLst>
            <a:ext uri="{FF2B5EF4-FFF2-40B4-BE49-F238E27FC236}">
              <a16:creationId xmlns:a16="http://schemas.microsoft.com/office/drawing/2014/main" id="{00000000-0008-0000-0F00-0000FF0E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0" name="AutoShape 1">
          <a:extLst>
            <a:ext uri="{FF2B5EF4-FFF2-40B4-BE49-F238E27FC236}">
              <a16:creationId xmlns:a16="http://schemas.microsoft.com/office/drawing/2014/main" id="{00000000-0008-0000-0F00-00000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1" name="AutoShape 1">
          <a:extLst>
            <a:ext uri="{FF2B5EF4-FFF2-40B4-BE49-F238E27FC236}">
              <a16:creationId xmlns:a16="http://schemas.microsoft.com/office/drawing/2014/main" id="{00000000-0008-0000-0F00-00000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2" name="AutoShape 1">
          <a:extLst>
            <a:ext uri="{FF2B5EF4-FFF2-40B4-BE49-F238E27FC236}">
              <a16:creationId xmlns:a16="http://schemas.microsoft.com/office/drawing/2014/main" id="{00000000-0008-0000-0F00-00000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3" name="AutoShape 1">
          <a:extLst>
            <a:ext uri="{FF2B5EF4-FFF2-40B4-BE49-F238E27FC236}">
              <a16:creationId xmlns:a16="http://schemas.microsoft.com/office/drawing/2014/main" id="{00000000-0008-0000-0F00-00000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4" name="AutoShape 1">
          <a:extLst>
            <a:ext uri="{FF2B5EF4-FFF2-40B4-BE49-F238E27FC236}">
              <a16:creationId xmlns:a16="http://schemas.microsoft.com/office/drawing/2014/main" id="{00000000-0008-0000-0F00-00000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5" name="AutoShape 1">
          <a:extLst>
            <a:ext uri="{FF2B5EF4-FFF2-40B4-BE49-F238E27FC236}">
              <a16:creationId xmlns:a16="http://schemas.microsoft.com/office/drawing/2014/main" id="{00000000-0008-0000-0F00-00000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6" name="AutoShape 1">
          <a:extLst>
            <a:ext uri="{FF2B5EF4-FFF2-40B4-BE49-F238E27FC236}">
              <a16:creationId xmlns:a16="http://schemas.microsoft.com/office/drawing/2014/main" id="{00000000-0008-0000-0F00-00000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7" name="AutoShape 1">
          <a:extLst>
            <a:ext uri="{FF2B5EF4-FFF2-40B4-BE49-F238E27FC236}">
              <a16:creationId xmlns:a16="http://schemas.microsoft.com/office/drawing/2014/main" id="{00000000-0008-0000-0F00-00000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8" name="AutoShape 1">
          <a:extLst>
            <a:ext uri="{FF2B5EF4-FFF2-40B4-BE49-F238E27FC236}">
              <a16:creationId xmlns:a16="http://schemas.microsoft.com/office/drawing/2014/main" id="{00000000-0008-0000-0F00-00000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49" name="AutoShape 1">
          <a:extLst>
            <a:ext uri="{FF2B5EF4-FFF2-40B4-BE49-F238E27FC236}">
              <a16:creationId xmlns:a16="http://schemas.microsoft.com/office/drawing/2014/main" id="{00000000-0008-0000-0F00-00000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0" name="AutoShape 1">
          <a:extLst>
            <a:ext uri="{FF2B5EF4-FFF2-40B4-BE49-F238E27FC236}">
              <a16:creationId xmlns:a16="http://schemas.microsoft.com/office/drawing/2014/main" id="{00000000-0008-0000-0F00-00000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1" name="AutoShape 1">
          <a:extLst>
            <a:ext uri="{FF2B5EF4-FFF2-40B4-BE49-F238E27FC236}">
              <a16:creationId xmlns:a16="http://schemas.microsoft.com/office/drawing/2014/main" id="{00000000-0008-0000-0F00-00000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2" name="AutoShape 1">
          <a:extLst>
            <a:ext uri="{FF2B5EF4-FFF2-40B4-BE49-F238E27FC236}">
              <a16:creationId xmlns:a16="http://schemas.microsoft.com/office/drawing/2014/main" id="{00000000-0008-0000-0F00-00000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3" name="AutoShape 1">
          <a:extLst>
            <a:ext uri="{FF2B5EF4-FFF2-40B4-BE49-F238E27FC236}">
              <a16:creationId xmlns:a16="http://schemas.microsoft.com/office/drawing/2014/main" id="{00000000-0008-0000-0F00-00000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4" name="AutoShape 1">
          <a:extLst>
            <a:ext uri="{FF2B5EF4-FFF2-40B4-BE49-F238E27FC236}">
              <a16:creationId xmlns:a16="http://schemas.microsoft.com/office/drawing/2014/main" id="{00000000-0008-0000-0F00-00000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5" name="AutoShape 1">
          <a:extLst>
            <a:ext uri="{FF2B5EF4-FFF2-40B4-BE49-F238E27FC236}">
              <a16:creationId xmlns:a16="http://schemas.microsoft.com/office/drawing/2014/main" id="{00000000-0008-0000-0F00-00000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6" name="AutoShape 1">
          <a:extLst>
            <a:ext uri="{FF2B5EF4-FFF2-40B4-BE49-F238E27FC236}">
              <a16:creationId xmlns:a16="http://schemas.microsoft.com/office/drawing/2014/main" id="{00000000-0008-0000-0F00-00001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7" name="AutoShape 1">
          <a:extLst>
            <a:ext uri="{FF2B5EF4-FFF2-40B4-BE49-F238E27FC236}">
              <a16:creationId xmlns:a16="http://schemas.microsoft.com/office/drawing/2014/main" id="{00000000-0008-0000-0F00-00001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8" name="AutoShape 1">
          <a:extLst>
            <a:ext uri="{FF2B5EF4-FFF2-40B4-BE49-F238E27FC236}">
              <a16:creationId xmlns:a16="http://schemas.microsoft.com/office/drawing/2014/main" id="{00000000-0008-0000-0F00-00001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59" name="AutoShape 1">
          <a:extLst>
            <a:ext uri="{FF2B5EF4-FFF2-40B4-BE49-F238E27FC236}">
              <a16:creationId xmlns:a16="http://schemas.microsoft.com/office/drawing/2014/main" id="{00000000-0008-0000-0F00-00001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0" name="AutoShape 1">
          <a:extLst>
            <a:ext uri="{FF2B5EF4-FFF2-40B4-BE49-F238E27FC236}">
              <a16:creationId xmlns:a16="http://schemas.microsoft.com/office/drawing/2014/main" id="{00000000-0008-0000-0F00-00001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1" name="AutoShape 1">
          <a:extLst>
            <a:ext uri="{FF2B5EF4-FFF2-40B4-BE49-F238E27FC236}">
              <a16:creationId xmlns:a16="http://schemas.microsoft.com/office/drawing/2014/main" id="{00000000-0008-0000-0F00-00001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2" name="AutoShape 1">
          <a:extLst>
            <a:ext uri="{FF2B5EF4-FFF2-40B4-BE49-F238E27FC236}">
              <a16:creationId xmlns:a16="http://schemas.microsoft.com/office/drawing/2014/main" id="{00000000-0008-0000-0F00-00001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3" name="AutoShape 1">
          <a:extLst>
            <a:ext uri="{FF2B5EF4-FFF2-40B4-BE49-F238E27FC236}">
              <a16:creationId xmlns:a16="http://schemas.microsoft.com/office/drawing/2014/main" id="{00000000-0008-0000-0F00-00001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4" name="AutoShape 1">
          <a:extLst>
            <a:ext uri="{FF2B5EF4-FFF2-40B4-BE49-F238E27FC236}">
              <a16:creationId xmlns:a16="http://schemas.microsoft.com/office/drawing/2014/main" id="{00000000-0008-0000-0F00-00001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5" name="AutoShape 1">
          <a:extLst>
            <a:ext uri="{FF2B5EF4-FFF2-40B4-BE49-F238E27FC236}">
              <a16:creationId xmlns:a16="http://schemas.microsoft.com/office/drawing/2014/main" id="{00000000-0008-0000-0F00-00001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6" name="AutoShape 1">
          <a:extLst>
            <a:ext uri="{FF2B5EF4-FFF2-40B4-BE49-F238E27FC236}">
              <a16:creationId xmlns:a16="http://schemas.microsoft.com/office/drawing/2014/main" id="{00000000-0008-0000-0F00-00001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7" name="AutoShape 1">
          <a:extLst>
            <a:ext uri="{FF2B5EF4-FFF2-40B4-BE49-F238E27FC236}">
              <a16:creationId xmlns:a16="http://schemas.microsoft.com/office/drawing/2014/main" id="{00000000-0008-0000-0F00-00001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8" name="AutoShape 1">
          <a:extLst>
            <a:ext uri="{FF2B5EF4-FFF2-40B4-BE49-F238E27FC236}">
              <a16:creationId xmlns:a16="http://schemas.microsoft.com/office/drawing/2014/main" id="{00000000-0008-0000-0F00-00001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69" name="AutoShape 1">
          <a:extLst>
            <a:ext uri="{FF2B5EF4-FFF2-40B4-BE49-F238E27FC236}">
              <a16:creationId xmlns:a16="http://schemas.microsoft.com/office/drawing/2014/main" id="{00000000-0008-0000-0F00-00001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0" name="AutoShape 1">
          <a:extLst>
            <a:ext uri="{FF2B5EF4-FFF2-40B4-BE49-F238E27FC236}">
              <a16:creationId xmlns:a16="http://schemas.microsoft.com/office/drawing/2014/main" id="{00000000-0008-0000-0F00-00001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1" name="AutoShape 1">
          <a:extLst>
            <a:ext uri="{FF2B5EF4-FFF2-40B4-BE49-F238E27FC236}">
              <a16:creationId xmlns:a16="http://schemas.microsoft.com/office/drawing/2014/main" id="{00000000-0008-0000-0F00-00001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2" name="AutoShape 1">
          <a:extLst>
            <a:ext uri="{FF2B5EF4-FFF2-40B4-BE49-F238E27FC236}">
              <a16:creationId xmlns:a16="http://schemas.microsoft.com/office/drawing/2014/main" id="{00000000-0008-0000-0F00-00002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3" name="AutoShape 1">
          <a:extLst>
            <a:ext uri="{FF2B5EF4-FFF2-40B4-BE49-F238E27FC236}">
              <a16:creationId xmlns:a16="http://schemas.microsoft.com/office/drawing/2014/main" id="{00000000-0008-0000-0F00-00002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4" name="AutoShape 1">
          <a:extLst>
            <a:ext uri="{FF2B5EF4-FFF2-40B4-BE49-F238E27FC236}">
              <a16:creationId xmlns:a16="http://schemas.microsoft.com/office/drawing/2014/main" id="{00000000-0008-0000-0F00-00002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5" name="AutoShape 1">
          <a:extLst>
            <a:ext uri="{FF2B5EF4-FFF2-40B4-BE49-F238E27FC236}">
              <a16:creationId xmlns:a16="http://schemas.microsoft.com/office/drawing/2014/main" id="{00000000-0008-0000-0F00-00002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6" name="AutoShape 1">
          <a:extLst>
            <a:ext uri="{FF2B5EF4-FFF2-40B4-BE49-F238E27FC236}">
              <a16:creationId xmlns:a16="http://schemas.microsoft.com/office/drawing/2014/main" id="{00000000-0008-0000-0F00-00002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7" name="AutoShape 1">
          <a:extLst>
            <a:ext uri="{FF2B5EF4-FFF2-40B4-BE49-F238E27FC236}">
              <a16:creationId xmlns:a16="http://schemas.microsoft.com/office/drawing/2014/main" id="{00000000-0008-0000-0F00-00002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8" name="AutoShape 1">
          <a:extLst>
            <a:ext uri="{FF2B5EF4-FFF2-40B4-BE49-F238E27FC236}">
              <a16:creationId xmlns:a16="http://schemas.microsoft.com/office/drawing/2014/main" id="{00000000-0008-0000-0F00-00002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79" name="AutoShape 1">
          <a:extLst>
            <a:ext uri="{FF2B5EF4-FFF2-40B4-BE49-F238E27FC236}">
              <a16:creationId xmlns:a16="http://schemas.microsoft.com/office/drawing/2014/main" id="{00000000-0008-0000-0F00-00002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0" name="AutoShape 1">
          <a:extLst>
            <a:ext uri="{FF2B5EF4-FFF2-40B4-BE49-F238E27FC236}">
              <a16:creationId xmlns:a16="http://schemas.microsoft.com/office/drawing/2014/main" id="{00000000-0008-0000-0F00-00002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1" name="AutoShape 1">
          <a:extLst>
            <a:ext uri="{FF2B5EF4-FFF2-40B4-BE49-F238E27FC236}">
              <a16:creationId xmlns:a16="http://schemas.microsoft.com/office/drawing/2014/main" id="{00000000-0008-0000-0F00-00002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2" name="AutoShape 1">
          <a:extLst>
            <a:ext uri="{FF2B5EF4-FFF2-40B4-BE49-F238E27FC236}">
              <a16:creationId xmlns:a16="http://schemas.microsoft.com/office/drawing/2014/main" id="{00000000-0008-0000-0F00-00002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3" name="AutoShape 1">
          <a:extLst>
            <a:ext uri="{FF2B5EF4-FFF2-40B4-BE49-F238E27FC236}">
              <a16:creationId xmlns:a16="http://schemas.microsoft.com/office/drawing/2014/main" id="{00000000-0008-0000-0F00-00002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4" name="AutoShape 1">
          <a:extLst>
            <a:ext uri="{FF2B5EF4-FFF2-40B4-BE49-F238E27FC236}">
              <a16:creationId xmlns:a16="http://schemas.microsoft.com/office/drawing/2014/main" id="{00000000-0008-0000-0F00-00002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5" name="AutoShape 1">
          <a:extLst>
            <a:ext uri="{FF2B5EF4-FFF2-40B4-BE49-F238E27FC236}">
              <a16:creationId xmlns:a16="http://schemas.microsoft.com/office/drawing/2014/main" id="{00000000-0008-0000-0F00-00002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6" name="AutoShape 1">
          <a:extLst>
            <a:ext uri="{FF2B5EF4-FFF2-40B4-BE49-F238E27FC236}">
              <a16:creationId xmlns:a16="http://schemas.microsoft.com/office/drawing/2014/main" id="{00000000-0008-0000-0F00-00002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7" name="AutoShape 1">
          <a:extLst>
            <a:ext uri="{FF2B5EF4-FFF2-40B4-BE49-F238E27FC236}">
              <a16:creationId xmlns:a16="http://schemas.microsoft.com/office/drawing/2014/main" id="{00000000-0008-0000-0F00-00002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8" name="AutoShape 1">
          <a:extLst>
            <a:ext uri="{FF2B5EF4-FFF2-40B4-BE49-F238E27FC236}">
              <a16:creationId xmlns:a16="http://schemas.microsoft.com/office/drawing/2014/main" id="{00000000-0008-0000-0F00-00003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89" name="AutoShape 1">
          <a:extLst>
            <a:ext uri="{FF2B5EF4-FFF2-40B4-BE49-F238E27FC236}">
              <a16:creationId xmlns:a16="http://schemas.microsoft.com/office/drawing/2014/main" id="{00000000-0008-0000-0F00-00003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0" name="AutoShape 1">
          <a:extLst>
            <a:ext uri="{FF2B5EF4-FFF2-40B4-BE49-F238E27FC236}">
              <a16:creationId xmlns:a16="http://schemas.microsoft.com/office/drawing/2014/main" id="{00000000-0008-0000-0F00-00003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1" name="AutoShape 1">
          <a:extLst>
            <a:ext uri="{FF2B5EF4-FFF2-40B4-BE49-F238E27FC236}">
              <a16:creationId xmlns:a16="http://schemas.microsoft.com/office/drawing/2014/main" id="{00000000-0008-0000-0F00-00003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2" name="AutoShape 1">
          <a:extLst>
            <a:ext uri="{FF2B5EF4-FFF2-40B4-BE49-F238E27FC236}">
              <a16:creationId xmlns:a16="http://schemas.microsoft.com/office/drawing/2014/main" id="{00000000-0008-0000-0F00-00003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3" name="AutoShape 1">
          <a:extLst>
            <a:ext uri="{FF2B5EF4-FFF2-40B4-BE49-F238E27FC236}">
              <a16:creationId xmlns:a16="http://schemas.microsoft.com/office/drawing/2014/main" id="{00000000-0008-0000-0F00-00003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4" name="AutoShape 1">
          <a:extLst>
            <a:ext uri="{FF2B5EF4-FFF2-40B4-BE49-F238E27FC236}">
              <a16:creationId xmlns:a16="http://schemas.microsoft.com/office/drawing/2014/main" id="{00000000-0008-0000-0F00-00003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5" name="AutoShape 1">
          <a:extLst>
            <a:ext uri="{FF2B5EF4-FFF2-40B4-BE49-F238E27FC236}">
              <a16:creationId xmlns:a16="http://schemas.microsoft.com/office/drawing/2014/main" id="{00000000-0008-0000-0F00-00003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6" name="AutoShape 1">
          <a:extLst>
            <a:ext uri="{FF2B5EF4-FFF2-40B4-BE49-F238E27FC236}">
              <a16:creationId xmlns:a16="http://schemas.microsoft.com/office/drawing/2014/main" id="{00000000-0008-0000-0F00-00003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7" name="AutoShape 1">
          <a:extLst>
            <a:ext uri="{FF2B5EF4-FFF2-40B4-BE49-F238E27FC236}">
              <a16:creationId xmlns:a16="http://schemas.microsoft.com/office/drawing/2014/main" id="{00000000-0008-0000-0F00-00003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8" name="AutoShape 1">
          <a:extLst>
            <a:ext uri="{FF2B5EF4-FFF2-40B4-BE49-F238E27FC236}">
              <a16:creationId xmlns:a16="http://schemas.microsoft.com/office/drawing/2014/main" id="{00000000-0008-0000-0F00-00003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899" name="AutoShape 1">
          <a:extLst>
            <a:ext uri="{FF2B5EF4-FFF2-40B4-BE49-F238E27FC236}">
              <a16:creationId xmlns:a16="http://schemas.microsoft.com/office/drawing/2014/main" id="{00000000-0008-0000-0F00-00003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0" name="AutoShape 1">
          <a:extLst>
            <a:ext uri="{FF2B5EF4-FFF2-40B4-BE49-F238E27FC236}">
              <a16:creationId xmlns:a16="http://schemas.microsoft.com/office/drawing/2014/main" id="{00000000-0008-0000-0F00-00003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1" name="AutoShape 1">
          <a:extLst>
            <a:ext uri="{FF2B5EF4-FFF2-40B4-BE49-F238E27FC236}">
              <a16:creationId xmlns:a16="http://schemas.microsoft.com/office/drawing/2014/main" id="{00000000-0008-0000-0F00-00003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2" name="AutoShape 1">
          <a:extLst>
            <a:ext uri="{FF2B5EF4-FFF2-40B4-BE49-F238E27FC236}">
              <a16:creationId xmlns:a16="http://schemas.microsoft.com/office/drawing/2014/main" id="{00000000-0008-0000-0F00-00003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3" name="AutoShape 1">
          <a:extLst>
            <a:ext uri="{FF2B5EF4-FFF2-40B4-BE49-F238E27FC236}">
              <a16:creationId xmlns:a16="http://schemas.microsoft.com/office/drawing/2014/main" id="{00000000-0008-0000-0F00-00003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4" name="AutoShape 1">
          <a:extLst>
            <a:ext uri="{FF2B5EF4-FFF2-40B4-BE49-F238E27FC236}">
              <a16:creationId xmlns:a16="http://schemas.microsoft.com/office/drawing/2014/main" id="{00000000-0008-0000-0F00-00004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5" name="AutoShape 1">
          <a:extLst>
            <a:ext uri="{FF2B5EF4-FFF2-40B4-BE49-F238E27FC236}">
              <a16:creationId xmlns:a16="http://schemas.microsoft.com/office/drawing/2014/main" id="{00000000-0008-0000-0F00-00004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6" name="AutoShape 1">
          <a:extLst>
            <a:ext uri="{FF2B5EF4-FFF2-40B4-BE49-F238E27FC236}">
              <a16:creationId xmlns:a16="http://schemas.microsoft.com/office/drawing/2014/main" id="{00000000-0008-0000-0F00-00004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7" name="AutoShape 1">
          <a:extLst>
            <a:ext uri="{FF2B5EF4-FFF2-40B4-BE49-F238E27FC236}">
              <a16:creationId xmlns:a16="http://schemas.microsoft.com/office/drawing/2014/main" id="{00000000-0008-0000-0F00-00004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8" name="AutoShape 1">
          <a:extLst>
            <a:ext uri="{FF2B5EF4-FFF2-40B4-BE49-F238E27FC236}">
              <a16:creationId xmlns:a16="http://schemas.microsoft.com/office/drawing/2014/main" id="{00000000-0008-0000-0F00-00004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09" name="AutoShape 1">
          <a:extLst>
            <a:ext uri="{FF2B5EF4-FFF2-40B4-BE49-F238E27FC236}">
              <a16:creationId xmlns:a16="http://schemas.microsoft.com/office/drawing/2014/main" id="{00000000-0008-0000-0F00-00004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0" name="AutoShape 1">
          <a:extLst>
            <a:ext uri="{FF2B5EF4-FFF2-40B4-BE49-F238E27FC236}">
              <a16:creationId xmlns:a16="http://schemas.microsoft.com/office/drawing/2014/main" id="{00000000-0008-0000-0F00-00004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1" name="AutoShape 1">
          <a:extLst>
            <a:ext uri="{FF2B5EF4-FFF2-40B4-BE49-F238E27FC236}">
              <a16:creationId xmlns:a16="http://schemas.microsoft.com/office/drawing/2014/main" id="{00000000-0008-0000-0F00-00004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2" name="AutoShape 1">
          <a:extLst>
            <a:ext uri="{FF2B5EF4-FFF2-40B4-BE49-F238E27FC236}">
              <a16:creationId xmlns:a16="http://schemas.microsoft.com/office/drawing/2014/main" id="{00000000-0008-0000-0F00-00004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3" name="AutoShape 1">
          <a:extLst>
            <a:ext uri="{FF2B5EF4-FFF2-40B4-BE49-F238E27FC236}">
              <a16:creationId xmlns:a16="http://schemas.microsoft.com/office/drawing/2014/main" id="{00000000-0008-0000-0F00-00004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4" name="AutoShape 1">
          <a:extLst>
            <a:ext uri="{FF2B5EF4-FFF2-40B4-BE49-F238E27FC236}">
              <a16:creationId xmlns:a16="http://schemas.microsoft.com/office/drawing/2014/main" id="{00000000-0008-0000-0F00-00004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5" name="AutoShape 1">
          <a:extLst>
            <a:ext uri="{FF2B5EF4-FFF2-40B4-BE49-F238E27FC236}">
              <a16:creationId xmlns:a16="http://schemas.microsoft.com/office/drawing/2014/main" id="{00000000-0008-0000-0F00-00004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6" name="AutoShape 1">
          <a:extLst>
            <a:ext uri="{FF2B5EF4-FFF2-40B4-BE49-F238E27FC236}">
              <a16:creationId xmlns:a16="http://schemas.microsoft.com/office/drawing/2014/main" id="{00000000-0008-0000-0F00-00004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7" name="AutoShape 1">
          <a:extLst>
            <a:ext uri="{FF2B5EF4-FFF2-40B4-BE49-F238E27FC236}">
              <a16:creationId xmlns:a16="http://schemas.microsoft.com/office/drawing/2014/main" id="{00000000-0008-0000-0F00-00004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8" name="AutoShape 1">
          <a:extLst>
            <a:ext uri="{FF2B5EF4-FFF2-40B4-BE49-F238E27FC236}">
              <a16:creationId xmlns:a16="http://schemas.microsoft.com/office/drawing/2014/main" id="{00000000-0008-0000-0F00-00004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19" name="AutoShape 1">
          <a:extLst>
            <a:ext uri="{FF2B5EF4-FFF2-40B4-BE49-F238E27FC236}">
              <a16:creationId xmlns:a16="http://schemas.microsoft.com/office/drawing/2014/main" id="{00000000-0008-0000-0F00-00004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0" name="AutoShape 1">
          <a:extLst>
            <a:ext uri="{FF2B5EF4-FFF2-40B4-BE49-F238E27FC236}">
              <a16:creationId xmlns:a16="http://schemas.microsoft.com/office/drawing/2014/main" id="{00000000-0008-0000-0F00-00005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1" name="AutoShape 1">
          <a:extLst>
            <a:ext uri="{FF2B5EF4-FFF2-40B4-BE49-F238E27FC236}">
              <a16:creationId xmlns:a16="http://schemas.microsoft.com/office/drawing/2014/main" id="{00000000-0008-0000-0F00-00005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2" name="AutoShape 1">
          <a:extLst>
            <a:ext uri="{FF2B5EF4-FFF2-40B4-BE49-F238E27FC236}">
              <a16:creationId xmlns:a16="http://schemas.microsoft.com/office/drawing/2014/main" id="{00000000-0008-0000-0F00-00005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3" name="AutoShape 1">
          <a:extLst>
            <a:ext uri="{FF2B5EF4-FFF2-40B4-BE49-F238E27FC236}">
              <a16:creationId xmlns:a16="http://schemas.microsoft.com/office/drawing/2014/main" id="{00000000-0008-0000-0F00-00005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4" name="AutoShape 1">
          <a:extLst>
            <a:ext uri="{FF2B5EF4-FFF2-40B4-BE49-F238E27FC236}">
              <a16:creationId xmlns:a16="http://schemas.microsoft.com/office/drawing/2014/main" id="{00000000-0008-0000-0F00-00005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5" name="AutoShape 1">
          <a:extLst>
            <a:ext uri="{FF2B5EF4-FFF2-40B4-BE49-F238E27FC236}">
              <a16:creationId xmlns:a16="http://schemas.microsoft.com/office/drawing/2014/main" id="{00000000-0008-0000-0F00-00005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6" name="AutoShape 1">
          <a:extLst>
            <a:ext uri="{FF2B5EF4-FFF2-40B4-BE49-F238E27FC236}">
              <a16:creationId xmlns:a16="http://schemas.microsoft.com/office/drawing/2014/main" id="{00000000-0008-0000-0F00-00005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7" name="AutoShape 1">
          <a:extLst>
            <a:ext uri="{FF2B5EF4-FFF2-40B4-BE49-F238E27FC236}">
              <a16:creationId xmlns:a16="http://schemas.microsoft.com/office/drawing/2014/main" id="{00000000-0008-0000-0F00-00005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8" name="AutoShape 1">
          <a:extLst>
            <a:ext uri="{FF2B5EF4-FFF2-40B4-BE49-F238E27FC236}">
              <a16:creationId xmlns:a16="http://schemas.microsoft.com/office/drawing/2014/main" id="{00000000-0008-0000-0F00-00005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29" name="AutoShape 1">
          <a:extLst>
            <a:ext uri="{FF2B5EF4-FFF2-40B4-BE49-F238E27FC236}">
              <a16:creationId xmlns:a16="http://schemas.microsoft.com/office/drawing/2014/main" id="{00000000-0008-0000-0F00-00005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0" name="AutoShape 1">
          <a:extLst>
            <a:ext uri="{FF2B5EF4-FFF2-40B4-BE49-F238E27FC236}">
              <a16:creationId xmlns:a16="http://schemas.microsoft.com/office/drawing/2014/main" id="{00000000-0008-0000-0F00-00005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1" name="AutoShape 1">
          <a:extLst>
            <a:ext uri="{FF2B5EF4-FFF2-40B4-BE49-F238E27FC236}">
              <a16:creationId xmlns:a16="http://schemas.microsoft.com/office/drawing/2014/main" id="{00000000-0008-0000-0F00-00005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2" name="AutoShape 1">
          <a:extLst>
            <a:ext uri="{FF2B5EF4-FFF2-40B4-BE49-F238E27FC236}">
              <a16:creationId xmlns:a16="http://schemas.microsoft.com/office/drawing/2014/main" id="{00000000-0008-0000-0F00-00005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3" name="AutoShape 1">
          <a:extLst>
            <a:ext uri="{FF2B5EF4-FFF2-40B4-BE49-F238E27FC236}">
              <a16:creationId xmlns:a16="http://schemas.microsoft.com/office/drawing/2014/main" id="{00000000-0008-0000-0F00-00005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4" name="AutoShape 1">
          <a:extLst>
            <a:ext uri="{FF2B5EF4-FFF2-40B4-BE49-F238E27FC236}">
              <a16:creationId xmlns:a16="http://schemas.microsoft.com/office/drawing/2014/main" id="{00000000-0008-0000-0F00-00005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5" name="AutoShape 1">
          <a:extLst>
            <a:ext uri="{FF2B5EF4-FFF2-40B4-BE49-F238E27FC236}">
              <a16:creationId xmlns:a16="http://schemas.microsoft.com/office/drawing/2014/main" id="{00000000-0008-0000-0F00-00005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6" name="AutoShape 1">
          <a:extLst>
            <a:ext uri="{FF2B5EF4-FFF2-40B4-BE49-F238E27FC236}">
              <a16:creationId xmlns:a16="http://schemas.microsoft.com/office/drawing/2014/main" id="{00000000-0008-0000-0F00-00006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7" name="AutoShape 1">
          <a:extLst>
            <a:ext uri="{FF2B5EF4-FFF2-40B4-BE49-F238E27FC236}">
              <a16:creationId xmlns:a16="http://schemas.microsoft.com/office/drawing/2014/main" id="{00000000-0008-0000-0F00-00006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8" name="AutoShape 1">
          <a:extLst>
            <a:ext uri="{FF2B5EF4-FFF2-40B4-BE49-F238E27FC236}">
              <a16:creationId xmlns:a16="http://schemas.microsoft.com/office/drawing/2014/main" id="{00000000-0008-0000-0F00-00006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39" name="AutoShape 1">
          <a:extLst>
            <a:ext uri="{FF2B5EF4-FFF2-40B4-BE49-F238E27FC236}">
              <a16:creationId xmlns:a16="http://schemas.microsoft.com/office/drawing/2014/main" id="{00000000-0008-0000-0F00-00006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0" name="AutoShape 1">
          <a:extLst>
            <a:ext uri="{FF2B5EF4-FFF2-40B4-BE49-F238E27FC236}">
              <a16:creationId xmlns:a16="http://schemas.microsoft.com/office/drawing/2014/main" id="{00000000-0008-0000-0F00-00006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1" name="AutoShape 1">
          <a:extLst>
            <a:ext uri="{FF2B5EF4-FFF2-40B4-BE49-F238E27FC236}">
              <a16:creationId xmlns:a16="http://schemas.microsoft.com/office/drawing/2014/main" id="{00000000-0008-0000-0F00-00006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2" name="AutoShape 1">
          <a:extLst>
            <a:ext uri="{FF2B5EF4-FFF2-40B4-BE49-F238E27FC236}">
              <a16:creationId xmlns:a16="http://schemas.microsoft.com/office/drawing/2014/main" id="{00000000-0008-0000-0F00-00006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3" name="AutoShape 1">
          <a:extLst>
            <a:ext uri="{FF2B5EF4-FFF2-40B4-BE49-F238E27FC236}">
              <a16:creationId xmlns:a16="http://schemas.microsoft.com/office/drawing/2014/main" id="{00000000-0008-0000-0F00-00006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4" name="AutoShape 1">
          <a:extLst>
            <a:ext uri="{FF2B5EF4-FFF2-40B4-BE49-F238E27FC236}">
              <a16:creationId xmlns:a16="http://schemas.microsoft.com/office/drawing/2014/main" id="{00000000-0008-0000-0F00-00006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5" name="AutoShape 1">
          <a:extLst>
            <a:ext uri="{FF2B5EF4-FFF2-40B4-BE49-F238E27FC236}">
              <a16:creationId xmlns:a16="http://schemas.microsoft.com/office/drawing/2014/main" id="{00000000-0008-0000-0F00-00006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6" name="AutoShape 1">
          <a:extLst>
            <a:ext uri="{FF2B5EF4-FFF2-40B4-BE49-F238E27FC236}">
              <a16:creationId xmlns:a16="http://schemas.microsoft.com/office/drawing/2014/main" id="{00000000-0008-0000-0F00-00006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7" name="AutoShape 1">
          <a:extLst>
            <a:ext uri="{FF2B5EF4-FFF2-40B4-BE49-F238E27FC236}">
              <a16:creationId xmlns:a16="http://schemas.microsoft.com/office/drawing/2014/main" id="{00000000-0008-0000-0F00-00006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8" name="AutoShape 1">
          <a:extLst>
            <a:ext uri="{FF2B5EF4-FFF2-40B4-BE49-F238E27FC236}">
              <a16:creationId xmlns:a16="http://schemas.microsoft.com/office/drawing/2014/main" id="{00000000-0008-0000-0F00-00006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49" name="AutoShape 1">
          <a:extLst>
            <a:ext uri="{FF2B5EF4-FFF2-40B4-BE49-F238E27FC236}">
              <a16:creationId xmlns:a16="http://schemas.microsoft.com/office/drawing/2014/main" id="{00000000-0008-0000-0F00-00006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0" name="AutoShape 1">
          <a:extLst>
            <a:ext uri="{FF2B5EF4-FFF2-40B4-BE49-F238E27FC236}">
              <a16:creationId xmlns:a16="http://schemas.microsoft.com/office/drawing/2014/main" id="{00000000-0008-0000-0F00-00006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1" name="AutoShape 1">
          <a:extLst>
            <a:ext uri="{FF2B5EF4-FFF2-40B4-BE49-F238E27FC236}">
              <a16:creationId xmlns:a16="http://schemas.microsoft.com/office/drawing/2014/main" id="{00000000-0008-0000-0F00-00006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2" name="AutoShape 1">
          <a:extLst>
            <a:ext uri="{FF2B5EF4-FFF2-40B4-BE49-F238E27FC236}">
              <a16:creationId xmlns:a16="http://schemas.microsoft.com/office/drawing/2014/main" id="{00000000-0008-0000-0F00-00007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3" name="AutoShape 1">
          <a:extLst>
            <a:ext uri="{FF2B5EF4-FFF2-40B4-BE49-F238E27FC236}">
              <a16:creationId xmlns:a16="http://schemas.microsoft.com/office/drawing/2014/main" id="{00000000-0008-0000-0F00-00007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4" name="AutoShape 1">
          <a:extLst>
            <a:ext uri="{FF2B5EF4-FFF2-40B4-BE49-F238E27FC236}">
              <a16:creationId xmlns:a16="http://schemas.microsoft.com/office/drawing/2014/main" id="{00000000-0008-0000-0F00-00007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5" name="AutoShape 1">
          <a:extLst>
            <a:ext uri="{FF2B5EF4-FFF2-40B4-BE49-F238E27FC236}">
              <a16:creationId xmlns:a16="http://schemas.microsoft.com/office/drawing/2014/main" id="{00000000-0008-0000-0F00-00007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6" name="AutoShape 1">
          <a:extLst>
            <a:ext uri="{FF2B5EF4-FFF2-40B4-BE49-F238E27FC236}">
              <a16:creationId xmlns:a16="http://schemas.microsoft.com/office/drawing/2014/main" id="{00000000-0008-0000-0F00-00007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7" name="AutoShape 1">
          <a:extLst>
            <a:ext uri="{FF2B5EF4-FFF2-40B4-BE49-F238E27FC236}">
              <a16:creationId xmlns:a16="http://schemas.microsoft.com/office/drawing/2014/main" id="{00000000-0008-0000-0F00-00007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8" name="AutoShape 1">
          <a:extLst>
            <a:ext uri="{FF2B5EF4-FFF2-40B4-BE49-F238E27FC236}">
              <a16:creationId xmlns:a16="http://schemas.microsoft.com/office/drawing/2014/main" id="{00000000-0008-0000-0F00-00007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59" name="AutoShape 1">
          <a:extLst>
            <a:ext uri="{FF2B5EF4-FFF2-40B4-BE49-F238E27FC236}">
              <a16:creationId xmlns:a16="http://schemas.microsoft.com/office/drawing/2014/main" id="{00000000-0008-0000-0F00-00007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0" name="AutoShape 1">
          <a:extLst>
            <a:ext uri="{FF2B5EF4-FFF2-40B4-BE49-F238E27FC236}">
              <a16:creationId xmlns:a16="http://schemas.microsoft.com/office/drawing/2014/main" id="{00000000-0008-0000-0F00-00007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1" name="AutoShape 1">
          <a:extLst>
            <a:ext uri="{FF2B5EF4-FFF2-40B4-BE49-F238E27FC236}">
              <a16:creationId xmlns:a16="http://schemas.microsoft.com/office/drawing/2014/main" id="{00000000-0008-0000-0F00-00007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2" name="AutoShape 1">
          <a:extLst>
            <a:ext uri="{FF2B5EF4-FFF2-40B4-BE49-F238E27FC236}">
              <a16:creationId xmlns:a16="http://schemas.microsoft.com/office/drawing/2014/main" id="{00000000-0008-0000-0F00-00007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3" name="AutoShape 1">
          <a:extLst>
            <a:ext uri="{FF2B5EF4-FFF2-40B4-BE49-F238E27FC236}">
              <a16:creationId xmlns:a16="http://schemas.microsoft.com/office/drawing/2014/main" id="{00000000-0008-0000-0F00-00007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4" name="AutoShape 1">
          <a:extLst>
            <a:ext uri="{FF2B5EF4-FFF2-40B4-BE49-F238E27FC236}">
              <a16:creationId xmlns:a16="http://schemas.microsoft.com/office/drawing/2014/main" id="{00000000-0008-0000-0F00-00007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5" name="AutoShape 1">
          <a:extLst>
            <a:ext uri="{FF2B5EF4-FFF2-40B4-BE49-F238E27FC236}">
              <a16:creationId xmlns:a16="http://schemas.microsoft.com/office/drawing/2014/main" id="{00000000-0008-0000-0F00-00007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6" name="AutoShape 1">
          <a:extLst>
            <a:ext uri="{FF2B5EF4-FFF2-40B4-BE49-F238E27FC236}">
              <a16:creationId xmlns:a16="http://schemas.microsoft.com/office/drawing/2014/main" id="{00000000-0008-0000-0F00-00007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7" name="AutoShape 1">
          <a:extLst>
            <a:ext uri="{FF2B5EF4-FFF2-40B4-BE49-F238E27FC236}">
              <a16:creationId xmlns:a16="http://schemas.microsoft.com/office/drawing/2014/main" id="{00000000-0008-0000-0F00-00007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8" name="AutoShape 1">
          <a:extLst>
            <a:ext uri="{FF2B5EF4-FFF2-40B4-BE49-F238E27FC236}">
              <a16:creationId xmlns:a16="http://schemas.microsoft.com/office/drawing/2014/main" id="{00000000-0008-0000-0F00-00008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69" name="AutoShape 1">
          <a:extLst>
            <a:ext uri="{FF2B5EF4-FFF2-40B4-BE49-F238E27FC236}">
              <a16:creationId xmlns:a16="http://schemas.microsoft.com/office/drawing/2014/main" id="{00000000-0008-0000-0F00-00008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0" name="AutoShape 1">
          <a:extLst>
            <a:ext uri="{FF2B5EF4-FFF2-40B4-BE49-F238E27FC236}">
              <a16:creationId xmlns:a16="http://schemas.microsoft.com/office/drawing/2014/main" id="{00000000-0008-0000-0F00-00008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1" name="AutoShape 1">
          <a:extLst>
            <a:ext uri="{FF2B5EF4-FFF2-40B4-BE49-F238E27FC236}">
              <a16:creationId xmlns:a16="http://schemas.microsoft.com/office/drawing/2014/main" id="{00000000-0008-0000-0F00-00008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2" name="AutoShape 1">
          <a:extLst>
            <a:ext uri="{FF2B5EF4-FFF2-40B4-BE49-F238E27FC236}">
              <a16:creationId xmlns:a16="http://schemas.microsoft.com/office/drawing/2014/main" id="{00000000-0008-0000-0F00-00008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3" name="AutoShape 1">
          <a:extLst>
            <a:ext uri="{FF2B5EF4-FFF2-40B4-BE49-F238E27FC236}">
              <a16:creationId xmlns:a16="http://schemas.microsoft.com/office/drawing/2014/main" id="{00000000-0008-0000-0F00-00008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4" name="AutoShape 1">
          <a:extLst>
            <a:ext uri="{FF2B5EF4-FFF2-40B4-BE49-F238E27FC236}">
              <a16:creationId xmlns:a16="http://schemas.microsoft.com/office/drawing/2014/main" id="{00000000-0008-0000-0F00-00008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5" name="AutoShape 1">
          <a:extLst>
            <a:ext uri="{FF2B5EF4-FFF2-40B4-BE49-F238E27FC236}">
              <a16:creationId xmlns:a16="http://schemas.microsoft.com/office/drawing/2014/main" id="{00000000-0008-0000-0F00-00008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6" name="AutoShape 1">
          <a:extLst>
            <a:ext uri="{FF2B5EF4-FFF2-40B4-BE49-F238E27FC236}">
              <a16:creationId xmlns:a16="http://schemas.microsoft.com/office/drawing/2014/main" id="{00000000-0008-0000-0F00-00008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7" name="AutoShape 1">
          <a:extLst>
            <a:ext uri="{FF2B5EF4-FFF2-40B4-BE49-F238E27FC236}">
              <a16:creationId xmlns:a16="http://schemas.microsoft.com/office/drawing/2014/main" id="{00000000-0008-0000-0F00-00008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8" name="AutoShape 1">
          <a:extLst>
            <a:ext uri="{FF2B5EF4-FFF2-40B4-BE49-F238E27FC236}">
              <a16:creationId xmlns:a16="http://schemas.microsoft.com/office/drawing/2014/main" id="{00000000-0008-0000-0F00-00008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79" name="AutoShape 1">
          <a:extLst>
            <a:ext uri="{FF2B5EF4-FFF2-40B4-BE49-F238E27FC236}">
              <a16:creationId xmlns:a16="http://schemas.microsoft.com/office/drawing/2014/main" id="{00000000-0008-0000-0F00-00008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0" name="AutoShape 1">
          <a:extLst>
            <a:ext uri="{FF2B5EF4-FFF2-40B4-BE49-F238E27FC236}">
              <a16:creationId xmlns:a16="http://schemas.microsoft.com/office/drawing/2014/main" id="{00000000-0008-0000-0F00-00008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1" name="AutoShape 1">
          <a:extLst>
            <a:ext uri="{FF2B5EF4-FFF2-40B4-BE49-F238E27FC236}">
              <a16:creationId xmlns:a16="http://schemas.microsoft.com/office/drawing/2014/main" id="{00000000-0008-0000-0F00-00008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2" name="AutoShape 1">
          <a:extLst>
            <a:ext uri="{FF2B5EF4-FFF2-40B4-BE49-F238E27FC236}">
              <a16:creationId xmlns:a16="http://schemas.microsoft.com/office/drawing/2014/main" id="{00000000-0008-0000-0F00-00008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3" name="AutoShape 1">
          <a:extLst>
            <a:ext uri="{FF2B5EF4-FFF2-40B4-BE49-F238E27FC236}">
              <a16:creationId xmlns:a16="http://schemas.microsoft.com/office/drawing/2014/main" id="{00000000-0008-0000-0F00-00008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4" name="AutoShape 1">
          <a:extLst>
            <a:ext uri="{FF2B5EF4-FFF2-40B4-BE49-F238E27FC236}">
              <a16:creationId xmlns:a16="http://schemas.microsoft.com/office/drawing/2014/main" id="{00000000-0008-0000-0F00-00009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5" name="AutoShape 1">
          <a:extLst>
            <a:ext uri="{FF2B5EF4-FFF2-40B4-BE49-F238E27FC236}">
              <a16:creationId xmlns:a16="http://schemas.microsoft.com/office/drawing/2014/main" id="{00000000-0008-0000-0F00-00009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6" name="AutoShape 1">
          <a:extLst>
            <a:ext uri="{FF2B5EF4-FFF2-40B4-BE49-F238E27FC236}">
              <a16:creationId xmlns:a16="http://schemas.microsoft.com/office/drawing/2014/main" id="{00000000-0008-0000-0F00-00009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7" name="AutoShape 1">
          <a:extLst>
            <a:ext uri="{FF2B5EF4-FFF2-40B4-BE49-F238E27FC236}">
              <a16:creationId xmlns:a16="http://schemas.microsoft.com/office/drawing/2014/main" id="{00000000-0008-0000-0F00-00009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8" name="AutoShape 1">
          <a:extLst>
            <a:ext uri="{FF2B5EF4-FFF2-40B4-BE49-F238E27FC236}">
              <a16:creationId xmlns:a16="http://schemas.microsoft.com/office/drawing/2014/main" id="{00000000-0008-0000-0F00-00009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89" name="AutoShape 1">
          <a:extLst>
            <a:ext uri="{FF2B5EF4-FFF2-40B4-BE49-F238E27FC236}">
              <a16:creationId xmlns:a16="http://schemas.microsoft.com/office/drawing/2014/main" id="{00000000-0008-0000-0F00-00009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0" name="AutoShape 1">
          <a:extLst>
            <a:ext uri="{FF2B5EF4-FFF2-40B4-BE49-F238E27FC236}">
              <a16:creationId xmlns:a16="http://schemas.microsoft.com/office/drawing/2014/main" id="{00000000-0008-0000-0F00-00009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1" name="AutoShape 1">
          <a:extLst>
            <a:ext uri="{FF2B5EF4-FFF2-40B4-BE49-F238E27FC236}">
              <a16:creationId xmlns:a16="http://schemas.microsoft.com/office/drawing/2014/main" id="{00000000-0008-0000-0F00-00009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2" name="AutoShape 1">
          <a:extLst>
            <a:ext uri="{FF2B5EF4-FFF2-40B4-BE49-F238E27FC236}">
              <a16:creationId xmlns:a16="http://schemas.microsoft.com/office/drawing/2014/main" id="{00000000-0008-0000-0F00-00009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3" name="AutoShape 1">
          <a:extLst>
            <a:ext uri="{FF2B5EF4-FFF2-40B4-BE49-F238E27FC236}">
              <a16:creationId xmlns:a16="http://schemas.microsoft.com/office/drawing/2014/main" id="{00000000-0008-0000-0F00-00009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4" name="AutoShape 1">
          <a:extLst>
            <a:ext uri="{FF2B5EF4-FFF2-40B4-BE49-F238E27FC236}">
              <a16:creationId xmlns:a16="http://schemas.microsoft.com/office/drawing/2014/main" id="{00000000-0008-0000-0F00-00009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5" name="AutoShape 1">
          <a:extLst>
            <a:ext uri="{FF2B5EF4-FFF2-40B4-BE49-F238E27FC236}">
              <a16:creationId xmlns:a16="http://schemas.microsoft.com/office/drawing/2014/main" id="{00000000-0008-0000-0F00-00009B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6" name="AutoShape 1">
          <a:extLst>
            <a:ext uri="{FF2B5EF4-FFF2-40B4-BE49-F238E27FC236}">
              <a16:creationId xmlns:a16="http://schemas.microsoft.com/office/drawing/2014/main" id="{00000000-0008-0000-0F00-00009C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7" name="AutoShape 1">
          <a:extLst>
            <a:ext uri="{FF2B5EF4-FFF2-40B4-BE49-F238E27FC236}">
              <a16:creationId xmlns:a16="http://schemas.microsoft.com/office/drawing/2014/main" id="{00000000-0008-0000-0F00-00009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8" name="AutoShape 1">
          <a:extLst>
            <a:ext uri="{FF2B5EF4-FFF2-40B4-BE49-F238E27FC236}">
              <a16:creationId xmlns:a16="http://schemas.microsoft.com/office/drawing/2014/main" id="{00000000-0008-0000-0F00-00009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3999" name="AutoShape 1">
          <a:extLst>
            <a:ext uri="{FF2B5EF4-FFF2-40B4-BE49-F238E27FC236}">
              <a16:creationId xmlns:a16="http://schemas.microsoft.com/office/drawing/2014/main" id="{00000000-0008-0000-0F00-00009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0" name="AutoShape 1">
          <a:extLst>
            <a:ext uri="{FF2B5EF4-FFF2-40B4-BE49-F238E27FC236}">
              <a16:creationId xmlns:a16="http://schemas.microsoft.com/office/drawing/2014/main" id="{00000000-0008-0000-0F00-0000A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1" name="AutoShape 1">
          <a:extLst>
            <a:ext uri="{FF2B5EF4-FFF2-40B4-BE49-F238E27FC236}">
              <a16:creationId xmlns:a16="http://schemas.microsoft.com/office/drawing/2014/main" id="{00000000-0008-0000-0F00-0000A1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2" name="AutoShape 1">
          <a:extLst>
            <a:ext uri="{FF2B5EF4-FFF2-40B4-BE49-F238E27FC236}">
              <a16:creationId xmlns:a16="http://schemas.microsoft.com/office/drawing/2014/main" id="{00000000-0008-0000-0F00-0000A2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3" name="AutoShape 1">
          <a:extLst>
            <a:ext uri="{FF2B5EF4-FFF2-40B4-BE49-F238E27FC236}">
              <a16:creationId xmlns:a16="http://schemas.microsoft.com/office/drawing/2014/main" id="{00000000-0008-0000-0F00-0000A3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4" name="AutoShape 1">
          <a:extLst>
            <a:ext uri="{FF2B5EF4-FFF2-40B4-BE49-F238E27FC236}">
              <a16:creationId xmlns:a16="http://schemas.microsoft.com/office/drawing/2014/main" id="{00000000-0008-0000-0F00-0000A4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5" name="AutoShape 1">
          <a:extLst>
            <a:ext uri="{FF2B5EF4-FFF2-40B4-BE49-F238E27FC236}">
              <a16:creationId xmlns:a16="http://schemas.microsoft.com/office/drawing/2014/main" id="{00000000-0008-0000-0F00-0000A5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6" name="AutoShape 1">
          <a:extLst>
            <a:ext uri="{FF2B5EF4-FFF2-40B4-BE49-F238E27FC236}">
              <a16:creationId xmlns:a16="http://schemas.microsoft.com/office/drawing/2014/main" id="{00000000-0008-0000-0F00-0000A6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7" name="AutoShape 1">
          <a:extLst>
            <a:ext uri="{FF2B5EF4-FFF2-40B4-BE49-F238E27FC236}">
              <a16:creationId xmlns:a16="http://schemas.microsoft.com/office/drawing/2014/main" id="{00000000-0008-0000-0F00-0000A7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8" name="AutoShape 1">
          <a:extLst>
            <a:ext uri="{FF2B5EF4-FFF2-40B4-BE49-F238E27FC236}">
              <a16:creationId xmlns:a16="http://schemas.microsoft.com/office/drawing/2014/main" id="{00000000-0008-0000-0F00-0000A8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09" name="AutoShape 1">
          <a:extLst>
            <a:ext uri="{FF2B5EF4-FFF2-40B4-BE49-F238E27FC236}">
              <a16:creationId xmlns:a16="http://schemas.microsoft.com/office/drawing/2014/main" id="{00000000-0008-0000-0F00-0000A9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0" name="AutoShape 1">
          <a:extLst>
            <a:ext uri="{FF2B5EF4-FFF2-40B4-BE49-F238E27FC236}">
              <a16:creationId xmlns:a16="http://schemas.microsoft.com/office/drawing/2014/main" id="{00000000-0008-0000-0F00-0000AA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1" name="AutoShape 1">
          <a:extLst>
            <a:ext uri="{FF2B5EF4-FFF2-40B4-BE49-F238E27FC236}">
              <a16:creationId xmlns:a16="http://schemas.microsoft.com/office/drawing/2014/main" id="{00000000-0008-0000-0F00-0000A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2" name="AutoShape 1">
          <a:extLst>
            <a:ext uri="{FF2B5EF4-FFF2-40B4-BE49-F238E27FC236}">
              <a16:creationId xmlns:a16="http://schemas.microsoft.com/office/drawing/2014/main" id="{00000000-0008-0000-0F00-0000A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3" name="AutoShape 1">
          <a:extLst>
            <a:ext uri="{FF2B5EF4-FFF2-40B4-BE49-F238E27FC236}">
              <a16:creationId xmlns:a16="http://schemas.microsoft.com/office/drawing/2014/main" id="{00000000-0008-0000-0F00-0000A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4" name="AutoShape 1">
          <a:extLst>
            <a:ext uri="{FF2B5EF4-FFF2-40B4-BE49-F238E27FC236}">
              <a16:creationId xmlns:a16="http://schemas.microsoft.com/office/drawing/2014/main" id="{00000000-0008-0000-0F00-0000A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5" name="AutoShape 1">
          <a:extLst>
            <a:ext uri="{FF2B5EF4-FFF2-40B4-BE49-F238E27FC236}">
              <a16:creationId xmlns:a16="http://schemas.microsoft.com/office/drawing/2014/main" id="{00000000-0008-0000-0F00-0000A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6" name="AutoShape 1">
          <a:extLst>
            <a:ext uri="{FF2B5EF4-FFF2-40B4-BE49-F238E27FC236}">
              <a16:creationId xmlns:a16="http://schemas.microsoft.com/office/drawing/2014/main" id="{00000000-0008-0000-0F00-0000B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7" name="AutoShape 1">
          <a:extLst>
            <a:ext uri="{FF2B5EF4-FFF2-40B4-BE49-F238E27FC236}">
              <a16:creationId xmlns:a16="http://schemas.microsoft.com/office/drawing/2014/main" id="{00000000-0008-0000-0F00-0000B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8" name="AutoShape 1">
          <a:extLst>
            <a:ext uri="{FF2B5EF4-FFF2-40B4-BE49-F238E27FC236}">
              <a16:creationId xmlns:a16="http://schemas.microsoft.com/office/drawing/2014/main" id="{00000000-0008-0000-0F00-0000B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19" name="AutoShape 1">
          <a:extLst>
            <a:ext uri="{FF2B5EF4-FFF2-40B4-BE49-F238E27FC236}">
              <a16:creationId xmlns:a16="http://schemas.microsoft.com/office/drawing/2014/main" id="{00000000-0008-0000-0F00-0000B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0" name="AutoShape 1">
          <a:extLst>
            <a:ext uri="{FF2B5EF4-FFF2-40B4-BE49-F238E27FC236}">
              <a16:creationId xmlns:a16="http://schemas.microsoft.com/office/drawing/2014/main" id="{00000000-0008-0000-0F00-0000B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1" name="AutoShape 1">
          <a:extLst>
            <a:ext uri="{FF2B5EF4-FFF2-40B4-BE49-F238E27FC236}">
              <a16:creationId xmlns:a16="http://schemas.microsoft.com/office/drawing/2014/main" id="{00000000-0008-0000-0F00-0000B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2" name="AutoShape 1">
          <a:extLst>
            <a:ext uri="{FF2B5EF4-FFF2-40B4-BE49-F238E27FC236}">
              <a16:creationId xmlns:a16="http://schemas.microsoft.com/office/drawing/2014/main" id="{00000000-0008-0000-0F00-0000B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3" name="AutoShape 1">
          <a:extLst>
            <a:ext uri="{FF2B5EF4-FFF2-40B4-BE49-F238E27FC236}">
              <a16:creationId xmlns:a16="http://schemas.microsoft.com/office/drawing/2014/main" id="{00000000-0008-0000-0F00-0000B7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4" name="AutoShape 1">
          <a:extLst>
            <a:ext uri="{FF2B5EF4-FFF2-40B4-BE49-F238E27FC236}">
              <a16:creationId xmlns:a16="http://schemas.microsoft.com/office/drawing/2014/main" id="{00000000-0008-0000-0F00-0000B8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5" name="AutoShape 1">
          <a:extLst>
            <a:ext uri="{FF2B5EF4-FFF2-40B4-BE49-F238E27FC236}">
              <a16:creationId xmlns:a16="http://schemas.microsoft.com/office/drawing/2014/main" id="{00000000-0008-0000-0F00-0000B9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6" name="AutoShape 1">
          <a:extLst>
            <a:ext uri="{FF2B5EF4-FFF2-40B4-BE49-F238E27FC236}">
              <a16:creationId xmlns:a16="http://schemas.microsoft.com/office/drawing/2014/main" id="{00000000-0008-0000-0F00-0000BA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7" name="AutoShape 1">
          <a:extLst>
            <a:ext uri="{FF2B5EF4-FFF2-40B4-BE49-F238E27FC236}">
              <a16:creationId xmlns:a16="http://schemas.microsoft.com/office/drawing/2014/main" id="{00000000-0008-0000-0F00-0000BB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8" name="AutoShape 1">
          <a:extLst>
            <a:ext uri="{FF2B5EF4-FFF2-40B4-BE49-F238E27FC236}">
              <a16:creationId xmlns:a16="http://schemas.microsoft.com/office/drawing/2014/main" id="{00000000-0008-0000-0F00-0000BC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29" name="AutoShape 1">
          <a:extLst>
            <a:ext uri="{FF2B5EF4-FFF2-40B4-BE49-F238E27FC236}">
              <a16:creationId xmlns:a16="http://schemas.microsoft.com/office/drawing/2014/main" id="{00000000-0008-0000-0F00-0000BD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0" name="AutoShape 1">
          <a:extLst>
            <a:ext uri="{FF2B5EF4-FFF2-40B4-BE49-F238E27FC236}">
              <a16:creationId xmlns:a16="http://schemas.microsoft.com/office/drawing/2014/main" id="{00000000-0008-0000-0F00-0000BE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1" name="AutoShape 1">
          <a:extLst>
            <a:ext uri="{FF2B5EF4-FFF2-40B4-BE49-F238E27FC236}">
              <a16:creationId xmlns:a16="http://schemas.microsoft.com/office/drawing/2014/main" id="{00000000-0008-0000-0F00-0000BF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2" name="AutoShape 1">
          <a:extLst>
            <a:ext uri="{FF2B5EF4-FFF2-40B4-BE49-F238E27FC236}">
              <a16:creationId xmlns:a16="http://schemas.microsoft.com/office/drawing/2014/main" id="{00000000-0008-0000-0F00-0000C0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3" name="AutoShape 1">
          <a:extLst>
            <a:ext uri="{FF2B5EF4-FFF2-40B4-BE49-F238E27FC236}">
              <a16:creationId xmlns:a16="http://schemas.microsoft.com/office/drawing/2014/main" id="{00000000-0008-0000-0F00-0000C1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4" name="AutoShape 1">
          <a:extLst>
            <a:ext uri="{FF2B5EF4-FFF2-40B4-BE49-F238E27FC236}">
              <a16:creationId xmlns:a16="http://schemas.microsoft.com/office/drawing/2014/main" id="{00000000-0008-0000-0F00-0000C2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5" name="AutoShape 1">
          <a:extLst>
            <a:ext uri="{FF2B5EF4-FFF2-40B4-BE49-F238E27FC236}">
              <a16:creationId xmlns:a16="http://schemas.microsoft.com/office/drawing/2014/main" id="{00000000-0008-0000-0F00-0000C3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6" name="AutoShape 1">
          <a:extLst>
            <a:ext uri="{FF2B5EF4-FFF2-40B4-BE49-F238E27FC236}">
              <a16:creationId xmlns:a16="http://schemas.microsoft.com/office/drawing/2014/main" id="{00000000-0008-0000-0F00-0000C4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7" name="AutoShape 1">
          <a:extLst>
            <a:ext uri="{FF2B5EF4-FFF2-40B4-BE49-F238E27FC236}">
              <a16:creationId xmlns:a16="http://schemas.microsoft.com/office/drawing/2014/main" id="{00000000-0008-0000-0F00-0000C5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8" name="AutoShape 1">
          <a:extLst>
            <a:ext uri="{FF2B5EF4-FFF2-40B4-BE49-F238E27FC236}">
              <a16:creationId xmlns:a16="http://schemas.microsoft.com/office/drawing/2014/main" id="{00000000-0008-0000-0F00-0000C60F0000}"/>
            </a:ext>
          </a:extLst>
        </xdr:cNvPr>
        <xdr:cNvSpPr>
          <a:spLocks noChangeAspect="1" noChangeArrowheads="1"/>
        </xdr:cNvSpPr>
      </xdr:nvSpPr>
      <xdr:spPr bwMode="auto">
        <a:xfrm>
          <a:off x="977900" y="6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39" name="AutoShape 1">
          <a:extLst>
            <a:ext uri="{FF2B5EF4-FFF2-40B4-BE49-F238E27FC236}">
              <a16:creationId xmlns:a16="http://schemas.microsoft.com/office/drawing/2014/main" id="{00000000-0008-0000-0F00-0000C7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0" name="AutoShape 1">
          <a:extLst>
            <a:ext uri="{FF2B5EF4-FFF2-40B4-BE49-F238E27FC236}">
              <a16:creationId xmlns:a16="http://schemas.microsoft.com/office/drawing/2014/main" id="{00000000-0008-0000-0F00-0000C8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1" name="AutoShape 1">
          <a:extLst>
            <a:ext uri="{FF2B5EF4-FFF2-40B4-BE49-F238E27FC236}">
              <a16:creationId xmlns:a16="http://schemas.microsoft.com/office/drawing/2014/main" id="{00000000-0008-0000-0F00-0000C9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2" name="AutoShape 1">
          <a:extLst>
            <a:ext uri="{FF2B5EF4-FFF2-40B4-BE49-F238E27FC236}">
              <a16:creationId xmlns:a16="http://schemas.microsoft.com/office/drawing/2014/main" id="{00000000-0008-0000-0F00-0000CA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3" name="AutoShape 1">
          <a:extLst>
            <a:ext uri="{FF2B5EF4-FFF2-40B4-BE49-F238E27FC236}">
              <a16:creationId xmlns:a16="http://schemas.microsoft.com/office/drawing/2014/main" id="{00000000-0008-0000-0F00-0000CB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4" name="AutoShape 1">
          <a:extLst>
            <a:ext uri="{FF2B5EF4-FFF2-40B4-BE49-F238E27FC236}">
              <a16:creationId xmlns:a16="http://schemas.microsoft.com/office/drawing/2014/main" id="{00000000-0008-0000-0F00-0000CC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5" name="AutoShape 1">
          <a:extLst>
            <a:ext uri="{FF2B5EF4-FFF2-40B4-BE49-F238E27FC236}">
              <a16:creationId xmlns:a16="http://schemas.microsoft.com/office/drawing/2014/main" id="{00000000-0008-0000-0F00-0000CD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6" name="AutoShape 1">
          <a:extLst>
            <a:ext uri="{FF2B5EF4-FFF2-40B4-BE49-F238E27FC236}">
              <a16:creationId xmlns:a16="http://schemas.microsoft.com/office/drawing/2014/main" id="{00000000-0008-0000-0F00-0000CE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7" name="AutoShape 1">
          <a:extLst>
            <a:ext uri="{FF2B5EF4-FFF2-40B4-BE49-F238E27FC236}">
              <a16:creationId xmlns:a16="http://schemas.microsoft.com/office/drawing/2014/main" id="{00000000-0008-0000-0F00-0000CF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8" name="AutoShape 1">
          <a:extLst>
            <a:ext uri="{FF2B5EF4-FFF2-40B4-BE49-F238E27FC236}">
              <a16:creationId xmlns:a16="http://schemas.microsoft.com/office/drawing/2014/main" id="{00000000-0008-0000-0F00-0000D0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49" name="AutoShape 1">
          <a:extLst>
            <a:ext uri="{FF2B5EF4-FFF2-40B4-BE49-F238E27FC236}">
              <a16:creationId xmlns:a16="http://schemas.microsoft.com/office/drawing/2014/main" id="{00000000-0008-0000-0F00-0000D1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0" name="AutoShape 1">
          <a:extLst>
            <a:ext uri="{FF2B5EF4-FFF2-40B4-BE49-F238E27FC236}">
              <a16:creationId xmlns:a16="http://schemas.microsoft.com/office/drawing/2014/main" id="{00000000-0008-0000-0F00-0000D2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1" name="AutoShape 1">
          <a:extLst>
            <a:ext uri="{FF2B5EF4-FFF2-40B4-BE49-F238E27FC236}">
              <a16:creationId xmlns:a16="http://schemas.microsoft.com/office/drawing/2014/main" id="{00000000-0008-0000-0F00-0000D3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2" name="AutoShape 1">
          <a:extLst>
            <a:ext uri="{FF2B5EF4-FFF2-40B4-BE49-F238E27FC236}">
              <a16:creationId xmlns:a16="http://schemas.microsoft.com/office/drawing/2014/main" id="{00000000-0008-0000-0F00-0000D4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3" name="AutoShape 1">
          <a:extLst>
            <a:ext uri="{FF2B5EF4-FFF2-40B4-BE49-F238E27FC236}">
              <a16:creationId xmlns:a16="http://schemas.microsoft.com/office/drawing/2014/main" id="{00000000-0008-0000-0F00-0000D5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4" name="AutoShape 1">
          <a:extLst>
            <a:ext uri="{FF2B5EF4-FFF2-40B4-BE49-F238E27FC236}">
              <a16:creationId xmlns:a16="http://schemas.microsoft.com/office/drawing/2014/main" id="{00000000-0008-0000-0F00-0000D6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5" name="AutoShape 1">
          <a:extLst>
            <a:ext uri="{FF2B5EF4-FFF2-40B4-BE49-F238E27FC236}">
              <a16:creationId xmlns:a16="http://schemas.microsoft.com/office/drawing/2014/main" id="{00000000-0008-0000-0F00-0000D7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6" name="AutoShape 1">
          <a:extLst>
            <a:ext uri="{FF2B5EF4-FFF2-40B4-BE49-F238E27FC236}">
              <a16:creationId xmlns:a16="http://schemas.microsoft.com/office/drawing/2014/main" id="{00000000-0008-0000-0F00-0000D8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7" name="AutoShape 1">
          <a:extLst>
            <a:ext uri="{FF2B5EF4-FFF2-40B4-BE49-F238E27FC236}">
              <a16:creationId xmlns:a16="http://schemas.microsoft.com/office/drawing/2014/main" id="{00000000-0008-0000-0F00-0000D9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8" name="AutoShape 1">
          <a:extLst>
            <a:ext uri="{FF2B5EF4-FFF2-40B4-BE49-F238E27FC236}">
              <a16:creationId xmlns:a16="http://schemas.microsoft.com/office/drawing/2014/main" id="{00000000-0008-0000-0F00-0000DA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59" name="AutoShape 1">
          <a:extLst>
            <a:ext uri="{FF2B5EF4-FFF2-40B4-BE49-F238E27FC236}">
              <a16:creationId xmlns:a16="http://schemas.microsoft.com/office/drawing/2014/main" id="{00000000-0008-0000-0F00-0000DB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0" name="AutoShape 1">
          <a:extLst>
            <a:ext uri="{FF2B5EF4-FFF2-40B4-BE49-F238E27FC236}">
              <a16:creationId xmlns:a16="http://schemas.microsoft.com/office/drawing/2014/main" id="{00000000-0008-0000-0F00-0000DC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1" name="AutoShape 1">
          <a:extLst>
            <a:ext uri="{FF2B5EF4-FFF2-40B4-BE49-F238E27FC236}">
              <a16:creationId xmlns:a16="http://schemas.microsoft.com/office/drawing/2014/main" id="{00000000-0008-0000-0F00-0000DD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2" name="AutoShape 1">
          <a:extLst>
            <a:ext uri="{FF2B5EF4-FFF2-40B4-BE49-F238E27FC236}">
              <a16:creationId xmlns:a16="http://schemas.microsoft.com/office/drawing/2014/main" id="{00000000-0008-0000-0F00-0000DE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3" name="AutoShape 1">
          <a:extLst>
            <a:ext uri="{FF2B5EF4-FFF2-40B4-BE49-F238E27FC236}">
              <a16:creationId xmlns:a16="http://schemas.microsoft.com/office/drawing/2014/main" id="{00000000-0008-0000-0F00-0000DF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4" name="AutoShape 1">
          <a:extLst>
            <a:ext uri="{FF2B5EF4-FFF2-40B4-BE49-F238E27FC236}">
              <a16:creationId xmlns:a16="http://schemas.microsoft.com/office/drawing/2014/main" id="{00000000-0008-0000-0F00-0000E0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5" name="AutoShape 1">
          <a:extLst>
            <a:ext uri="{FF2B5EF4-FFF2-40B4-BE49-F238E27FC236}">
              <a16:creationId xmlns:a16="http://schemas.microsoft.com/office/drawing/2014/main" id="{00000000-0008-0000-0F00-0000E1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6" name="AutoShape 1">
          <a:extLst>
            <a:ext uri="{FF2B5EF4-FFF2-40B4-BE49-F238E27FC236}">
              <a16:creationId xmlns:a16="http://schemas.microsoft.com/office/drawing/2014/main" id="{00000000-0008-0000-0F00-0000E2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7" name="AutoShape 1">
          <a:extLst>
            <a:ext uri="{FF2B5EF4-FFF2-40B4-BE49-F238E27FC236}">
              <a16:creationId xmlns:a16="http://schemas.microsoft.com/office/drawing/2014/main" id="{00000000-0008-0000-0F00-0000E3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8" name="AutoShape 1">
          <a:extLst>
            <a:ext uri="{FF2B5EF4-FFF2-40B4-BE49-F238E27FC236}">
              <a16:creationId xmlns:a16="http://schemas.microsoft.com/office/drawing/2014/main" id="{00000000-0008-0000-0F00-0000E4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69" name="AutoShape 1">
          <a:extLst>
            <a:ext uri="{FF2B5EF4-FFF2-40B4-BE49-F238E27FC236}">
              <a16:creationId xmlns:a16="http://schemas.microsoft.com/office/drawing/2014/main" id="{00000000-0008-0000-0F00-0000E5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0" name="AutoShape 1">
          <a:extLst>
            <a:ext uri="{FF2B5EF4-FFF2-40B4-BE49-F238E27FC236}">
              <a16:creationId xmlns:a16="http://schemas.microsoft.com/office/drawing/2014/main" id="{00000000-0008-0000-0F00-0000E6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1" name="AutoShape 1">
          <a:extLst>
            <a:ext uri="{FF2B5EF4-FFF2-40B4-BE49-F238E27FC236}">
              <a16:creationId xmlns:a16="http://schemas.microsoft.com/office/drawing/2014/main" id="{00000000-0008-0000-0F00-0000E7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2" name="AutoShape 1">
          <a:extLst>
            <a:ext uri="{FF2B5EF4-FFF2-40B4-BE49-F238E27FC236}">
              <a16:creationId xmlns:a16="http://schemas.microsoft.com/office/drawing/2014/main" id="{00000000-0008-0000-0F00-0000E8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3" name="AutoShape 1">
          <a:extLst>
            <a:ext uri="{FF2B5EF4-FFF2-40B4-BE49-F238E27FC236}">
              <a16:creationId xmlns:a16="http://schemas.microsoft.com/office/drawing/2014/main" id="{00000000-0008-0000-0F00-0000E9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4" name="AutoShape 1">
          <a:extLst>
            <a:ext uri="{FF2B5EF4-FFF2-40B4-BE49-F238E27FC236}">
              <a16:creationId xmlns:a16="http://schemas.microsoft.com/office/drawing/2014/main" id="{00000000-0008-0000-0F00-0000EA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5" name="AutoShape 1">
          <a:extLst>
            <a:ext uri="{FF2B5EF4-FFF2-40B4-BE49-F238E27FC236}">
              <a16:creationId xmlns:a16="http://schemas.microsoft.com/office/drawing/2014/main" id="{00000000-0008-0000-0F00-0000EB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6" name="AutoShape 1">
          <a:extLst>
            <a:ext uri="{FF2B5EF4-FFF2-40B4-BE49-F238E27FC236}">
              <a16:creationId xmlns:a16="http://schemas.microsoft.com/office/drawing/2014/main" id="{00000000-0008-0000-0F00-0000EC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7" name="AutoShape 1">
          <a:extLst>
            <a:ext uri="{FF2B5EF4-FFF2-40B4-BE49-F238E27FC236}">
              <a16:creationId xmlns:a16="http://schemas.microsoft.com/office/drawing/2014/main" id="{00000000-0008-0000-0F00-0000ED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8" name="AutoShape 1">
          <a:extLst>
            <a:ext uri="{FF2B5EF4-FFF2-40B4-BE49-F238E27FC236}">
              <a16:creationId xmlns:a16="http://schemas.microsoft.com/office/drawing/2014/main" id="{00000000-0008-0000-0F00-0000EE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79" name="AutoShape 1">
          <a:extLst>
            <a:ext uri="{FF2B5EF4-FFF2-40B4-BE49-F238E27FC236}">
              <a16:creationId xmlns:a16="http://schemas.microsoft.com/office/drawing/2014/main" id="{00000000-0008-0000-0F00-0000EF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0" name="AutoShape 1">
          <a:extLst>
            <a:ext uri="{FF2B5EF4-FFF2-40B4-BE49-F238E27FC236}">
              <a16:creationId xmlns:a16="http://schemas.microsoft.com/office/drawing/2014/main" id="{00000000-0008-0000-0F00-0000F0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1" name="AutoShape 1">
          <a:extLst>
            <a:ext uri="{FF2B5EF4-FFF2-40B4-BE49-F238E27FC236}">
              <a16:creationId xmlns:a16="http://schemas.microsoft.com/office/drawing/2014/main" id="{00000000-0008-0000-0F00-0000F1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2" name="AutoShape 1">
          <a:extLst>
            <a:ext uri="{FF2B5EF4-FFF2-40B4-BE49-F238E27FC236}">
              <a16:creationId xmlns:a16="http://schemas.microsoft.com/office/drawing/2014/main" id="{00000000-0008-0000-0F00-0000F2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3" name="AutoShape 1">
          <a:extLst>
            <a:ext uri="{FF2B5EF4-FFF2-40B4-BE49-F238E27FC236}">
              <a16:creationId xmlns:a16="http://schemas.microsoft.com/office/drawing/2014/main" id="{00000000-0008-0000-0F00-0000F3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4" name="AutoShape 1">
          <a:extLst>
            <a:ext uri="{FF2B5EF4-FFF2-40B4-BE49-F238E27FC236}">
              <a16:creationId xmlns:a16="http://schemas.microsoft.com/office/drawing/2014/main" id="{00000000-0008-0000-0F00-0000F4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5" name="AutoShape 1">
          <a:extLst>
            <a:ext uri="{FF2B5EF4-FFF2-40B4-BE49-F238E27FC236}">
              <a16:creationId xmlns:a16="http://schemas.microsoft.com/office/drawing/2014/main" id="{00000000-0008-0000-0F00-0000F5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6" name="AutoShape 1">
          <a:extLst>
            <a:ext uri="{FF2B5EF4-FFF2-40B4-BE49-F238E27FC236}">
              <a16:creationId xmlns:a16="http://schemas.microsoft.com/office/drawing/2014/main" id="{00000000-0008-0000-0F00-0000F6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7" name="AutoShape 1">
          <a:extLst>
            <a:ext uri="{FF2B5EF4-FFF2-40B4-BE49-F238E27FC236}">
              <a16:creationId xmlns:a16="http://schemas.microsoft.com/office/drawing/2014/main" id="{00000000-0008-0000-0F00-0000F7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8" name="AutoShape 1">
          <a:extLst>
            <a:ext uri="{FF2B5EF4-FFF2-40B4-BE49-F238E27FC236}">
              <a16:creationId xmlns:a16="http://schemas.microsoft.com/office/drawing/2014/main" id="{00000000-0008-0000-0F00-0000F8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89" name="AutoShape 1">
          <a:extLst>
            <a:ext uri="{FF2B5EF4-FFF2-40B4-BE49-F238E27FC236}">
              <a16:creationId xmlns:a16="http://schemas.microsoft.com/office/drawing/2014/main" id="{00000000-0008-0000-0F00-0000F9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0" name="AutoShape 1">
          <a:extLst>
            <a:ext uri="{FF2B5EF4-FFF2-40B4-BE49-F238E27FC236}">
              <a16:creationId xmlns:a16="http://schemas.microsoft.com/office/drawing/2014/main" id="{00000000-0008-0000-0F00-0000FA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1" name="AutoShape 1">
          <a:extLst>
            <a:ext uri="{FF2B5EF4-FFF2-40B4-BE49-F238E27FC236}">
              <a16:creationId xmlns:a16="http://schemas.microsoft.com/office/drawing/2014/main" id="{00000000-0008-0000-0F00-0000FB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2" name="AutoShape 1">
          <a:extLst>
            <a:ext uri="{FF2B5EF4-FFF2-40B4-BE49-F238E27FC236}">
              <a16:creationId xmlns:a16="http://schemas.microsoft.com/office/drawing/2014/main" id="{00000000-0008-0000-0F00-0000FC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3" name="AutoShape 1">
          <a:extLst>
            <a:ext uri="{FF2B5EF4-FFF2-40B4-BE49-F238E27FC236}">
              <a16:creationId xmlns:a16="http://schemas.microsoft.com/office/drawing/2014/main" id="{00000000-0008-0000-0F00-0000FD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4" name="AutoShape 1">
          <a:extLst>
            <a:ext uri="{FF2B5EF4-FFF2-40B4-BE49-F238E27FC236}">
              <a16:creationId xmlns:a16="http://schemas.microsoft.com/office/drawing/2014/main" id="{00000000-0008-0000-0F00-0000FE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5" name="AutoShape 1">
          <a:extLst>
            <a:ext uri="{FF2B5EF4-FFF2-40B4-BE49-F238E27FC236}">
              <a16:creationId xmlns:a16="http://schemas.microsoft.com/office/drawing/2014/main" id="{00000000-0008-0000-0F00-0000FF0F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6" name="AutoShape 1">
          <a:extLst>
            <a:ext uri="{FF2B5EF4-FFF2-40B4-BE49-F238E27FC236}">
              <a16:creationId xmlns:a16="http://schemas.microsoft.com/office/drawing/2014/main" id="{00000000-0008-0000-0F00-00000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7" name="AutoShape 1">
          <a:extLst>
            <a:ext uri="{FF2B5EF4-FFF2-40B4-BE49-F238E27FC236}">
              <a16:creationId xmlns:a16="http://schemas.microsoft.com/office/drawing/2014/main" id="{00000000-0008-0000-0F00-00000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8" name="AutoShape 1">
          <a:extLst>
            <a:ext uri="{FF2B5EF4-FFF2-40B4-BE49-F238E27FC236}">
              <a16:creationId xmlns:a16="http://schemas.microsoft.com/office/drawing/2014/main" id="{00000000-0008-0000-0F00-00000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099" name="AutoShape 1">
          <a:extLst>
            <a:ext uri="{FF2B5EF4-FFF2-40B4-BE49-F238E27FC236}">
              <a16:creationId xmlns:a16="http://schemas.microsoft.com/office/drawing/2014/main" id="{00000000-0008-0000-0F00-00000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0" name="AutoShape 1">
          <a:extLst>
            <a:ext uri="{FF2B5EF4-FFF2-40B4-BE49-F238E27FC236}">
              <a16:creationId xmlns:a16="http://schemas.microsoft.com/office/drawing/2014/main" id="{00000000-0008-0000-0F00-00000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1" name="AutoShape 1">
          <a:extLst>
            <a:ext uri="{FF2B5EF4-FFF2-40B4-BE49-F238E27FC236}">
              <a16:creationId xmlns:a16="http://schemas.microsoft.com/office/drawing/2014/main" id="{00000000-0008-0000-0F00-00000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2" name="AutoShape 1">
          <a:extLst>
            <a:ext uri="{FF2B5EF4-FFF2-40B4-BE49-F238E27FC236}">
              <a16:creationId xmlns:a16="http://schemas.microsoft.com/office/drawing/2014/main" id="{00000000-0008-0000-0F00-00000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3" name="AutoShape 1">
          <a:extLst>
            <a:ext uri="{FF2B5EF4-FFF2-40B4-BE49-F238E27FC236}">
              <a16:creationId xmlns:a16="http://schemas.microsoft.com/office/drawing/2014/main" id="{00000000-0008-0000-0F00-00000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4" name="AutoShape 1">
          <a:extLst>
            <a:ext uri="{FF2B5EF4-FFF2-40B4-BE49-F238E27FC236}">
              <a16:creationId xmlns:a16="http://schemas.microsoft.com/office/drawing/2014/main" id="{00000000-0008-0000-0F00-00000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5" name="AutoShape 1">
          <a:extLst>
            <a:ext uri="{FF2B5EF4-FFF2-40B4-BE49-F238E27FC236}">
              <a16:creationId xmlns:a16="http://schemas.microsoft.com/office/drawing/2014/main" id="{00000000-0008-0000-0F00-00000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6" name="AutoShape 1">
          <a:extLst>
            <a:ext uri="{FF2B5EF4-FFF2-40B4-BE49-F238E27FC236}">
              <a16:creationId xmlns:a16="http://schemas.microsoft.com/office/drawing/2014/main" id="{00000000-0008-0000-0F00-00000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7" name="AutoShape 1">
          <a:extLst>
            <a:ext uri="{FF2B5EF4-FFF2-40B4-BE49-F238E27FC236}">
              <a16:creationId xmlns:a16="http://schemas.microsoft.com/office/drawing/2014/main" id="{00000000-0008-0000-0F00-00000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8" name="AutoShape 1">
          <a:extLst>
            <a:ext uri="{FF2B5EF4-FFF2-40B4-BE49-F238E27FC236}">
              <a16:creationId xmlns:a16="http://schemas.microsoft.com/office/drawing/2014/main" id="{00000000-0008-0000-0F00-00000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09" name="AutoShape 1">
          <a:extLst>
            <a:ext uri="{FF2B5EF4-FFF2-40B4-BE49-F238E27FC236}">
              <a16:creationId xmlns:a16="http://schemas.microsoft.com/office/drawing/2014/main" id="{00000000-0008-0000-0F00-00000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0" name="AutoShape 1">
          <a:extLst>
            <a:ext uri="{FF2B5EF4-FFF2-40B4-BE49-F238E27FC236}">
              <a16:creationId xmlns:a16="http://schemas.microsoft.com/office/drawing/2014/main" id="{00000000-0008-0000-0F00-00000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1" name="AutoShape 1">
          <a:extLst>
            <a:ext uri="{FF2B5EF4-FFF2-40B4-BE49-F238E27FC236}">
              <a16:creationId xmlns:a16="http://schemas.microsoft.com/office/drawing/2014/main" id="{00000000-0008-0000-0F00-00000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2" name="AutoShape 1">
          <a:extLst>
            <a:ext uri="{FF2B5EF4-FFF2-40B4-BE49-F238E27FC236}">
              <a16:creationId xmlns:a16="http://schemas.microsoft.com/office/drawing/2014/main" id="{00000000-0008-0000-0F00-00001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3" name="AutoShape 1">
          <a:extLst>
            <a:ext uri="{FF2B5EF4-FFF2-40B4-BE49-F238E27FC236}">
              <a16:creationId xmlns:a16="http://schemas.microsoft.com/office/drawing/2014/main" id="{00000000-0008-0000-0F00-00001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4" name="AutoShape 1">
          <a:extLst>
            <a:ext uri="{FF2B5EF4-FFF2-40B4-BE49-F238E27FC236}">
              <a16:creationId xmlns:a16="http://schemas.microsoft.com/office/drawing/2014/main" id="{00000000-0008-0000-0F00-00001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5" name="AutoShape 1">
          <a:extLst>
            <a:ext uri="{FF2B5EF4-FFF2-40B4-BE49-F238E27FC236}">
              <a16:creationId xmlns:a16="http://schemas.microsoft.com/office/drawing/2014/main" id="{00000000-0008-0000-0F00-00001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6" name="AutoShape 1">
          <a:extLst>
            <a:ext uri="{FF2B5EF4-FFF2-40B4-BE49-F238E27FC236}">
              <a16:creationId xmlns:a16="http://schemas.microsoft.com/office/drawing/2014/main" id="{00000000-0008-0000-0F00-00001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7" name="AutoShape 1">
          <a:extLst>
            <a:ext uri="{FF2B5EF4-FFF2-40B4-BE49-F238E27FC236}">
              <a16:creationId xmlns:a16="http://schemas.microsoft.com/office/drawing/2014/main" id="{00000000-0008-0000-0F00-00001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8" name="AutoShape 1">
          <a:extLst>
            <a:ext uri="{FF2B5EF4-FFF2-40B4-BE49-F238E27FC236}">
              <a16:creationId xmlns:a16="http://schemas.microsoft.com/office/drawing/2014/main" id="{00000000-0008-0000-0F00-00001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19" name="AutoShape 1">
          <a:extLst>
            <a:ext uri="{FF2B5EF4-FFF2-40B4-BE49-F238E27FC236}">
              <a16:creationId xmlns:a16="http://schemas.microsoft.com/office/drawing/2014/main" id="{00000000-0008-0000-0F00-00001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0" name="AutoShape 1">
          <a:extLst>
            <a:ext uri="{FF2B5EF4-FFF2-40B4-BE49-F238E27FC236}">
              <a16:creationId xmlns:a16="http://schemas.microsoft.com/office/drawing/2014/main" id="{00000000-0008-0000-0F00-00001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1" name="AutoShape 1">
          <a:extLst>
            <a:ext uri="{FF2B5EF4-FFF2-40B4-BE49-F238E27FC236}">
              <a16:creationId xmlns:a16="http://schemas.microsoft.com/office/drawing/2014/main" id="{00000000-0008-0000-0F00-00001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2" name="AutoShape 1">
          <a:extLst>
            <a:ext uri="{FF2B5EF4-FFF2-40B4-BE49-F238E27FC236}">
              <a16:creationId xmlns:a16="http://schemas.microsoft.com/office/drawing/2014/main" id="{00000000-0008-0000-0F00-00001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3" name="AutoShape 1">
          <a:extLst>
            <a:ext uri="{FF2B5EF4-FFF2-40B4-BE49-F238E27FC236}">
              <a16:creationId xmlns:a16="http://schemas.microsoft.com/office/drawing/2014/main" id="{00000000-0008-0000-0F00-00001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4" name="AutoShape 1">
          <a:extLst>
            <a:ext uri="{FF2B5EF4-FFF2-40B4-BE49-F238E27FC236}">
              <a16:creationId xmlns:a16="http://schemas.microsoft.com/office/drawing/2014/main" id="{00000000-0008-0000-0F00-00001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5" name="AutoShape 1">
          <a:extLst>
            <a:ext uri="{FF2B5EF4-FFF2-40B4-BE49-F238E27FC236}">
              <a16:creationId xmlns:a16="http://schemas.microsoft.com/office/drawing/2014/main" id="{00000000-0008-0000-0F00-00001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6" name="AutoShape 1">
          <a:extLst>
            <a:ext uri="{FF2B5EF4-FFF2-40B4-BE49-F238E27FC236}">
              <a16:creationId xmlns:a16="http://schemas.microsoft.com/office/drawing/2014/main" id="{00000000-0008-0000-0F00-00001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7" name="AutoShape 1">
          <a:extLst>
            <a:ext uri="{FF2B5EF4-FFF2-40B4-BE49-F238E27FC236}">
              <a16:creationId xmlns:a16="http://schemas.microsoft.com/office/drawing/2014/main" id="{00000000-0008-0000-0F00-00001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8" name="AutoShape 1">
          <a:extLst>
            <a:ext uri="{FF2B5EF4-FFF2-40B4-BE49-F238E27FC236}">
              <a16:creationId xmlns:a16="http://schemas.microsoft.com/office/drawing/2014/main" id="{00000000-0008-0000-0F00-00002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29" name="AutoShape 1">
          <a:extLst>
            <a:ext uri="{FF2B5EF4-FFF2-40B4-BE49-F238E27FC236}">
              <a16:creationId xmlns:a16="http://schemas.microsoft.com/office/drawing/2014/main" id="{00000000-0008-0000-0F00-00002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0" name="AutoShape 1">
          <a:extLst>
            <a:ext uri="{FF2B5EF4-FFF2-40B4-BE49-F238E27FC236}">
              <a16:creationId xmlns:a16="http://schemas.microsoft.com/office/drawing/2014/main" id="{00000000-0008-0000-0F00-00002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1" name="AutoShape 1">
          <a:extLst>
            <a:ext uri="{FF2B5EF4-FFF2-40B4-BE49-F238E27FC236}">
              <a16:creationId xmlns:a16="http://schemas.microsoft.com/office/drawing/2014/main" id="{00000000-0008-0000-0F00-00002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2" name="AutoShape 1">
          <a:extLst>
            <a:ext uri="{FF2B5EF4-FFF2-40B4-BE49-F238E27FC236}">
              <a16:creationId xmlns:a16="http://schemas.microsoft.com/office/drawing/2014/main" id="{00000000-0008-0000-0F00-00002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3" name="AutoShape 1">
          <a:extLst>
            <a:ext uri="{FF2B5EF4-FFF2-40B4-BE49-F238E27FC236}">
              <a16:creationId xmlns:a16="http://schemas.microsoft.com/office/drawing/2014/main" id="{00000000-0008-0000-0F00-00002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4" name="AutoShape 1">
          <a:extLst>
            <a:ext uri="{FF2B5EF4-FFF2-40B4-BE49-F238E27FC236}">
              <a16:creationId xmlns:a16="http://schemas.microsoft.com/office/drawing/2014/main" id="{00000000-0008-0000-0F00-00002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5" name="AutoShape 1">
          <a:extLst>
            <a:ext uri="{FF2B5EF4-FFF2-40B4-BE49-F238E27FC236}">
              <a16:creationId xmlns:a16="http://schemas.microsoft.com/office/drawing/2014/main" id="{00000000-0008-0000-0F00-00002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6" name="AutoShape 1">
          <a:extLst>
            <a:ext uri="{FF2B5EF4-FFF2-40B4-BE49-F238E27FC236}">
              <a16:creationId xmlns:a16="http://schemas.microsoft.com/office/drawing/2014/main" id="{00000000-0008-0000-0F00-00002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7" name="AutoShape 1">
          <a:extLst>
            <a:ext uri="{FF2B5EF4-FFF2-40B4-BE49-F238E27FC236}">
              <a16:creationId xmlns:a16="http://schemas.microsoft.com/office/drawing/2014/main" id="{00000000-0008-0000-0F00-00002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8" name="AutoShape 1">
          <a:extLst>
            <a:ext uri="{FF2B5EF4-FFF2-40B4-BE49-F238E27FC236}">
              <a16:creationId xmlns:a16="http://schemas.microsoft.com/office/drawing/2014/main" id="{00000000-0008-0000-0F00-00002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39" name="AutoShape 1">
          <a:extLst>
            <a:ext uri="{FF2B5EF4-FFF2-40B4-BE49-F238E27FC236}">
              <a16:creationId xmlns:a16="http://schemas.microsoft.com/office/drawing/2014/main" id="{00000000-0008-0000-0F00-00002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0" name="AutoShape 1">
          <a:extLst>
            <a:ext uri="{FF2B5EF4-FFF2-40B4-BE49-F238E27FC236}">
              <a16:creationId xmlns:a16="http://schemas.microsoft.com/office/drawing/2014/main" id="{00000000-0008-0000-0F00-00002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1" name="AutoShape 1">
          <a:extLst>
            <a:ext uri="{FF2B5EF4-FFF2-40B4-BE49-F238E27FC236}">
              <a16:creationId xmlns:a16="http://schemas.microsoft.com/office/drawing/2014/main" id="{00000000-0008-0000-0F00-00002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2" name="AutoShape 1">
          <a:extLst>
            <a:ext uri="{FF2B5EF4-FFF2-40B4-BE49-F238E27FC236}">
              <a16:creationId xmlns:a16="http://schemas.microsoft.com/office/drawing/2014/main" id="{00000000-0008-0000-0F00-00002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3" name="AutoShape 1">
          <a:extLst>
            <a:ext uri="{FF2B5EF4-FFF2-40B4-BE49-F238E27FC236}">
              <a16:creationId xmlns:a16="http://schemas.microsoft.com/office/drawing/2014/main" id="{00000000-0008-0000-0F00-00002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4" name="AutoShape 1">
          <a:extLst>
            <a:ext uri="{FF2B5EF4-FFF2-40B4-BE49-F238E27FC236}">
              <a16:creationId xmlns:a16="http://schemas.microsoft.com/office/drawing/2014/main" id="{00000000-0008-0000-0F00-00003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5" name="AutoShape 1">
          <a:extLst>
            <a:ext uri="{FF2B5EF4-FFF2-40B4-BE49-F238E27FC236}">
              <a16:creationId xmlns:a16="http://schemas.microsoft.com/office/drawing/2014/main" id="{00000000-0008-0000-0F00-00003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6" name="AutoShape 1">
          <a:extLst>
            <a:ext uri="{FF2B5EF4-FFF2-40B4-BE49-F238E27FC236}">
              <a16:creationId xmlns:a16="http://schemas.microsoft.com/office/drawing/2014/main" id="{00000000-0008-0000-0F00-00003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7" name="AutoShape 1">
          <a:extLst>
            <a:ext uri="{FF2B5EF4-FFF2-40B4-BE49-F238E27FC236}">
              <a16:creationId xmlns:a16="http://schemas.microsoft.com/office/drawing/2014/main" id="{00000000-0008-0000-0F00-00003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8" name="AutoShape 1">
          <a:extLst>
            <a:ext uri="{FF2B5EF4-FFF2-40B4-BE49-F238E27FC236}">
              <a16:creationId xmlns:a16="http://schemas.microsoft.com/office/drawing/2014/main" id="{00000000-0008-0000-0F00-00003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49" name="AutoShape 1">
          <a:extLst>
            <a:ext uri="{FF2B5EF4-FFF2-40B4-BE49-F238E27FC236}">
              <a16:creationId xmlns:a16="http://schemas.microsoft.com/office/drawing/2014/main" id="{00000000-0008-0000-0F00-00003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0" name="AutoShape 1">
          <a:extLst>
            <a:ext uri="{FF2B5EF4-FFF2-40B4-BE49-F238E27FC236}">
              <a16:creationId xmlns:a16="http://schemas.microsoft.com/office/drawing/2014/main" id="{00000000-0008-0000-0F00-00003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1" name="AutoShape 1">
          <a:extLst>
            <a:ext uri="{FF2B5EF4-FFF2-40B4-BE49-F238E27FC236}">
              <a16:creationId xmlns:a16="http://schemas.microsoft.com/office/drawing/2014/main" id="{00000000-0008-0000-0F00-00003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2" name="AutoShape 1">
          <a:extLst>
            <a:ext uri="{FF2B5EF4-FFF2-40B4-BE49-F238E27FC236}">
              <a16:creationId xmlns:a16="http://schemas.microsoft.com/office/drawing/2014/main" id="{00000000-0008-0000-0F00-00003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3" name="AutoShape 1">
          <a:extLst>
            <a:ext uri="{FF2B5EF4-FFF2-40B4-BE49-F238E27FC236}">
              <a16:creationId xmlns:a16="http://schemas.microsoft.com/office/drawing/2014/main" id="{00000000-0008-0000-0F00-00003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4" name="AutoShape 1">
          <a:extLst>
            <a:ext uri="{FF2B5EF4-FFF2-40B4-BE49-F238E27FC236}">
              <a16:creationId xmlns:a16="http://schemas.microsoft.com/office/drawing/2014/main" id="{00000000-0008-0000-0F00-00003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5" name="AutoShape 1">
          <a:extLst>
            <a:ext uri="{FF2B5EF4-FFF2-40B4-BE49-F238E27FC236}">
              <a16:creationId xmlns:a16="http://schemas.microsoft.com/office/drawing/2014/main" id="{00000000-0008-0000-0F00-00003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6" name="AutoShape 1">
          <a:extLst>
            <a:ext uri="{FF2B5EF4-FFF2-40B4-BE49-F238E27FC236}">
              <a16:creationId xmlns:a16="http://schemas.microsoft.com/office/drawing/2014/main" id="{00000000-0008-0000-0F00-00003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7" name="AutoShape 1">
          <a:extLst>
            <a:ext uri="{FF2B5EF4-FFF2-40B4-BE49-F238E27FC236}">
              <a16:creationId xmlns:a16="http://schemas.microsoft.com/office/drawing/2014/main" id="{00000000-0008-0000-0F00-00003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8" name="AutoShape 1">
          <a:extLst>
            <a:ext uri="{FF2B5EF4-FFF2-40B4-BE49-F238E27FC236}">
              <a16:creationId xmlns:a16="http://schemas.microsoft.com/office/drawing/2014/main" id="{00000000-0008-0000-0F00-00003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59" name="AutoShape 1">
          <a:extLst>
            <a:ext uri="{FF2B5EF4-FFF2-40B4-BE49-F238E27FC236}">
              <a16:creationId xmlns:a16="http://schemas.microsoft.com/office/drawing/2014/main" id="{00000000-0008-0000-0F00-00003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0" name="AutoShape 1">
          <a:extLst>
            <a:ext uri="{FF2B5EF4-FFF2-40B4-BE49-F238E27FC236}">
              <a16:creationId xmlns:a16="http://schemas.microsoft.com/office/drawing/2014/main" id="{00000000-0008-0000-0F00-00004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1" name="AutoShape 1">
          <a:extLst>
            <a:ext uri="{FF2B5EF4-FFF2-40B4-BE49-F238E27FC236}">
              <a16:creationId xmlns:a16="http://schemas.microsoft.com/office/drawing/2014/main" id="{00000000-0008-0000-0F00-00004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2" name="AutoShape 1">
          <a:extLst>
            <a:ext uri="{FF2B5EF4-FFF2-40B4-BE49-F238E27FC236}">
              <a16:creationId xmlns:a16="http://schemas.microsoft.com/office/drawing/2014/main" id="{00000000-0008-0000-0F00-00004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3" name="AutoShape 1">
          <a:extLst>
            <a:ext uri="{FF2B5EF4-FFF2-40B4-BE49-F238E27FC236}">
              <a16:creationId xmlns:a16="http://schemas.microsoft.com/office/drawing/2014/main" id="{00000000-0008-0000-0F00-00004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4" name="AutoShape 1">
          <a:extLst>
            <a:ext uri="{FF2B5EF4-FFF2-40B4-BE49-F238E27FC236}">
              <a16:creationId xmlns:a16="http://schemas.microsoft.com/office/drawing/2014/main" id="{00000000-0008-0000-0F00-00004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5" name="AutoShape 1">
          <a:extLst>
            <a:ext uri="{FF2B5EF4-FFF2-40B4-BE49-F238E27FC236}">
              <a16:creationId xmlns:a16="http://schemas.microsoft.com/office/drawing/2014/main" id="{00000000-0008-0000-0F00-00004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6" name="AutoShape 1">
          <a:extLst>
            <a:ext uri="{FF2B5EF4-FFF2-40B4-BE49-F238E27FC236}">
              <a16:creationId xmlns:a16="http://schemas.microsoft.com/office/drawing/2014/main" id="{00000000-0008-0000-0F00-00004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7" name="AutoShape 1">
          <a:extLst>
            <a:ext uri="{FF2B5EF4-FFF2-40B4-BE49-F238E27FC236}">
              <a16:creationId xmlns:a16="http://schemas.microsoft.com/office/drawing/2014/main" id="{00000000-0008-0000-0F00-00004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8" name="AutoShape 1">
          <a:extLst>
            <a:ext uri="{FF2B5EF4-FFF2-40B4-BE49-F238E27FC236}">
              <a16:creationId xmlns:a16="http://schemas.microsoft.com/office/drawing/2014/main" id="{00000000-0008-0000-0F00-00004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69" name="AutoShape 1">
          <a:extLst>
            <a:ext uri="{FF2B5EF4-FFF2-40B4-BE49-F238E27FC236}">
              <a16:creationId xmlns:a16="http://schemas.microsoft.com/office/drawing/2014/main" id="{00000000-0008-0000-0F00-00004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0" name="AutoShape 1">
          <a:extLst>
            <a:ext uri="{FF2B5EF4-FFF2-40B4-BE49-F238E27FC236}">
              <a16:creationId xmlns:a16="http://schemas.microsoft.com/office/drawing/2014/main" id="{00000000-0008-0000-0F00-00004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1" name="AutoShape 1">
          <a:extLst>
            <a:ext uri="{FF2B5EF4-FFF2-40B4-BE49-F238E27FC236}">
              <a16:creationId xmlns:a16="http://schemas.microsoft.com/office/drawing/2014/main" id="{00000000-0008-0000-0F00-00004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2" name="AutoShape 1">
          <a:extLst>
            <a:ext uri="{FF2B5EF4-FFF2-40B4-BE49-F238E27FC236}">
              <a16:creationId xmlns:a16="http://schemas.microsoft.com/office/drawing/2014/main" id="{00000000-0008-0000-0F00-00004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3" name="AutoShape 1">
          <a:extLst>
            <a:ext uri="{FF2B5EF4-FFF2-40B4-BE49-F238E27FC236}">
              <a16:creationId xmlns:a16="http://schemas.microsoft.com/office/drawing/2014/main" id="{00000000-0008-0000-0F00-00004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4" name="AutoShape 1">
          <a:extLst>
            <a:ext uri="{FF2B5EF4-FFF2-40B4-BE49-F238E27FC236}">
              <a16:creationId xmlns:a16="http://schemas.microsoft.com/office/drawing/2014/main" id="{00000000-0008-0000-0F00-00004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5" name="AutoShape 1">
          <a:extLst>
            <a:ext uri="{FF2B5EF4-FFF2-40B4-BE49-F238E27FC236}">
              <a16:creationId xmlns:a16="http://schemas.microsoft.com/office/drawing/2014/main" id="{00000000-0008-0000-0F00-00004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6" name="AutoShape 1">
          <a:extLst>
            <a:ext uri="{FF2B5EF4-FFF2-40B4-BE49-F238E27FC236}">
              <a16:creationId xmlns:a16="http://schemas.microsoft.com/office/drawing/2014/main" id="{00000000-0008-0000-0F00-00005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7" name="AutoShape 1">
          <a:extLst>
            <a:ext uri="{FF2B5EF4-FFF2-40B4-BE49-F238E27FC236}">
              <a16:creationId xmlns:a16="http://schemas.microsoft.com/office/drawing/2014/main" id="{00000000-0008-0000-0F00-00005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8" name="AutoShape 1">
          <a:extLst>
            <a:ext uri="{FF2B5EF4-FFF2-40B4-BE49-F238E27FC236}">
              <a16:creationId xmlns:a16="http://schemas.microsoft.com/office/drawing/2014/main" id="{00000000-0008-0000-0F00-00005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79" name="AutoShape 1">
          <a:extLst>
            <a:ext uri="{FF2B5EF4-FFF2-40B4-BE49-F238E27FC236}">
              <a16:creationId xmlns:a16="http://schemas.microsoft.com/office/drawing/2014/main" id="{00000000-0008-0000-0F00-00005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0" name="AutoShape 1">
          <a:extLst>
            <a:ext uri="{FF2B5EF4-FFF2-40B4-BE49-F238E27FC236}">
              <a16:creationId xmlns:a16="http://schemas.microsoft.com/office/drawing/2014/main" id="{00000000-0008-0000-0F00-00005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1" name="AutoShape 1">
          <a:extLst>
            <a:ext uri="{FF2B5EF4-FFF2-40B4-BE49-F238E27FC236}">
              <a16:creationId xmlns:a16="http://schemas.microsoft.com/office/drawing/2014/main" id="{00000000-0008-0000-0F00-00005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2" name="AutoShape 1">
          <a:extLst>
            <a:ext uri="{FF2B5EF4-FFF2-40B4-BE49-F238E27FC236}">
              <a16:creationId xmlns:a16="http://schemas.microsoft.com/office/drawing/2014/main" id="{00000000-0008-0000-0F00-00005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3" name="AutoShape 1">
          <a:extLst>
            <a:ext uri="{FF2B5EF4-FFF2-40B4-BE49-F238E27FC236}">
              <a16:creationId xmlns:a16="http://schemas.microsoft.com/office/drawing/2014/main" id="{00000000-0008-0000-0F00-00005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4" name="AutoShape 1">
          <a:extLst>
            <a:ext uri="{FF2B5EF4-FFF2-40B4-BE49-F238E27FC236}">
              <a16:creationId xmlns:a16="http://schemas.microsoft.com/office/drawing/2014/main" id="{00000000-0008-0000-0F00-00005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5" name="AutoShape 1">
          <a:extLst>
            <a:ext uri="{FF2B5EF4-FFF2-40B4-BE49-F238E27FC236}">
              <a16:creationId xmlns:a16="http://schemas.microsoft.com/office/drawing/2014/main" id="{00000000-0008-0000-0F00-00005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6" name="AutoShape 1">
          <a:extLst>
            <a:ext uri="{FF2B5EF4-FFF2-40B4-BE49-F238E27FC236}">
              <a16:creationId xmlns:a16="http://schemas.microsoft.com/office/drawing/2014/main" id="{00000000-0008-0000-0F00-00005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7" name="AutoShape 1">
          <a:extLst>
            <a:ext uri="{FF2B5EF4-FFF2-40B4-BE49-F238E27FC236}">
              <a16:creationId xmlns:a16="http://schemas.microsoft.com/office/drawing/2014/main" id="{00000000-0008-0000-0F00-00005B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8" name="AutoShape 1">
          <a:extLst>
            <a:ext uri="{FF2B5EF4-FFF2-40B4-BE49-F238E27FC236}">
              <a16:creationId xmlns:a16="http://schemas.microsoft.com/office/drawing/2014/main" id="{00000000-0008-0000-0F00-00005C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89" name="AutoShape 1">
          <a:extLst>
            <a:ext uri="{FF2B5EF4-FFF2-40B4-BE49-F238E27FC236}">
              <a16:creationId xmlns:a16="http://schemas.microsoft.com/office/drawing/2014/main" id="{00000000-0008-0000-0F00-00005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0" name="AutoShape 1">
          <a:extLst>
            <a:ext uri="{FF2B5EF4-FFF2-40B4-BE49-F238E27FC236}">
              <a16:creationId xmlns:a16="http://schemas.microsoft.com/office/drawing/2014/main" id="{00000000-0008-0000-0F00-00005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1" name="AutoShape 1">
          <a:extLst>
            <a:ext uri="{FF2B5EF4-FFF2-40B4-BE49-F238E27FC236}">
              <a16:creationId xmlns:a16="http://schemas.microsoft.com/office/drawing/2014/main" id="{00000000-0008-0000-0F00-00005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2" name="AutoShape 1">
          <a:extLst>
            <a:ext uri="{FF2B5EF4-FFF2-40B4-BE49-F238E27FC236}">
              <a16:creationId xmlns:a16="http://schemas.microsoft.com/office/drawing/2014/main" id="{00000000-0008-0000-0F00-00006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3" name="AutoShape 1">
          <a:extLst>
            <a:ext uri="{FF2B5EF4-FFF2-40B4-BE49-F238E27FC236}">
              <a16:creationId xmlns:a16="http://schemas.microsoft.com/office/drawing/2014/main" id="{00000000-0008-0000-0F00-000061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4" name="AutoShape 1">
          <a:extLst>
            <a:ext uri="{FF2B5EF4-FFF2-40B4-BE49-F238E27FC236}">
              <a16:creationId xmlns:a16="http://schemas.microsoft.com/office/drawing/2014/main" id="{00000000-0008-0000-0F00-000062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5" name="AutoShape 1">
          <a:extLst>
            <a:ext uri="{FF2B5EF4-FFF2-40B4-BE49-F238E27FC236}">
              <a16:creationId xmlns:a16="http://schemas.microsoft.com/office/drawing/2014/main" id="{00000000-0008-0000-0F00-000063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6" name="AutoShape 1">
          <a:extLst>
            <a:ext uri="{FF2B5EF4-FFF2-40B4-BE49-F238E27FC236}">
              <a16:creationId xmlns:a16="http://schemas.microsoft.com/office/drawing/2014/main" id="{00000000-0008-0000-0F00-000064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7" name="AutoShape 1">
          <a:extLst>
            <a:ext uri="{FF2B5EF4-FFF2-40B4-BE49-F238E27FC236}">
              <a16:creationId xmlns:a16="http://schemas.microsoft.com/office/drawing/2014/main" id="{00000000-0008-0000-0F00-000065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8" name="AutoShape 1">
          <a:extLst>
            <a:ext uri="{FF2B5EF4-FFF2-40B4-BE49-F238E27FC236}">
              <a16:creationId xmlns:a16="http://schemas.microsoft.com/office/drawing/2014/main" id="{00000000-0008-0000-0F00-000066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199" name="AutoShape 1">
          <a:extLst>
            <a:ext uri="{FF2B5EF4-FFF2-40B4-BE49-F238E27FC236}">
              <a16:creationId xmlns:a16="http://schemas.microsoft.com/office/drawing/2014/main" id="{00000000-0008-0000-0F00-000067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0" name="AutoShape 1">
          <a:extLst>
            <a:ext uri="{FF2B5EF4-FFF2-40B4-BE49-F238E27FC236}">
              <a16:creationId xmlns:a16="http://schemas.microsoft.com/office/drawing/2014/main" id="{00000000-0008-0000-0F00-000068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1" name="AutoShape 1">
          <a:extLst>
            <a:ext uri="{FF2B5EF4-FFF2-40B4-BE49-F238E27FC236}">
              <a16:creationId xmlns:a16="http://schemas.microsoft.com/office/drawing/2014/main" id="{00000000-0008-0000-0F00-000069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2" name="AutoShape 1">
          <a:extLst>
            <a:ext uri="{FF2B5EF4-FFF2-40B4-BE49-F238E27FC236}">
              <a16:creationId xmlns:a16="http://schemas.microsoft.com/office/drawing/2014/main" id="{00000000-0008-0000-0F00-00006A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3" name="AutoShape 1">
          <a:extLst>
            <a:ext uri="{FF2B5EF4-FFF2-40B4-BE49-F238E27FC236}">
              <a16:creationId xmlns:a16="http://schemas.microsoft.com/office/drawing/2014/main" id="{00000000-0008-0000-0F00-00006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4" name="AutoShape 1">
          <a:extLst>
            <a:ext uri="{FF2B5EF4-FFF2-40B4-BE49-F238E27FC236}">
              <a16:creationId xmlns:a16="http://schemas.microsoft.com/office/drawing/2014/main" id="{00000000-0008-0000-0F00-00006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5" name="AutoShape 1">
          <a:extLst>
            <a:ext uri="{FF2B5EF4-FFF2-40B4-BE49-F238E27FC236}">
              <a16:creationId xmlns:a16="http://schemas.microsoft.com/office/drawing/2014/main" id="{00000000-0008-0000-0F00-00006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6" name="AutoShape 1">
          <a:extLst>
            <a:ext uri="{FF2B5EF4-FFF2-40B4-BE49-F238E27FC236}">
              <a16:creationId xmlns:a16="http://schemas.microsoft.com/office/drawing/2014/main" id="{00000000-0008-0000-0F00-00006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7" name="AutoShape 1">
          <a:extLst>
            <a:ext uri="{FF2B5EF4-FFF2-40B4-BE49-F238E27FC236}">
              <a16:creationId xmlns:a16="http://schemas.microsoft.com/office/drawing/2014/main" id="{00000000-0008-0000-0F00-00006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8" name="AutoShape 1">
          <a:extLst>
            <a:ext uri="{FF2B5EF4-FFF2-40B4-BE49-F238E27FC236}">
              <a16:creationId xmlns:a16="http://schemas.microsoft.com/office/drawing/2014/main" id="{00000000-0008-0000-0F00-00007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09" name="AutoShape 1">
          <a:extLst>
            <a:ext uri="{FF2B5EF4-FFF2-40B4-BE49-F238E27FC236}">
              <a16:creationId xmlns:a16="http://schemas.microsoft.com/office/drawing/2014/main" id="{00000000-0008-0000-0F00-00007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0" name="AutoShape 1">
          <a:extLst>
            <a:ext uri="{FF2B5EF4-FFF2-40B4-BE49-F238E27FC236}">
              <a16:creationId xmlns:a16="http://schemas.microsoft.com/office/drawing/2014/main" id="{00000000-0008-0000-0F00-00007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1" name="AutoShape 1">
          <a:extLst>
            <a:ext uri="{FF2B5EF4-FFF2-40B4-BE49-F238E27FC236}">
              <a16:creationId xmlns:a16="http://schemas.microsoft.com/office/drawing/2014/main" id="{00000000-0008-0000-0F00-00007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2" name="AutoShape 1">
          <a:extLst>
            <a:ext uri="{FF2B5EF4-FFF2-40B4-BE49-F238E27FC236}">
              <a16:creationId xmlns:a16="http://schemas.microsoft.com/office/drawing/2014/main" id="{00000000-0008-0000-0F00-00007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3" name="AutoShape 1">
          <a:extLst>
            <a:ext uri="{FF2B5EF4-FFF2-40B4-BE49-F238E27FC236}">
              <a16:creationId xmlns:a16="http://schemas.microsoft.com/office/drawing/2014/main" id="{00000000-0008-0000-0F00-00007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4" name="AutoShape 1">
          <a:extLst>
            <a:ext uri="{FF2B5EF4-FFF2-40B4-BE49-F238E27FC236}">
              <a16:creationId xmlns:a16="http://schemas.microsoft.com/office/drawing/2014/main" id="{00000000-0008-0000-0F00-00007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5" name="AutoShape 1">
          <a:extLst>
            <a:ext uri="{FF2B5EF4-FFF2-40B4-BE49-F238E27FC236}">
              <a16:creationId xmlns:a16="http://schemas.microsoft.com/office/drawing/2014/main" id="{00000000-0008-0000-0F00-00007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6" name="AutoShape 1">
          <a:extLst>
            <a:ext uri="{FF2B5EF4-FFF2-40B4-BE49-F238E27FC236}">
              <a16:creationId xmlns:a16="http://schemas.microsoft.com/office/drawing/2014/main" id="{00000000-0008-0000-0F00-00007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7" name="AutoShape 1">
          <a:extLst>
            <a:ext uri="{FF2B5EF4-FFF2-40B4-BE49-F238E27FC236}">
              <a16:creationId xmlns:a16="http://schemas.microsoft.com/office/drawing/2014/main" id="{00000000-0008-0000-0F00-00007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8" name="AutoShape 1">
          <a:extLst>
            <a:ext uri="{FF2B5EF4-FFF2-40B4-BE49-F238E27FC236}">
              <a16:creationId xmlns:a16="http://schemas.microsoft.com/office/drawing/2014/main" id="{00000000-0008-0000-0F00-00007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19" name="AutoShape 1">
          <a:extLst>
            <a:ext uri="{FF2B5EF4-FFF2-40B4-BE49-F238E27FC236}">
              <a16:creationId xmlns:a16="http://schemas.microsoft.com/office/drawing/2014/main" id="{00000000-0008-0000-0F00-00007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0" name="AutoShape 1">
          <a:extLst>
            <a:ext uri="{FF2B5EF4-FFF2-40B4-BE49-F238E27FC236}">
              <a16:creationId xmlns:a16="http://schemas.microsoft.com/office/drawing/2014/main" id="{00000000-0008-0000-0F00-00007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1" name="AutoShape 1">
          <a:extLst>
            <a:ext uri="{FF2B5EF4-FFF2-40B4-BE49-F238E27FC236}">
              <a16:creationId xmlns:a16="http://schemas.microsoft.com/office/drawing/2014/main" id="{00000000-0008-0000-0F00-00007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2" name="AutoShape 1">
          <a:extLst>
            <a:ext uri="{FF2B5EF4-FFF2-40B4-BE49-F238E27FC236}">
              <a16:creationId xmlns:a16="http://schemas.microsoft.com/office/drawing/2014/main" id="{00000000-0008-0000-0F00-00007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3" name="AutoShape 1">
          <a:extLst>
            <a:ext uri="{FF2B5EF4-FFF2-40B4-BE49-F238E27FC236}">
              <a16:creationId xmlns:a16="http://schemas.microsoft.com/office/drawing/2014/main" id="{00000000-0008-0000-0F00-00007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4" name="AutoShape 1">
          <a:extLst>
            <a:ext uri="{FF2B5EF4-FFF2-40B4-BE49-F238E27FC236}">
              <a16:creationId xmlns:a16="http://schemas.microsoft.com/office/drawing/2014/main" id="{00000000-0008-0000-0F00-00008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5" name="AutoShape 1">
          <a:extLst>
            <a:ext uri="{FF2B5EF4-FFF2-40B4-BE49-F238E27FC236}">
              <a16:creationId xmlns:a16="http://schemas.microsoft.com/office/drawing/2014/main" id="{00000000-0008-0000-0F00-00008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6" name="AutoShape 1">
          <a:extLst>
            <a:ext uri="{FF2B5EF4-FFF2-40B4-BE49-F238E27FC236}">
              <a16:creationId xmlns:a16="http://schemas.microsoft.com/office/drawing/2014/main" id="{00000000-0008-0000-0F00-00008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7" name="AutoShape 1">
          <a:extLst>
            <a:ext uri="{FF2B5EF4-FFF2-40B4-BE49-F238E27FC236}">
              <a16:creationId xmlns:a16="http://schemas.microsoft.com/office/drawing/2014/main" id="{00000000-0008-0000-0F00-00008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8" name="AutoShape 1">
          <a:extLst>
            <a:ext uri="{FF2B5EF4-FFF2-40B4-BE49-F238E27FC236}">
              <a16:creationId xmlns:a16="http://schemas.microsoft.com/office/drawing/2014/main" id="{00000000-0008-0000-0F00-00008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29" name="AutoShape 1">
          <a:extLst>
            <a:ext uri="{FF2B5EF4-FFF2-40B4-BE49-F238E27FC236}">
              <a16:creationId xmlns:a16="http://schemas.microsoft.com/office/drawing/2014/main" id="{00000000-0008-0000-0F00-00008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0" name="AutoShape 1">
          <a:extLst>
            <a:ext uri="{FF2B5EF4-FFF2-40B4-BE49-F238E27FC236}">
              <a16:creationId xmlns:a16="http://schemas.microsoft.com/office/drawing/2014/main" id="{00000000-0008-0000-0F00-00008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1" name="AutoShape 1">
          <a:extLst>
            <a:ext uri="{FF2B5EF4-FFF2-40B4-BE49-F238E27FC236}">
              <a16:creationId xmlns:a16="http://schemas.microsoft.com/office/drawing/2014/main" id="{00000000-0008-0000-0F00-000087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2" name="AutoShape 1">
          <a:extLst>
            <a:ext uri="{FF2B5EF4-FFF2-40B4-BE49-F238E27FC236}">
              <a16:creationId xmlns:a16="http://schemas.microsoft.com/office/drawing/2014/main" id="{00000000-0008-0000-0F00-000088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3" name="AutoShape 1">
          <a:extLst>
            <a:ext uri="{FF2B5EF4-FFF2-40B4-BE49-F238E27FC236}">
              <a16:creationId xmlns:a16="http://schemas.microsoft.com/office/drawing/2014/main" id="{00000000-0008-0000-0F00-000089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4" name="AutoShape 1">
          <a:extLst>
            <a:ext uri="{FF2B5EF4-FFF2-40B4-BE49-F238E27FC236}">
              <a16:creationId xmlns:a16="http://schemas.microsoft.com/office/drawing/2014/main" id="{00000000-0008-0000-0F00-00008A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5" name="AutoShape 1">
          <a:extLst>
            <a:ext uri="{FF2B5EF4-FFF2-40B4-BE49-F238E27FC236}">
              <a16:creationId xmlns:a16="http://schemas.microsoft.com/office/drawing/2014/main" id="{00000000-0008-0000-0F00-00008B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6" name="AutoShape 1">
          <a:extLst>
            <a:ext uri="{FF2B5EF4-FFF2-40B4-BE49-F238E27FC236}">
              <a16:creationId xmlns:a16="http://schemas.microsoft.com/office/drawing/2014/main" id="{00000000-0008-0000-0F00-00008C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7" name="AutoShape 1">
          <a:extLst>
            <a:ext uri="{FF2B5EF4-FFF2-40B4-BE49-F238E27FC236}">
              <a16:creationId xmlns:a16="http://schemas.microsoft.com/office/drawing/2014/main" id="{00000000-0008-0000-0F00-00008D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8" name="AutoShape 1">
          <a:extLst>
            <a:ext uri="{FF2B5EF4-FFF2-40B4-BE49-F238E27FC236}">
              <a16:creationId xmlns:a16="http://schemas.microsoft.com/office/drawing/2014/main" id="{00000000-0008-0000-0F00-00008E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39" name="AutoShape 1">
          <a:extLst>
            <a:ext uri="{FF2B5EF4-FFF2-40B4-BE49-F238E27FC236}">
              <a16:creationId xmlns:a16="http://schemas.microsoft.com/office/drawing/2014/main" id="{00000000-0008-0000-0F00-00008F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0" name="AutoShape 1">
          <a:extLst>
            <a:ext uri="{FF2B5EF4-FFF2-40B4-BE49-F238E27FC236}">
              <a16:creationId xmlns:a16="http://schemas.microsoft.com/office/drawing/2014/main" id="{00000000-0008-0000-0F00-000090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1" name="AutoShape 1">
          <a:extLst>
            <a:ext uri="{FF2B5EF4-FFF2-40B4-BE49-F238E27FC236}">
              <a16:creationId xmlns:a16="http://schemas.microsoft.com/office/drawing/2014/main" id="{00000000-0008-0000-0F00-000091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2" name="AutoShape 1">
          <a:extLst>
            <a:ext uri="{FF2B5EF4-FFF2-40B4-BE49-F238E27FC236}">
              <a16:creationId xmlns:a16="http://schemas.microsoft.com/office/drawing/2014/main" id="{00000000-0008-0000-0F00-000092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3" name="AutoShape 1">
          <a:extLst>
            <a:ext uri="{FF2B5EF4-FFF2-40B4-BE49-F238E27FC236}">
              <a16:creationId xmlns:a16="http://schemas.microsoft.com/office/drawing/2014/main" id="{00000000-0008-0000-0F00-000093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4" name="AutoShape 1">
          <a:extLst>
            <a:ext uri="{FF2B5EF4-FFF2-40B4-BE49-F238E27FC236}">
              <a16:creationId xmlns:a16="http://schemas.microsoft.com/office/drawing/2014/main" id="{00000000-0008-0000-0F00-000094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5" name="AutoShape 1">
          <a:extLst>
            <a:ext uri="{FF2B5EF4-FFF2-40B4-BE49-F238E27FC236}">
              <a16:creationId xmlns:a16="http://schemas.microsoft.com/office/drawing/2014/main" id="{00000000-0008-0000-0F00-000095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6" name="AutoShape 1">
          <a:extLst>
            <a:ext uri="{FF2B5EF4-FFF2-40B4-BE49-F238E27FC236}">
              <a16:creationId xmlns:a16="http://schemas.microsoft.com/office/drawing/2014/main" id="{00000000-0008-0000-0F00-000096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7" name="AutoShape 1">
          <a:extLst>
            <a:ext uri="{FF2B5EF4-FFF2-40B4-BE49-F238E27FC236}">
              <a16:creationId xmlns:a16="http://schemas.microsoft.com/office/drawing/2014/main" id="{00000000-0008-0000-0F00-000097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8" name="AutoShape 1">
          <a:extLst>
            <a:ext uri="{FF2B5EF4-FFF2-40B4-BE49-F238E27FC236}">
              <a16:creationId xmlns:a16="http://schemas.microsoft.com/office/drawing/2014/main" id="{00000000-0008-0000-0F00-000098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49" name="AutoShape 1">
          <a:extLst>
            <a:ext uri="{FF2B5EF4-FFF2-40B4-BE49-F238E27FC236}">
              <a16:creationId xmlns:a16="http://schemas.microsoft.com/office/drawing/2014/main" id="{00000000-0008-0000-0F00-000099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0" name="AutoShape 1">
          <a:extLst>
            <a:ext uri="{FF2B5EF4-FFF2-40B4-BE49-F238E27FC236}">
              <a16:creationId xmlns:a16="http://schemas.microsoft.com/office/drawing/2014/main" id="{00000000-0008-0000-0F00-00009A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1" name="AutoShape 1">
          <a:extLst>
            <a:ext uri="{FF2B5EF4-FFF2-40B4-BE49-F238E27FC236}">
              <a16:creationId xmlns:a16="http://schemas.microsoft.com/office/drawing/2014/main" id="{00000000-0008-0000-0F00-00009B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2" name="AutoShape 1">
          <a:extLst>
            <a:ext uri="{FF2B5EF4-FFF2-40B4-BE49-F238E27FC236}">
              <a16:creationId xmlns:a16="http://schemas.microsoft.com/office/drawing/2014/main" id="{00000000-0008-0000-0F00-00009C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3" name="AutoShape 1">
          <a:extLst>
            <a:ext uri="{FF2B5EF4-FFF2-40B4-BE49-F238E27FC236}">
              <a16:creationId xmlns:a16="http://schemas.microsoft.com/office/drawing/2014/main" id="{00000000-0008-0000-0F00-00009D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4" name="AutoShape 1">
          <a:extLst>
            <a:ext uri="{FF2B5EF4-FFF2-40B4-BE49-F238E27FC236}">
              <a16:creationId xmlns:a16="http://schemas.microsoft.com/office/drawing/2014/main" id="{00000000-0008-0000-0F00-00009E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5" name="AutoShape 1">
          <a:extLst>
            <a:ext uri="{FF2B5EF4-FFF2-40B4-BE49-F238E27FC236}">
              <a16:creationId xmlns:a16="http://schemas.microsoft.com/office/drawing/2014/main" id="{00000000-0008-0000-0F00-00009F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6" name="AutoShape 1">
          <a:extLst>
            <a:ext uri="{FF2B5EF4-FFF2-40B4-BE49-F238E27FC236}">
              <a16:creationId xmlns:a16="http://schemas.microsoft.com/office/drawing/2014/main" id="{00000000-0008-0000-0F00-0000A0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7" name="AutoShape 1">
          <a:extLst>
            <a:ext uri="{FF2B5EF4-FFF2-40B4-BE49-F238E27FC236}">
              <a16:creationId xmlns:a16="http://schemas.microsoft.com/office/drawing/2014/main" id="{00000000-0008-0000-0F00-0000A1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8" name="AutoShape 1">
          <a:extLst>
            <a:ext uri="{FF2B5EF4-FFF2-40B4-BE49-F238E27FC236}">
              <a16:creationId xmlns:a16="http://schemas.microsoft.com/office/drawing/2014/main" id="{00000000-0008-0000-0F00-0000A2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59" name="AutoShape 1">
          <a:extLst>
            <a:ext uri="{FF2B5EF4-FFF2-40B4-BE49-F238E27FC236}">
              <a16:creationId xmlns:a16="http://schemas.microsoft.com/office/drawing/2014/main" id="{00000000-0008-0000-0F00-0000A3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0" name="AutoShape 1">
          <a:extLst>
            <a:ext uri="{FF2B5EF4-FFF2-40B4-BE49-F238E27FC236}">
              <a16:creationId xmlns:a16="http://schemas.microsoft.com/office/drawing/2014/main" id="{00000000-0008-0000-0F00-0000A4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1" name="AutoShape 1">
          <a:extLst>
            <a:ext uri="{FF2B5EF4-FFF2-40B4-BE49-F238E27FC236}">
              <a16:creationId xmlns:a16="http://schemas.microsoft.com/office/drawing/2014/main" id="{00000000-0008-0000-0F00-0000A5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2" name="AutoShape 1">
          <a:extLst>
            <a:ext uri="{FF2B5EF4-FFF2-40B4-BE49-F238E27FC236}">
              <a16:creationId xmlns:a16="http://schemas.microsoft.com/office/drawing/2014/main" id="{00000000-0008-0000-0F00-0000A6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3" name="AutoShape 1">
          <a:extLst>
            <a:ext uri="{FF2B5EF4-FFF2-40B4-BE49-F238E27FC236}">
              <a16:creationId xmlns:a16="http://schemas.microsoft.com/office/drawing/2014/main" id="{00000000-0008-0000-0F00-0000A7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4" name="AutoShape 1">
          <a:extLst>
            <a:ext uri="{FF2B5EF4-FFF2-40B4-BE49-F238E27FC236}">
              <a16:creationId xmlns:a16="http://schemas.microsoft.com/office/drawing/2014/main" id="{00000000-0008-0000-0F00-0000A8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5" name="AutoShape 1">
          <a:extLst>
            <a:ext uri="{FF2B5EF4-FFF2-40B4-BE49-F238E27FC236}">
              <a16:creationId xmlns:a16="http://schemas.microsoft.com/office/drawing/2014/main" id="{00000000-0008-0000-0F00-0000A9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6" name="AutoShape 1">
          <a:extLst>
            <a:ext uri="{FF2B5EF4-FFF2-40B4-BE49-F238E27FC236}">
              <a16:creationId xmlns:a16="http://schemas.microsoft.com/office/drawing/2014/main" id="{00000000-0008-0000-0F00-0000AA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7" name="AutoShape 1">
          <a:extLst>
            <a:ext uri="{FF2B5EF4-FFF2-40B4-BE49-F238E27FC236}">
              <a16:creationId xmlns:a16="http://schemas.microsoft.com/office/drawing/2014/main" id="{00000000-0008-0000-0F00-0000AB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8" name="AutoShape 1">
          <a:extLst>
            <a:ext uri="{FF2B5EF4-FFF2-40B4-BE49-F238E27FC236}">
              <a16:creationId xmlns:a16="http://schemas.microsoft.com/office/drawing/2014/main" id="{00000000-0008-0000-0F00-0000AC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69" name="AutoShape 1">
          <a:extLst>
            <a:ext uri="{FF2B5EF4-FFF2-40B4-BE49-F238E27FC236}">
              <a16:creationId xmlns:a16="http://schemas.microsoft.com/office/drawing/2014/main" id="{00000000-0008-0000-0F00-0000AD10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0" name="AutoShape 1">
          <a:extLst>
            <a:ext uri="{FF2B5EF4-FFF2-40B4-BE49-F238E27FC236}">
              <a16:creationId xmlns:a16="http://schemas.microsoft.com/office/drawing/2014/main" id="{00000000-0008-0000-0F00-0000A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1" name="AutoShape 1">
          <a:extLst>
            <a:ext uri="{FF2B5EF4-FFF2-40B4-BE49-F238E27FC236}">
              <a16:creationId xmlns:a16="http://schemas.microsoft.com/office/drawing/2014/main" id="{00000000-0008-0000-0F00-0000A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2" name="AutoShape 1">
          <a:extLst>
            <a:ext uri="{FF2B5EF4-FFF2-40B4-BE49-F238E27FC236}">
              <a16:creationId xmlns:a16="http://schemas.microsoft.com/office/drawing/2014/main" id="{00000000-0008-0000-0F00-0000B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3" name="AutoShape 1">
          <a:extLst>
            <a:ext uri="{FF2B5EF4-FFF2-40B4-BE49-F238E27FC236}">
              <a16:creationId xmlns:a16="http://schemas.microsoft.com/office/drawing/2014/main" id="{00000000-0008-0000-0F00-0000B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4" name="AutoShape 1">
          <a:extLst>
            <a:ext uri="{FF2B5EF4-FFF2-40B4-BE49-F238E27FC236}">
              <a16:creationId xmlns:a16="http://schemas.microsoft.com/office/drawing/2014/main" id="{00000000-0008-0000-0F00-0000B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5" name="AutoShape 1">
          <a:extLst>
            <a:ext uri="{FF2B5EF4-FFF2-40B4-BE49-F238E27FC236}">
              <a16:creationId xmlns:a16="http://schemas.microsoft.com/office/drawing/2014/main" id="{00000000-0008-0000-0F00-0000B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6" name="AutoShape 1">
          <a:extLst>
            <a:ext uri="{FF2B5EF4-FFF2-40B4-BE49-F238E27FC236}">
              <a16:creationId xmlns:a16="http://schemas.microsoft.com/office/drawing/2014/main" id="{00000000-0008-0000-0F00-0000B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7" name="AutoShape 1">
          <a:extLst>
            <a:ext uri="{FF2B5EF4-FFF2-40B4-BE49-F238E27FC236}">
              <a16:creationId xmlns:a16="http://schemas.microsoft.com/office/drawing/2014/main" id="{00000000-0008-0000-0F00-0000B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8" name="AutoShape 1">
          <a:extLst>
            <a:ext uri="{FF2B5EF4-FFF2-40B4-BE49-F238E27FC236}">
              <a16:creationId xmlns:a16="http://schemas.microsoft.com/office/drawing/2014/main" id="{00000000-0008-0000-0F00-0000B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79" name="AutoShape 1">
          <a:extLst>
            <a:ext uri="{FF2B5EF4-FFF2-40B4-BE49-F238E27FC236}">
              <a16:creationId xmlns:a16="http://schemas.microsoft.com/office/drawing/2014/main" id="{00000000-0008-0000-0F00-0000B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0" name="AutoShape 1">
          <a:extLst>
            <a:ext uri="{FF2B5EF4-FFF2-40B4-BE49-F238E27FC236}">
              <a16:creationId xmlns:a16="http://schemas.microsoft.com/office/drawing/2014/main" id="{00000000-0008-0000-0F00-0000B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1" name="AutoShape 1">
          <a:extLst>
            <a:ext uri="{FF2B5EF4-FFF2-40B4-BE49-F238E27FC236}">
              <a16:creationId xmlns:a16="http://schemas.microsoft.com/office/drawing/2014/main" id="{00000000-0008-0000-0F00-0000B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2" name="AutoShape 1">
          <a:extLst>
            <a:ext uri="{FF2B5EF4-FFF2-40B4-BE49-F238E27FC236}">
              <a16:creationId xmlns:a16="http://schemas.microsoft.com/office/drawing/2014/main" id="{00000000-0008-0000-0F00-0000B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3" name="AutoShape 1">
          <a:extLst>
            <a:ext uri="{FF2B5EF4-FFF2-40B4-BE49-F238E27FC236}">
              <a16:creationId xmlns:a16="http://schemas.microsoft.com/office/drawing/2014/main" id="{00000000-0008-0000-0F00-0000B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4" name="AutoShape 1">
          <a:extLst>
            <a:ext uri="{FF2B5EF4-FFF2-40B4-BE49-F238E27FC236}">
              <a16:creationId xmlns:a16="http://schemas.microsoft.com/office/drawing/2014/main" id="{00000000-0008-0000-0F00-0000B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5" name="AutoShape 1">
          <a:extLst>
            <a:ext uri="{FF2B5EF4-FFF2-40B4-BE49-F238E27FC236}">
              <a16:creationId xmlns:a16="http://schemas.microsoft.com/office/drawing/2014/main" id="{00000000-0008-0000-0F00-0000B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6" name="AutoShape 1">
          <a:extLst>
            <a:ext uri="{FF2B5EF4-FFF2-40B4-BE49-F238E27FC236}">
              <a16:creationId xmlns:a16="http://schemas.microsoft.com/office/drawing/2014/main" id="{00000000-0008-0000-0F00-0000B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7" name="AutoShape 1">
          <a:extLst>
            <a:ext uri="{FF2B5EF4-FFF2-40B4-BE49-F238E27FC236}">
              <a16:creationId xmlns:a16="http://schemas.microsoft.com/office/drawing/2014/main" id="{00000000-0008-0000-0F00-0000B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8" name="AutoShape 1">
          <a:extLst>
            <a:ext uri="{FF2B5EF4-FFF2-40B4-BE49-F238E27FC236}">
              <a16:creationId xmlns:a16="http://schemas.microsoft.com/office/drawing/2014/main" id="{00000000-0008-0000-0F00-0000C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89" name="AutoShape 1">
          <a:extLst>
            <a:ext uri="{FF2B5EF4-FFF2-40B4-BE49-F238E27FC236}">
              <a16:creationId xmlns:a16="http://schemas.microsoft.com/office/drawing/2014/main" id="{00000000-0008-0000-0F00-0000C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0" name="AutoShape 1">
          <a:extLst>
            <a:ext uri="{FF2B5EF4-FFF2-40B4-BE49-F238E27FC236}">
              <a16:creationId xmlns:a16="http://schemas.microsoft.com/office/drawing/2014/main" id="{00000000-0008-0000-0F00-0000C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1" name="AutoShape 1">
          <a:extLst>
            <a:ext uri="{FF2B5EF4-FFF2-40B4-BE49-F238E27FC236}">
              <a16:creationId xmlns:a16="http://schemas.microsoft.com/office/drawing/2014/main" id="{00000000-0008-0000-0F00-0000C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2" name="AutoShape 1">
          <a:extLst>
            <a:ext uri="{FF2B5EF4-FFF2-40B4-BE49-F238E27FC236}">
              <a16:creationId xmlns:a16="http://schemas.microsoft.com/office/drawing/2014/main" id="{00000000-0008-0000-0F00-0000C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3" name="AutoShape 1">
          <a:extLst>
            <a:ext uri="{FF2B5EF4-FFF2-40B4-BE49-F238E27FC236}">
              <a16:creationId xmlns:a16="http://schemas.microsoft.com/office/drawing/2014/main" id="{00000000-0008-0000-0F00-0000C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4" name="AutoShape 1">
          <a:extLst>
            <a:ext uri="{FF2B5EF4-FFF2-40B4-BE49-F238E27FC236}">
              <a16:creationId xmlns:a16="http://schemas.microsoft.com/office/drawing/2014/main" id="{00000000-0008-0000-0F00-0000C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5" name="AutoShape 1">
          <a:extLst>
            <a:ext uri="{FF2B5EF4-FFF2-40B4-BE49-F238E27FC236}">
              <a16:creationId xmlns:a16="http://schemas.microsoft.com/office/drawing/2014/main" id="{00000000-0008-0000-0F00-0000C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6" name="AutoShape 1">
          <a:extLst>
            <a:ext uri="{FF2B5EF4-FFF2-40B4-BE49-F238E27FC236}">
              <a16:creationId xmlns:a16="http://schemas.microsoft.com/office/drawing/2014/main" id="{00000000-0008-0000-0F00-0000C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7" name="AutoShape 1">
          <a:extLst>
            <a:ext uri="{FF2B5EF4-FFF2-40B4-BE49-F238E27FC236}">
              <a16:creationId xmlns:a16="http://schemas.microsoft.com/office/drawing/2014/main" id="{00000000-0008-0000-0F00-0000C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8" name="AutoShape 1">
          <a:extLst>
            <a:ext uri="{FF2B5EF4-FFF2-40B4-BE49-F238E27FC236}">
              <a16:creationId xmlns:a16="http://schemas.microsoft.com/office/drawing/2014/main" id="{00000000-0008-0000-0F00-0000C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299" name="AutoShape 1">
          <a:extLst>
            <a:ext uri="{FF2B5EF4-FFF2-40B4-BE49-F238E27FC236}">
              <a16:creationId xmlns:a16="http://schemas.microsoft.com/office/drawing/2014/main" id="{00000000-0008-0000-0F00-0000C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0" name="AutoShape 1">
          <a:extLst>
            <a:ext uri="{FF2B5EF4-FFF2-40B4-BE49-F238E27FC236}">
              <a16:creationId xmlns:a16="http://schemas.microsoft.com/office/drawing/2014/main" id="{00000000-0008-0000-0F00-0000C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1" name="AutoShape 1">
          <a:extLst>
            <a:ext uri="{FF2B5EF4-FFF2-40B4-BE49-F238E27FC236}">
              <a16:creationId xmlns:a16="http://schemas.microsoft.com/office/drawing/2014/main" id="{00000000-0008-0000-0F00-0000C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2" name="AutoShape 1">
          <a:extLst>
            <a:ext uri="{FF2B5EF4-FFF2-40B4-BE49-F238E27FC236}">
              <a16:creationId xmlns:a16="http://schemas.microsoft.com/office/drawing/2014/main" id="{00000000-0008-0000-0F00-0000C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3" name="AutoShape 1">
          <a:extLst>
            <a:ext uri="{FF2B5EF4-FFF2-40B4-BE49-F238E27FC236}">
              <a16:creationId xmlns:a16="http://schemas.microsoft.com/office/drawing/2014/main" id="{00000000-0008-0000-0F00-0000C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4" name="AutoShape 1">
          <a:extLst>
            <a:ext uri="{FF2B5EF4-FFF2-40B4-BE49-F238E27FC236}">
              <a16:creationId xmlns:a16="http://schemas.microsoft.com/office/drawing/2014/main" id="{00000000-0008-0000-0F00-0000D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5" name="AutoShape 1">
          <a:extLst>
            <a:ext uri="{FF2B5EF4-FFF2-40B4-BE49-F238E27FC236}">
              <a16:creationId xmlns:a16="http://schemas.microsoft.com/office/drawing/2014/main" id="{00000000-0008-0000-0F00-0000D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6" name="AutoShape 1">
          <a:extLst>
            <a:ext uri="{FF2B5EF4-FFF2-40B4-BE49-F238E27FC236}">
              <a16:creationId xmlns:a16="http://schemas.microsoft.com/office/drawing/2014/main" id="{00000000-0008-0000-0F00-0000D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7" name="AutoShape 1">
          <a:extLst>
            <a:ext uri="{FF2B5EF4-FFF2-40B4-BE49-F238E27FC236}">
              <a16:creationId xmlns:a16="http://schemas.microsoft.com/office/drawing/2014/main" id="{00000000-0008-0000-0F00-0000D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8" name="AutoShape 1">
          <a:extLst>
            <a:ext uri="{FF2B5EF4-FFF2-40B4-BE49-F238E27FC236}">
              <a16:creationId xmlns:a16="http://schemas.microsoft.com/office/drawing/2014/main" id="{00000000-0008-0000-0F00-0000D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09" name="AutoShape 1">
          <a:extLst>
            <a:ext uri="{FF2B5EF4-FFF2-40B4-BE49-F238E27FC236}">
              <a16:creationId xmlns:a16="http://schemas.microsoft.com/office/drawing/2014/main" id="{00000000-0008-0000-0F00-0000D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0" name="AutoShape 1">
          <a:extLst>
            <a:ext uri="{FF2B5EF4-FFF2-40B4-BE49-F238E27FC236}">
              <a16:creationId xmlns:a16="http://schemas.microsoft.com/office/drawing/2014/main" id="{00000000-0008-0000-0F00-0000D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1" name="AutoShape 1">
          <a:extLst>
            <a:ext uri="{FF2B5EF4-FFF2-40B4-BE49-F238E27FC236}">
              <a16:creationId xmlns:a16="http://schemas.microsoft.com/office/drawing/2014/main" id="{00000000-0008-0000-0F00-0000D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2" name="AutoShape 1">
          <a:extLst>
            <a:ext uri="{FF2B5EF4-FFF2-40B4-BE49-F238E27FC236}">
              <a16:creationId xmlns:a16="http://schemas.microsoft.com/office/drawing/2014/main" id="{00000000-0008-0000-0F00-0000D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3" name="AutoShape 1">
          <a:extLst>
            <a:ext uri="{FF2B5EF4-FFF2-40B4-BE49-F238E27FC236}">
              <a16:creationId xmlns:a16="http://schemas.microsoft.com/office/drawing/2014/main" id="{00000000-0008-0000-0F00-0000D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4" name="AutoShape 1">
          <a:extLst>
            <a:ext uri="{FF2B5EF4-FFF2-40B4-BE49-F238E27FC236}">
              <a16:creationId xmlns:a16="http://schemas.microsoft.com/office/drawing/2014/main" id="{00000000-0008-0000-0F00-0000D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5" name="AutoShape 1">
          <a:extLst>
            <a:ext uri="{FF2B5EF4-FFF2-40B4-BE49-F238E27FC236}">
              <a16:creationId xmlns:a16="http://schemas.microsoft.com/office/drawing/2014/main" id="{00000000-0008-0000-0F00-0000D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6" name="AutoShape 1">
          <a:extLst>
            <a:ext uri="{FF2B5EF4-FFF2-40B4-BE49-F238E27FC236}">
              <a16:creationId xmlns:a16="http://schemas.microsoft.com/office/drawing/2014/main" id="{00000000-0008-0000-0F00-0000D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7" name="AutoShape 1">
          <a:extLst>
            <a:ext uri="{FF2B5EF4-FFF2-40B4-BE49-F238E27FC236}">
              <a16:creationId xmlns:a16="http://schemas.microsoft.com/office/drawing/2014/main" id="{00000000-0008-0000-0F00-0000D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8" name="AutoShape 1">
          <a:extLst>
            <a:ext uri="{FF2B5EF4-FFF2-40B4-BE49-F238E27FC236}">
              <a16:creationId xmlns:a16="http://schemas.microsoft.com/office/drawing/2014/main" id="{00000000-0008-0000-0F00-0000D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19" name="AutoShape 1">
          <a:extLst>
            <a:ext uri="{FF2B5EF4-FFF2-40B4-BE49-F238E27FC236}">
              <a16:creationId xmlns:a16="http://schemas.microsoft.com/office/drawing/2014/main" id="{00000000-0008-0000-0F00-0000D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0" name="AutoShape 1">
          <a:extLst>
            <a:ext uri="{FF2B5EF4-FFF2-40B4-BE49-F238E27FC236}">
              <a16:creationId xmlns:a16="http://schemas.microsoft.com/office/drawing/2014/main" id="{00000000-0008-0000-0F00-0000E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1" name="AutoShape 1">
          <a:extLst>
            <a:ext uri="{FF2B5EF4-FFF2-40B4-BE49-F238E27FC236}">
              <a16:creationId xmlns:a16="http://schemas.microsoft.com/office/drawing/2014/main" id="{00000000-0008-0000-0F00-0000E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2" name="AutoShape 1">
          <a:extLst>
            <a:ext uri="{FF2B5EF4-FFF2-40B4-BE49-F238E27FC236}">
              <a16:creationId xmlns:a16="http://schemas.microsoft.com/office/drawing/2014/main" id="{00000000-0008-0000-0F00-0000E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3" name="AutoShape 1">
          <a:extLst>
            <a:ext uri="{FF2B5EF4-FFF2-40B4-BE49-F238E27FC236}">
              <a16:creationId xmlns:a16="http://schemas.microsoft.com/office/drawing/2014/main" id="{00000000-0008-0000-0F00-0000E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4" name="AutoShape 1">
          <a:extLst>
            <a:ext uri="{FF2B5EF4-FFF2-40B4-BE49-F238E27FC236}">
              <a16:creationId xmlns:a16="http://schemas.microsoft.com/office/drawing/2014/main" id="{00000000-0008-0000-0F00-0000E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5" name="AutoShape 1">
          <a:extLst>
            <a:ext uri="{FF2B5EF4-FFF2-40B4-BE49-F238E27FC236}">
              <a16:creationId xmlns:a16="http://schemas.microsoft.com/office/drawing/2014/main" id="{00000000-0008-0000-0F00-0000E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6" name="AutoShape 1">
          <a:extLst>
            <a:ext uri="{FF2B5EF4-FFF2-40B4-BE49-F238E27FC236}">
              <a16:creationId xmlns:a16="http://schemas.microsoft.com/office/drawing/2014/main" id="{00000000-0008-0000-0F00-0000E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7" name="AutoShape 1">
          <a:extLst>
            <a:ext uri="{FF2B5EF4-FFF2-40B4-BE49-F238E27FC236}">
              <a16:creationId xmlns:a16="http://schemas.microsoft.com/office/drawing/2014/main" id="{00000000-0008-0000-0F00-0000E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8" name="AutoShape 1">
          <a:extLst>
            <a:ext uri="{FF2B5EF4-FFF2-40B4-BE49-F238E27FC236}">
              <a16:creationId xmlns:a16="http://schemas.microsoft.com/office/drawing/2014/main" id="{00000000-0008-0000-0F00-0000E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29" name="AutoShape 1">
          <a:extLst>
            <a:ext uri="{FF2B5EF4-FFF2-40B4-BE49-F238E27FC236}">
              <a16:creationId xmlns:a16="http://schemas.microsoft.com/office/drawing/2014/main" id="{00000000-0008-0000-0F00-0000E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0" name="AutoShape 1">
          <a:extLst>
            <a:ext uri="{FF2B5EF4-FFF2-40B4-BE49-F238E27FC236}">
              <a16:creationId xmlns:a16="http://schemas.microsoft.com/office/drawing/2014/main" id="{00000000-0008-0000-0F00-0000E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1" name="AutoShape 1">
          <a:extLst>
            <a:ext uri="{FF2B5EF4-FFF2-40B4-BE49-F238E27FC236}">
              <a16:creationId xmlns:a16="http://schemas.microsoft.com/office/drawing/2014/main" id="{00000000-0008-0000-0F00-0000E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2" name="AutoShape 1">
          <a:extLst>
            <a:ext uri="{FF2B5EF4-FFF2-40B4-BE49-F238E27FC236}">
              <a16:creationId xmlns:a16="http://schemas.microsoft.com/office/drawing/2014/main" id="{00000000-0008-0000-0F00-0000E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3" name="AutoShape 1">
          <a:extLst>
            <a:ext uri="{FF2B5EF4-FFF2-40B4-BE49-F238E27FC236}">
              <a16:creationId xmlns:a16="http://schemas.microsoft.com/office/drawing/2014/main" id="{00000000-0008-0000-0F00-0000E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4" name="AutoShape 1">
          <a:extLst>
            <a:ext uri="{FF2B5EF4-FFF2-40B4-BE49-F238E27FC236}">
              <a16:creationId xmlns:a16="http://schemas.microsoft.com/office/drawing/2014/main" id="{00000000-0008-0000-0F00-0000E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5" name="AutoShape 1">
          <a:extLst>
            <a:ext uri="{FF2B5EF4-FFF2-40B4-BE49-F238E27FC236}">
              <a16:creationId xmlns:a16="http://schemas.microsoft.com/office/drawing/2014/main" id="{00000000-0008-0000-0F00-0000E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6" name="AutoShape 1">
          <a:extLst>
            <a:ext uri="{FF2B5EF4-FFF2-40B4-BE49-F238E27FC236}">
              <a16:creationId xmlns:a16="http://schemas.microsoft.com/office/drawing/2014/main" id="{00000000-0008-0000-0F00-0000F0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7" name="AutoShape 1">
          <a:extLst>
            <a:ext uri="{FF2B5EF4-FFF2-40B4-BE49-F238E27FC236}">
              <a16:creationId xmlns:a16="http://schemas.microsoft.com/office/drawing/2014/main" id="{00000000-0008-0000-0F00-0000F1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8" name="AutoShape 1">
          <a:extLst>
            <a:ext uri="{FF2B5EF4-FFF2-40B4-BE49-F238E27FC236}">
              <a16:creationId xmlns:a16="http://schemas.microsoft.com/office/drawing/2014/main" id="{00000000-0008-0000-0F00-0000F2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39" name="AutoShape 1">
          <a:extLst>
            <a:ext uri="{FF2B5EF4-FFF2-40B4-BE49-F238E27FC236}">
              <a16:creationId xmlns:a16="http://schemas.microsoft.com/office/drawing/2014/main" id="{00000000-0008-0000-0F00-0000F3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0" name="AutoShape 1">
          <a:extLst>
            <a:ext uri="{FF2B5EF4-FFF2-40B4-BE49-F238E27FC236}">
              <a16:creationId xmlns:a16="http://schemas.microsoft.com/office/drawing/2014/main" id="{00000000-0008-0000-0F00-0000F4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1" name="AutoShape 1">
          <a:extLst>
            <a:ext uri="{FF2B5EF4-FFF2-40B4-BE49-F238E27FC236}">
              <a16:creationId xmlns:a16="http://schemas.microsoft.com/office/drawing/2014/main" id="{00000000-0008-0000-0F00-0000F5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2" name="AutoShape 1">
          <a:extLst>
            <a:ext uri="{FF2B5EF4-FFF2-40B4-BE49-F238E27FC236}">
              <a16:creationId xmlns:a16="http://schemas.microsoft.com/office/drawing/2014/main" id="{00000000-0008-0000-0F00-0000F6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3" name="AutoShape 1">
          <a:extLst>
            <a:ext uri="{FF2B5EF4-FFF2-40B4-BE49-F238E27FC236}">
              <a16:creationId xmlns:a16="http://schemas.microsoft.com/office/drawing/2014/main" id="{00000000-0008-0000-0F00-0000F7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4" name="AutoShape 1">
          <a:extLst>
            <a:ext uri="{FF2B5EF4-FFF2-40B4-BE49-F238E27FC236}">
              <a16:creationId xmlns:a16="http://schemas.microsoft.com/office/drawing/2014/main" id="{00000000-0008-0000-0F00-0000F8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5" name="AutoShape 1">
          <a:extLst>
            <a:ext uri="{FF2B5EF4-FFF2-40B4-BE49-F238E27FC236}">
              <a16:creationId xmlns:a16="http://schemas.microsoft.com/office/drawing/2014/main" id="{00000000-0008-0000-0F00-0000F9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6" name="AutoShape 1">
          <a:extLst>
            <a:ext uri="{FF2B5EF4-FFF2-40B4-BE49-F238E27FC236}">
              <a16:creationId xmlns:a16="http://schemas.microsoft.com/office/drawing/2014/main" id="{00000000-0008-0000-0F00-0000FA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7" name="AutoShape 1">
          <a:extLst>
            <a:ext uri="{FF2B5EF4-FFF2-40B4-BE49-F238E27FC236}">
              <a16:creationId xmlns:a16="http://schemas.microsoft.com/office/drawing/2014/main" id="{00000000-0008-0000-0F00-0000FB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8" name="AutoShape 1">
          <a:extLst>
            <a:ext uri="{FF2B5EF4-FFF2-40B4-BE49-F238E27FC236}">
              <a16:creationId xmlns:a16="http://schemas.microsoft.com/office/drawing/2014/main" id="{00000000-0008-0000-0F00-0000FC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49" name="AutoShape 1">
          <a:extLst>
            <a:ext uri="{FF2B5EF4-FFF2-40B4-BE49-F238E27FC236}">
              <a16:creationId xmlns:a16="http://schemas.microsoft.com/office/drawing/2014/main" id="{00000000-0008-0000-0F00-0000FD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0" name="AutoShape 1">
          <a:extLst>
            <a:ext uri="{FF2B5EF4-FFF2-40B4-BE49-F238E27FC236}">
              <a16:creationId xmlns:a16="http://schemas.microsoft.com/office/drawing/2014/main" id="{00000000-0008-0000-0F00-0000FE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1" name="AutoShape 1">
          <a:extLst>
            <a:ext uri="{FF2B5EF4-FFF2-40B4-BE49-F238E27FC236}">
              <a16:creationId xmlns:a16="http://schemas.microsoft.com/office/drawing/2014/main" id="{00000000-0008-0000-0F00-0000FF10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2" name="AutoShape 1">
          <a:extLst>
            <a:ext uri="{FF2B5EF4-FFF2-40B4-BE49-F238E27FC236}">
              <a16:creationId xmlns:a16="http://schemas.microsoft.com/office/drawing/2014/main" id="{00000000-0008-0000-0F00-00000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3" name="AutoShape 1">
          <a:extLst>
            <a:ext uri="{FF2B5EF4-FFF2-40B4-BE49-F238E27FC236}">
              <a16:creationId xmlns:a16="http://schemas.microsoft.com/office/drawing/2014/main" id="{00000000-0008-0000-0F00-00000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4" name="AutoShape 1">
          <a:extLst>
            <a:ext uri="{FF2B5EF4-FFF2-40B4-BE49-F238E27FC236}">
              <a16:creationId xmlns:a16="http://schemas.microsoft.com/office/drawing/2014/main" id="{00000000-0008-0000-0F00-00000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5" name="AutoShape 1">
          <a:extLst>
            <a:ext uri="{FF2B5EF4-FFF2-40B4-BE49-F238E27FC236}">
              <a16:creationId xmlns:a16="http://schemas.microsoft.com/office/drawing/2014/main" id="{00000000-0008-0000-0F00-00000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6" name="AutoShape 1">
          <a:extLst>
            <a:ext uri="{FF2B5EF4-FFF2-40B4-BE49-F238E27FC236}">
              <a16:creationId xmlns:a16="http://schemas.microsoft.com/office/drawing/2014/main" id="{00000000-0008-0000-0F00-00000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7" name="AutoShape 1">
          <a:extLst>
            <a:ext uri="{FF2B5EF4-FFF2-40B4-BE49-F238E27FC236}">
              <a16:creationId xmlns:a16="http://schemas.microsoft.com/office/drawing/2014/main" id="{00000000-0008-0000-0F00-00000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8" name="AutoShape 1">
          <a:extLst>
            <a:ext uri="{FF2B5EF4-FFF2-40B4-BE49-F238E27FC236}">
              <a16:creationId xmlns:a16="http://schemas.microsoft.com/office/drawing/2014/main" id="{00000000-0008-0000-0F00-00000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59" name="AutoShape 1">
          <a:extLst>
            <a:ext uri="{FF2B5EF4-FFF2-40B4-BE49-F238E27FC236}">
              <a16:creationId xmlns:a16="http://schemas.microsoft.com/office/drawing/2014/main" id="{00000000-0008-0000-0F00-00000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0" name="AutoShape 1">
          <a:extLst>
            <a:ext uri="{FF2B5EF4-FFF2-40B4-BE49-F238E27FC236}">
              <a16:creationId xmlns:a16="http://schemas.microsoft.com/office/drawing/2014/main" id="{00000000-0008-0000-0F00-00000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1" name="AutoShape 1">
          <a:extLst>
            <a:ext uri="{FF2B5EF4-FFF2-40B4-BE49-F238E27FC236}">
              <a16:creationId xmlns:a16="http://schemas.microsoft.com/office/drawing/2014/main" id="{00000000-0008-0000-0F00-00000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2" name="AutoShape 1">
          <a:extLst>
            <a:ext uri="{FF2B5EF4-FFF2-40B4-BE49-F238E27FC236}">
              <a16:creationId xmlns:a16="http://schemas.microsoft.com/office/drawing/2014/main" id="{00000000-0008-0000-0F00-00000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3" name="AutoShape 1">
          <a:extLst>
            <a:ext uri="{FF2B5EF4-FFF2-40B4-BE49-F238E27FC236}">
              <a16:creationId xmlns:a16="http://schemas.microsoft.com/office/drawing/2014/main" id="{00000000-0008-0000-0F00-00000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4" name="AutoShape 1">
          <a:extLst>
            <a:ext uri="{FF2B5EF4-FFF2-40B4-BE49-F238E27FC236}">
              <a16:creationId xmlns:a16="http://schemas.microsoft.com/office/drawing/2014/main" id="{00000000-0008-0000-0F00-00000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5" name="AutoShape 1">
          <a:extLst>
            <a:ext uri="{FF2B5EF4-FFF2-40B4-BE49-F238E27FC236}">
              <a16:creationId xmlns:a16="http://schemas.microsoft.com/office/drawing/2014/main" id="{00000000-0008-0000-0F00-00000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6" name="AutoShape 1">
          <a:extLst>
            <a:ext uri="{FF2B5EF4-FFF2-40B4-BE49-F238E27FC236}">
              <a16:creationId xmlns:a16="http://schemas.microsoft.com/office/drawing/2014/main" id="{00000000-0008-0000-0F00-00000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7" name="AutoShape 1">
          <a:extLst>
            <a:ext uri="{FF2B5EF4-FFF2-40B4-BE49-F238E27FC236}">
              <a16:creationId xmlns:a16="http://schemas.microsoft.com/office/drawing/2014/main" id="{00000000-0008-0000-0F00-00000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8" name="AutoShape 1">
          <a:extLst>
            <a:ext uri="{FF2B5EF4-FFF2-40B4-BE49-F238E27FC236}">
              <a16:creationId xmlns:a16="http://schemas.microsoft.com/office/drawing/2014/main" id="{00000000-0008-0000-0F00-00001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69" name="AutoShape 1">
          <a:extLst>
            <a:ext uri="{FF2B5EF4-FFF2-40B4-BE49-F238E27FC236}">
              <a16:creationId xmlns:a16="http://schemas.microsoft.com/office/drawing/2014/main" id="{00000000-0008-0000-0F00-00001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0" name="AutoShape 1">
          <a:extLst>
            <a:ext uri="{FF2B5EF4-FFF2-40B4-BE49-F238E27FC236}">
              <a16:creationId xmlns:a16="http://schemas.microsoft.com/office/drawing/2014/main" id="{00000000-0008-0000-0F00-00001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1" name="AutoShape 1">
          <a:extLst>
            <a:ext uri="{FF2B5EF4-FFF2-40B4-BE49-F238E27FC236}">
              <a16:creationId xmlns:a16="http://schemas.microsoft.com/office/drawing/2014/main" id="{00000000-0008-0000-0F00-00001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2" name="AutoShape 1">
          <a:extLst>
            <a:ext uri="{FF2B5EF4-FFF2-40B4-BE49-F238E27FC236}">
              <a16:creationId xmlns:a16="http://schemas.microsoft.com/office/drawing/2014/main" id="{00000000-0008-0000-0F00-00001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3" name="AutoShape 1">
          <a:extLst>
            <a:ext uri="{FF2B5EF4-FFF2-40B4-BE49-F238E27FC236}">
              <a16:creationId xmlns:a16="http://schemas.microsoft.com/office/drawing/2014/main" id="{00000000-0008-0000-0F00-00001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4" name="AutoShape 1">
          <a:extLst>
            <a:ext uri="{FF2B5EF4-FFF2-40B4-BE49-F238E27FC236}">
              <a16:creationId xmlns:a16="http://schemas.microsoft.com/office/drawing/2014/main" id="{00000000-0008-0000-0F00-00001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5" name="AutoShape 1">
          <a:extLst>
            <a:ext uri="{FF2B5EF4-FFF2-40B4-BE49-F238E27FC236}">
              <a16:creationId xmlns:a16="http://schemas.microsoft.com/office/drawing/2014/main" id="{00000000-0008-0000-0F00-00001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6" name="AutoShape 1">
          <a:extLst>
            <a:ext uri="{FF2B5EF4-FFF2-40B4-BE49-F238E27FC236}">
              <a16:creationId xmlns:a16="http://schemas.microsoft.com/office/drawing/2014/main" id="{00000000-0008-0000-0F00-00001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7" name="AutoShape 1">
          <a:extLst>
            <a:ext uri="{FF2B5EF4-FFF2-40B4-BE49-F238E27FC236}">
              <a16:creationId xmlns:a16="http://schemas.microsoft.com/office/drawing/2014/main" id="{00000000-0008-0000-0F00-00001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8" name="AutoShape 1">
          <a:extLst>
            <a:ext uri="{FF2B5EF4-FFF2-40B4-BE49-F238E27FC236}">
              <a16:creationId xmlns:a16="http://schemas.microsoft.com/office/drawing/2014/main" id="{00000000-0008-0000-0F00-00001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79" name="AutoShape 1">
          <a:extLst>
            <a:ext uri="{FF2B5EF4-FFF2-40B4-BE49-F238E27FC236}">
              <a16:creationId xmlns:a16="http://schemas.microsoft.com/office/drawing/2014/main" id="{00000000-0008-0000-0F00-00001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0" name="AutoShape 1">
          <a:extLst>
            <a:ext uri="{FF2B5EF4-FFF2-40B4-BE49-F238E27FC236}">
              <a16:creationId xmlns:a16="http://schemas.microsoft.com/office/drawing/2014/main" id="{00000000-0008-0000-0F00-00001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1" name="AutoShape 1">
          <a:extLst>
            <a:ext uri="{FF2B5EF4-FFF2-40B4-BE49-F238E27FC236}">
              <a16:creationId xmlns:a16="http://schemas.microsoft.com/office/drawing/2014/main" id="{00000000-0008-0000-0F00-00001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2" name="AutoShape 1">
          <a:extLst>
            <a:ext uri="{FF2B5EF4-FFF2-40B4-BE49-F238E27FC236}">
              <a16:creationId xmlns:a16="http://schemas.microsoft.com/office/drawing/2014/main" id="{00000000-0008-0000-0F00-00001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3" name="AutoShape 1">
          <a:extLst>
            <a:ext uri="{FF2B5EF4-FFF2-40B4-BE49-F238E27FC236}">
              <a16:creationId xmlns:a16="http://schemas.microsoft.com/office/drawing/2014/main" id="{00000000-0008-0000-0F00-00001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4" name="AutoShape 1">
          <a:extLst>
            <a:ext uri="{FF2B5EF4-FFF2-40B4-BE49-F238E27FC236}">
              <a16:creationId xmlns:a16="http://schemas.microsoft.com/office/drawing/2014/main" id="{00000000-0008-0000-0F00-00002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5" name="AutoShape 1">
          <a:extLst>
            <a:ext uri="{FF2B5EF4-FFF2-40B4-BE49-F238E27FC236}">
              <a16:creationId xmlns:a16="http://schemas.microsoft.com/office/drawing/2014/main" id="{00000000-0008-0000-0F00-00002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6" name="AutoShape 1">
          <a:extLst>
            <a:ext uri="{FF2B5EF4-FFF2-40B4-BE49-F238E27FC236}">
              <a16:creationId xmlns:a16="http://schemas.microsoft.com/office/drawing/2014/main" id="{00000000-0008-0000-0F00-00002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7" name="AutoShape 1">
          <a:extLst>
            <a:ext uri="{FF2B5EF4-FFF2-40B4-BE49-F238E27FC236}">
              <a16:creationId xmlns:a16="http://schemas.microsoft.com/office/drawing/2014/main" id="{00000000-0008-0000-0F00-00002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8" name="AutoShape 1">
          <a:extLst>
            <a:ext uri="{FF2B5EF4-FFF2-40B4-BE49-F238E27FC236}">
              <a16:creationId xmlns:a16="http://schemas.microsoft.com/office/drawing/2014/main" id="{00000000-0008-0000-0F00-00002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89" name="AutoShape 1">
          <a:extLst>
            <a:ext uri="{FF2B5EF4-FFF2-40B4-BE49-F238E27FC236}">
              <a16:creationId xmlns:a16="http://schemas.microsoft.com/office/drawing/2014/main" id="{00000000-0008-0000-0F00-00002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0" name="AutoShape 1">
          <a:extLst>
            <a:ext uri="{FF2B5EF4-FFF2-40B4-BE49-F238E27FC236}">
              <a16:creationId xmlns:a16="http://schemas.microsoft.com/office/drawing/2014/main" id="{00000000-0008-0000-0F00-00002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1" name="AutoShape 1">
          <a:extLst>
            <a:ext uri="{FF2B5EF4-FFF2-40B4-BE49-F238E27FC236}">
              <a16:creationId xmlns:a16="http://schemas.microsoft.com/office/drawing/2014/main" id="{00000000-0008-0000-0F00-00002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2" name="AutoShape 1">
          <a:extLst>
            <a:ext uri="{FF2B5EF4-FFF2-40B4-BE49-F238E27FC236}">
              <a16:creationId xmlns:a16="http://schemas.microsoft.com/office/drawing/2014/main" id="{00000000-0008-0000-0F00-00002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3" name="AutoShape 1">
          <a:extLst>
            <a:ext uri="{FF2B5EF4-FFF2-40B4-BE49-F238E27FC236}">
              <a16:creationId xmlns:a16="http://schemas.microsoft.com/office/drawing/2014/main" id="{00000000-0008-0000-0F00-00002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4" name="AutoShape 1">
          <a:extLst>
            <a:ext uri="{FF2B5EF4-FFF2-40B4-BE49-F238E27FC236}">
              <a16:creationId xmlns:a16="http://schemas.microsoft.com/office/drawing/2014/main" id="{00000000-0008-0000-0F00-00002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5" name="AutoShape 1">
          <a:extLst>
            <a:ext uri="{FF2B5EF4-FFF2-40B4-BE49-F238E27FC236}">
              <a16:creationId xmlns:a16="http://schemas.microsoft.com/office/drawing/2014/main" id="{00000000-0008-0000-0F00-00002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6" name="AutoShape 1">
          <a:extLst>
            <a:ext uri="{FF2B5EF4-FFF2-40B4-BE49-F238E27FC236}">
              <a16:creationId xmlns:a16="http://schemas.microsoft.com/office/drawing/2014/main" id="{00000000-0008-0000-0F00-00002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7" name="AutoShape 1">
          <a:extLst>
            <a:ext uri="{FF2B5EF4-FFF2-40B4-BE49-F238E27FC236}">
              <a16:creationId xmlns:a16="http://schemas.microsoft.com/office/drawing/2014/main" id="{00000000-0008-0000-0F00-00002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8" name="AutoShape 1">
          <a:extLst>
            <a:ext uri="{FF2B5EF4-FFF2-40B4-BE49-F238E27FC236}">
              <a16:creationId xmlns:a16="http://schemas.microsoft.com/office/drawing/2014/main" id="{00000000-0008-0000-0F00-00002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399" name="AutoShape 1">
          <a:extLst>
            <a:ext uri="{FF2B5EF4-FFF2-40B4-BE49-F238E27FC236}">
              <a16:creationId xmlns:a16="http://schemas.microsoft.com/office/drawing/2014/main" id="{00000000-0008-0000-0F00-00002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0" name="AutoShape 1">
          <a:extLst>
            <a:ext uri="{FF2B5EF4-FFF2-40B4-BE49-F238E27FC236}">
              <a16:creationId xmlns:a16="http://schemas.microsoft.com/office/drawing/2014/main" id="{00000000-0008-0000-0F00-00003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1" name="AutoShape 1">
          <a:extLst>
            <a:ext uri="{FF2B5EF4-FFF2-40B4-BE49-F238E27FC236}">
              <a16:creationId xmlns:a16="http://schemas.microsoft.com/office/drawing/2014/main" id="{00000000-0008-0000-0F00-00003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2" name="AutoShape 1">
          <a:extLst>
            <a:ext uri="{FF2B5EF4-FFF2-40B4-BE49-F238E27FC236}">
              <a16:creationId xmlns:a16="http://schemas.microsoft.com/office/drawing/2014/main" id="{00000000-0008-0000-0F00-00003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3" name="AutoShape 1">
          <a:extLst>
            <a:ext uri="{FF2B5EF4-FFF2-40B4-BE49-F238E27FC236}">
              <a16:creationId xmlns:a16="http://schemas.microsoft.com/office/drawing/2014/main" id="{00000000-0008-0000-0F00-00003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4" name="AutoShape 1">
          <a:extLst>
            <a:ext uri="{FF2B5EF4-FFF2-40B4-BE49-F238E27FC236}">
              <a16:creationId xmlns:a16="http://schemas.microsoft.com/office/drawing/2014/main" id="{00000000-0008-0000-0F00-00003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5" name="AutoShape 1">
          <a:extLst>
            <a:ext uri="{FF2B5EF4-FFF2-40B4-BE49-F238E27FC236}">
              <a16:creationId xmlns:a16="http://schemas.microsoft.com/office/drawing/2014/main" id="{00000000-0008-0000-0F00-00003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6" name="AutoShape 1">
          <a:extLst>
            <a:ext uri="{FF2B5EF4-FFF2-40B4-BE49-F238E27FC236}">
              <a16:creationId xmlns:a16="http://schemas.microsoft.com/office/drawing/2014/main" id="{00000000-0008-0000-0F00-00003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7" name="AutoShape 1">
          <a:extLst>
            <a:ext uri="{FF2B5EF4-FFF2-40B4-BE49-F238E27FC236}">
              <a16:creationId xmlns:a16="http://schemas.microsoft.com/office/drawing/2014/main" id="{00000000-0008-0000-0F00-00003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8" name="AutoShape 1">
          <a:extLst>
            <a:ext uri="{FF2B5EF4-FFF2-40B4-BE49-F238E27FC236}">
              <a16:creationId xmlns:a16="http://schemas.microsoft.com/office/drawing/2014/main" id="{00000000-0008-0000-0F00-00003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09" name="AutoShape 1">
          <a:extLst>
            <a:ext uri="{FF2B5EF4-FFF2-40B4-BE49-F238E27FC236}">
              <a16:creationId xmlns:a16="http://schemas.microsoft.com/office/drawing/2014/main" id="{00000000-0008-0000-0F00-00003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0" name="AutoShape 1">
          <a:extLst>
            <a:ext uri="{FF2B5EF4-FFF2-40B4-BE49-F238E27FC236}">
              <a16:creationId xmlns:a16="http://schemas.microsoft.com/office/drawing/2014/main" id="{00000000-0008-0000-0F00-00003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1" name="AutoShape 1">
          <a:extLst>
            <a:ext uri="{FF2B5EF4-FFF2-40B4-BE49-F238E27FC236}">
              <a16:creationId xmlns:a16="http://schemas.microsoft.com/office/drawing/2014/main" id="{00000000-0008-0000-0F00-00003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2" name="AutoShape 1">
          <a:extLst>
            <a:ext uri="{FF2B5EF4-FFF2-40B4-BE49-F238E27FC236}">
              <a16:creationId xmlns:a16="http://schemas.microsoft.com/office/drawing/2014/main" id="{00000000-0008-0000-0F00-00003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3" name="AutoShape 1">
          <a:extLst>
            <a:ext uri="{FF2B5EF4-FFF2-40B4-BE49-F238E27FC236}">
              <a16:creationId xmlns:a16="http://schemas.microsoft.com/office/drawing/2014/main" id="{00000000-0008-0000-0F00-00003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4" name="AutoShape 1">
          <a:extLst>
            <a:ext uri="{FF2B5EF4-FFF2-40B4-BE49-F238E27FC236}">
              <a16:creationId xmlns:a16="http://schemas.microsoft.com/office/drawing/2014/main" id="{00000000-0008-0000-0F00-00003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5" name="AutoShape 1">
          <a:extLst>
            <a:ext uri="{FF2B5EF4-FFF2-40B4-BE49-F238E27FC236}">
              <a16:creationId xmlns:a16="http://schemas.microsoft.com/office/drawing/2014/main" id="{00000000-0008-0000-0F00-00003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6" name="AutoShape 1">
          <a:extLst>
            <a:ext uri="{FF2B5EF4-FFF2-40B4-BE49-F238E27FC236}">
              <a16:creationId xmlns:a16="http://schemas.microsoft.com/office/drawing/2014/main" id="{00000000-0008-0000-0F00-00004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7" name="AutoShape 1">
          <a:extLst>
            <a:ext uri="{FF2B5EF4-FFF2-40B4-BE49-F238E27FC236}">
              <a16:creationId xmlns:a16="http://schemas.microsoft.com/office/drawing/2014/main" id="{00000000-0008-0000-0F00-00004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8" name="AutoShape 1">
          <a:extLst>
            <a:ext uri="{FF2B5EF4-FFF2-40B4-BE49-F238E27FC236}">
              <a16:creationId xmlns:a16="http://schemas.microsoft.com/office/drawing/2014/main" id="{00000000-0008-0000-0F00-00004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19" name="AutoShape 1">
          <a:extLst>
            <a:ext uri="{FF2B5EF4-FFF2-40B4-BE49-F238E27FC236}">
              <a16:creationId xmlns:a16="http://schemas.microsoft.com/office/drawing/2014/main" id="{00000000-0008-0000-0F00-00004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0" name="AutoShape 1">
          <a:extLst>
            <a:ext uri="{FF2B5EF4-FFF2-40B4-BE49-F238E27FC236}">
              <a16:creationId xmlns:a16="http://schemas.microsoft.com/office/drawing/2014/main" id="{00000000-0008-0000-0F00-00004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1" name="AutoShape 1">
          <a:extLst>
            <a:ext uri="{FF2B5EF4-FFF2-40B4-BE49-F238E27FC236}">
              <a16:creationId xmlns:a16="http://schemas.microsoft.com/office/drawing/2014/main" id="{00000000-0008-0000-0F00-00004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2" name="AutoShape 1">
          <a:extLst>
            <a:ext uri="{FF2B5EF4-FFF2-40B4-BE49-F238E27FC236}">
              <a16:creationId xmlns:a16="http://schemas.microsoft.com/office/drawing/2014/main" id="{00000000-0008-0000-0F00-00004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3" name="AutoShape 1">
          <a:extLst>
            <a:ext uri="{FF2B5EF4-FFF2-40B4-BE49-F238E27FC236}">
              <a16:creationId xmlns:a16="http://schemas.microsoft.com/office/drawing/2014/main" id="{00000000-0008-0000-0F00-00004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4" name="AutoShape 1">
          <a:extLst>
            <a:ext uri="{FF2B5EF4-FFF2-40B4-BE49-F238E27FC236}">
              <a16:creationId xmlns:a16="http://schemas.microsoft.com/office/drawing/2014/main" id="{00000000-0008-0000-0F00-00004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5" name="AutoShape 1">
          <a:extLst>
            <a:ext uri="{FF2B5EF4-FFF2-40B4-BE49-F238E27FC236}">
              <a16:creationId xmlns:a16="http://schemas.microsoft.com/office/drawing/2014/main" id="{00000000-0008-0000-0F00-00004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6" name="AutoShape 1">
          <a:extLst>
            <a:ext uri="{FF2B5EF4-FFF2-40B4-BE49-F238E27FC236}">
              <a16:creationId xmlns:a16="http://schemas.microsoft.com/office/drawing/2014/main" id="{00000000-0008-0000-0F00-00004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7" name="AutoShape 1">
          <a:extLst>
            <a:ext uri="{FF2B5EF4-FFF2-40B4-BE49-F238E27FC236}">
              <a16:creationId xmlns:a16="http://schemas.microsoft.com/office/drawing/2014/main" id="{00000000-0008-0000-0F00-00004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8" name="AutoShape 1">
          <a:extLst>
            <a:ext uri="{FF2B5EF4-FFF2-40B4-BE49-F238E27FC236}">
              <a16:creationId xmlns:a16="http://schemas.microsoft.com/office/drawing/2014/main" id="{00000000-0008-0000-0F00-00004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29" name="AutoShape 1">
          <a:extLst>
            <a:ext uri="{FF2B5EF4-FFF2-40B4-BE49-F238E27FC236}">
              <a16:creationId xmlns:a16="http://schemas.microsoft.com/office/drawing/2014/main" id="{00000000-0008-0000-0F00-00004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0" name="AutoShape 1">
          <a:extLst>
            <a:ext uri="{FF2B5EF4-FFF2-40B4-BE49-F238E27FC236}">
              <a16:creationId xmlns:a16="http://schemas.microsoft.com/office/drawing/2014/main" id="{00000000-0008-0000-0F00-00004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1" name="AutoShape 1">
          <a:extLst>
            <a:ext uri="{FF2B5EF4-FFF2-40B4-BE49-F238E27FC236}">
              <a16:creationId xmlns:a16="http://schemas.microsoft.com/office/drawing/2014/main" id="{00000000-0008-0000-0F00-00004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2" name="AutoShape 1">
          <a:extLst>
            <a:ext uri="{FF2B5EF4-FFF2-40B4-BE49-F238E27FC236}">
              <a16:creationId xmlns:a16="http://schemas.microsoft.com/office/drawing/2014/main" id="{00000000-0008-0000-0F00-00005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3" name="AutoShape 1">
          <a:extLst>
            <a:ext uri="{FF2B5EF4-FFF2-40B4-BE49-F238E27FC236}">
              <a16:creationId xmlns:a16="http://schemas.microsoft.com/office/drawing/2014/main" id="{00000000-0008-0000-0F00-00005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4" name="AutoShape 1">
          <a:extLst>
            <a:ext uri="{FF2B5EF4-FFF2-40B4-BE49-F238E27FC236}">
              <a16:creationId xmlns:a16="http://schemas.microsoft.com/office/drawing/2014/main" id="{00000000-0008-0000-0F00-00005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5" name="AutoShape 1">
          <a:extLst>
            <a:ext uri="{FF2B5EF4-FFF2-40B4-BE49-F238E27FC236}">
              <a16:creationId xmlns:a16="http://schemas.microsoft.com/office/drawing/2014/main" id="{00000000-0008-0000-0F00-00005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6" name="AutoShape 1">
          <a:extLst>
            <a:ext uri="{FF2B5EF4-FFF2-40B4-BE49-F238E27FC236}">
              <a16:creationId xmlns:a16="http://schemas.microsoft.com/office/drawing/2014/main" id="{00000000-0008-0000-0F00-00005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7" name="AutoShape 1">
          <a:extLst>
            <a:ext uri="{FF2B5EF4-FFF2-40B4-BE49-F238E27FC236}">
              <a16:creationId xmlns:a16="http://schemas.microsoft.com/office/drawing/2014/main" id="{00000000-0008-0000-0F00-00005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8" name="AutoShape 1">
          <a:extLst>
            <a:ext uri="{FF2B5EF4-FFF2-40B4-BE49-F238E27FC236}">
              <a16:creationId xmlns:a16="http://schemas.microsoft.com/office/drawing/2014/main" id="{00000000-0008-0000-0F00-00005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39" name="AutoShape 1">
          <a:extLst>
            <a:ext uri="{FF2B5EF4-FFF2-40B4-BE49-F238E27FC236}">
              <a16:creationId xmlns:a16="http://schemas.microsoft.com/office/drawing/2014/main" id="{00000000-0008-0000-0F00-00005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0" name="AutoShape 1">
          <a:extLst>
            <a:ext uri="{FF2B5EF4-FFF2-40B4-BE49-F238E27FC236}">
              <a16:creationId xmlns:a16="http://schemas.microsoft.com/office/drawing/2014/main" id="{00000000-0008-0000-0F00-00005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1" name="AutoShape 1">
          <a:extLst>
            <a:ext uri="{FF2B5EF4-FFF2-40B4-BE49-F238E27FC236}">
              <a16:creationId xmlns:a16="http://schemas.microsoft.com/office/drawing/2014/main" id="{00000000-0008-0000-0F00-00005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2" name="AutoShape 1">
          <a:extLst>
            <a:ext uri="{FF2B5EF4-FFF2-40B4-BE49-F238E27FC236}">
              <a16:creationId xmlns:a16="http://schemas.microsoft.com/office/drawing/2014/main" id="{00000000-0008-0000-0F00-00005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3" name="AutoShape 1">
          <a:extLst>
            <a:ext uri="{FF2B5EF4-FFF2-40B4-BE49-F238E27FC236}">
              <a16:creationId xmlns:a16="http://schemas.microsoft.com/office/drawing/2014/main" id="{00000000-0008-0000-0F00-00005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4" name="AutoShape 1">
          <a:extLst>
            <a:ext uri="{FF2B5EF4-FFF2-40B4-BE49-F238E27FC236}">
              <a16:creationId xmlns:a16="http://schemas.microsoft.com/office/drawing/2014/main" id="{00000000-0008-0000-0F00-00005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5" name="AutoShape 1">
          <a:extLst>
            <a:ext uri="{FF2B5EF4-FFF2-40B4-BE49-F238E27FC236}">
              <a16:creationId xmlns:a16="http://schemas.microsoft.com/office/drawing/2014/main" id="{00000000-0008-0000-0F00-00005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6" name="AutoShape 1">
          <a:extLst>
            <a:ext uri="{FF2B5EF4-FFF2-40B4-BE49-F238E27FC236}">
              <a16:creationId xmlns:a16="http://schemas.microsoft.com/office/drawing/2014/main" id="{00000000-0008-0000-0F00-00005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7" name="AutoShape 1">
          <a:extLst>
            <a:ext uri="{FF2B5EF4-FFF2-40B4-BE49-F238E27FC236}">
              <a16:creationId xmlns:a16="http://schemas.microsoft.com/office/drawing/2014/main" id="{00000000-0008-0000-0F00-00005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8" name="AutoShape 1">
          <a:extLst>
            <a:ext uri="{FF2B5EF4-FFF2-40B4-BE49-F238E27FC236}">
              <a16:creationId xmlns:a16="http://schemas.microsoft.com/office/drawing/2014/main" id="{00000000-0008-0000-0F00-00006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49" name="AutoShape 1">
          <a:extLst>
            <a:ext uri="{FF2B5EF4-FFF2-40B4-BE49-F238E27FC236}">
              <a16:creationId xmlns:a16="http://schemas.microsoft.com/office/drawing/2014/main" id="{00000000-0008-0000-0F00-00006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0" name="AutoShape 1">
          <a:extLst>
            <a:ext uri="{FF2B5EF4-FFF2-40B4-BE49-F238E27FC236}">
              <a16:creationId xmlns:a16="http://schemas.microsoft.com/office/drawing/2014/main" id="{00000000-0008-0000-0F00-00006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1" name="AutoShape 1">
          <a:extLst>
            <a:ext uri="{FF2B5EF4-FFF2-40B4-BE49-F238E27FC236}">
              <a16:creationId xmlns:a16="http://schemas.microsoft.com/office/drawing/2014/main" id="{00000000-0008-0000-0F00-00006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2" name="AutoShape 1">
          <a:extLst>
            <a:ext uri="{FF2B5EF4-FFF2-40B4-BE49-F238E27FC236}">
              <a16:creationId xmlns:a16="http://schemas.microsoft.com/office/drawing/2014/main" id="{00000000-0008-0000-0F00-00006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3" name="AutoShape 1">
          <a:extLst>
            <a:ext uri="{FF2B5EF4-FFF2-40B4-BE49-F238E27FC236}">
              <a16:creationId xmlns:a16="http://schemas.microsoft.com/office/drawing/2014/main" id="{00000000-0008-0000-0F00-00006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4" name="AutoShape 1">
          <a:extLst>
            <a:ext uri="{FF2B5EF4-FFF2-40B4-BE49-F238E27FC236}">
              <a16:creationId xmlns:a16="http://schemas.microsoft.com/office/drawing/2014/main" id="{00000000-0008-0000-0F00-00006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5" name="AutoShape 1">
          <a:extLst>
            <a:ext uri="{FF2B5EF4-FFF2-40B4-BE49-F238E27FC236}">
              <a16:creationId xmlns:a16="http://schemas.microsoft.com/office/drawing/2014/main" id="{00000000-0008-0000-0F00-00006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6" name="AutoShape 1">
          <a:extLst>
            <a:ext uri="{FF2B5EF4-FFF2-40B4-BE49-F238E27FC236}">
              <a16:creationId xmlns:a16="http://schemas.microsoft.com/office/drawing/2014/main" id="{00000000-0008-0000-0F00-00006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7" name="AutoShape 1">
          <a:extLst>
            <a:ext uri="{FF2B5EF4-FFF2-40B4-BE49-F238E27FC236}">
              <a16:creationId xmlns:a16="http://schemas.microsoft.com/office/drawing/2014/main" id="{00000000-0008-0000-0F00-00006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8" name="AutoShape 1">
          <a:extLst>
            <a:ext uri="{FF2B5EF4-FFF2-40B4-BE49-F238E27FC236}">
              <a16:creationId xmlns:a16="http://schemas.microsoft.com/office/drawing/2014/main" id="{00000000-0008-0000-0F00-00006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59" name="AutoShape 1">
          <a:extLst>
            <a:ext uri="{FF2B5EF4-FFF2-40B4-BE49-F238E27FC236}">
              <a16:creationId xmlns:a16="http://schemas.microsoft.com/office/drawing/2014/main" id="{00000000-0008-0000-0F00-00006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0" name="AutoShape 1">
          <a:extLst>
            <a:ext uri="{FF2B5EF4-FFF2-40B4-BE49-F238E27FC236}">
              <a16:creationId xmlns:a16="http://schemas.microsoft.com/office/drawing/2014/main" id="{00000000-0008-0000-0F00-00006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1" name="AutoShape 1">
          <a:extLst>
            <a:ext uri="{FF2B5EF4-FFF2-40B4-BE49-F238E27FC236}">
              <a16:creationId xmlns:a16="http://schemas.microsoft.com/office/drawing/2014/main" id="{00000000-0008-0000-0F00-00006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2" name="AutoShape 1">
          <a:extLst>
            <a:ext uri="{FF2B5EF4-FFF2-40B4-BE49-F238E27FC236}">
              <a16:creationId xmlns:a16="http://schemas.microsoft.com/office/drawing/2014/main" id="{00000000-0008-0000-0F00-00006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3" name="AutoShape 1">
          <a:extLst>
            <a:ext uri="{FF2B5EF4-FFF2-40B4-BE49-F238E27FC236}">
              <a16:creationId xmlns:a16="http://schemas.microsoft.com/office/drawing/2014/main" id="{00000000-0008-0000-0F00-00006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4" name="AutoShape 1">
          <a:extLst>
            <a:ext uri="{FF2B5EF4-FFF2-40B4-BE49-F238E27FC236}">
              <a16:creationId xmlns:a16="http://schemas.microsoft.com/office/drawing/2014/main" id="{00000000-0008-0000-0F00-00007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5" name="AutoShape 1">
          <a:extLst>
            <a:ext uri="{FF2B5EF4-FFF2-40B4-BE49-F238E27FC236}">
              <a16:creationId xmlns:a16="http://schemas.microsoft.com/office/drawing/2014/main" id="{00000000-0008-0000-0F00-00007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6" name="AutoShape 1">
          <a:extLst>
            <a:ext uri="{FF2B5EF4-FFF2-40B4-BE49-F238E27FC236}">
              <a16:creationId xmlns:a16="http://schemas.microsoft.com/office/drawing/2014/main" id="{00000000-0008-0000-0F00-00007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7" name="AutoShape 1">
          <a:extLst>
            <a:ext uri="{FF2B5EF4-FFF2-40B4-BE49-F238E27FC236}">
              <a16:creationId xmlns:a16="http://schemas.microsoft.com/office/drawing/2014/main" id="{00000000-0008-0000-0F00-00007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8" name="AutoShape 1">
          <a:extLst>
            <a:ext uri="{FF2B5EF4-FFF2-40B4-BE49-F238E27FC236}">
              <a16:creationId xmlns:a16="http://schemas.microsoft.com/office/drawing/2014/main" id="{00000000-0008-0000-0F00-00007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69" name="AutoShape 1">
          <a:extLst>
            <a:ext uri="{FF2B5EF4-FFF2-40B4-BE49-F238E27FC236}">
              <a16:creationId xmlns:a16="http://schemas.microsoft.com/office/drawing/2014/main" id="{00000000-0008-0000-0F00-00007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0" name="AutoShape 1">
          <a:extLst>
            <a:ext uri="{FF2B5EF4-FFF2-40B4-BE49-F238E27FC236}">
              <a16:creationId xmlns:a16="http://schemas.microsoft.com/office/drawing/2014/main" id="{00000000-0008-0000-0F00-00007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1" name="AutoShape 1">
          <a:extLst>
            <a:ext uri="{FF2B5EF4-FFF2-40B4-BE49-F238E27FC236}">
              <a16:creationId xmlns:a16="http://schemas.microsoft.com/office/drawing/2014/main" id="{00000000-0008-0000-0F00-00007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2" name="AutoShape 1">
          <a:extLst>
            <a:ext uri="{FF2B5EF4-FFF2-40B4-BE49-F238E27FC236}">
              <a16:creationId xmlns:a16="http://schemas.microsoft.com/office/drawing/2014/main" id="{00000000-0008-0000-0F00-00007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3" name="AutoShape 1">
          <a:extLst>
            <a:ext uri="{FF2B5EF4-FFF2-40B4-BE49-F238E27FC236}">
              <a16:creationId xmlns:a16="http://schemas.microsoft.com/office/drawing/2014/main" id="{00000000-0008-0000-0F00-00007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4" name="AutoShape 1">
          <a:extLst>
            <a:ext uri="{FF2B5EF4-FFF2-40B4-BE49-F238E27FC236}">
              <a16:creationId xmlns:a16="http://schemas.microsoft.com/office/drawing/2014/main" id="{00000000-0008-0000-0F00-00007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5" name="AutoShape 1">
          <a:extLst>
            <a:ext uri="{FF2B5EF4-FFF2-40B4-BE49-F238E27FC236}">
              <a16:creationId xmlns:a16="http://schemas.microsoft.com/office/drawing/2014/main" id="{00000000-0008-0000-0F00-00007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6" name="AutoShape 1">
          <a:extLst>
            <a:ext uri="{FF2B5EF4-FFF2-40B4-BE49-F238E27FC236}">
              <a16:creationId xmlns:a16="http://schemas.microsoft.com/office/drawing/2014/main" id="{00000000-0008-0000-0F00-00007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7" name="AutoShape 1">
          <a:extLst>
            <a:ext uri="{FF2B5EF4-FFF2-40B4-BE49-F238E27FC236}">
              <a16:creationId xmlns:a16="http://schemas.microsoft.com/office/drawing/2014/main" id="{00000000-0008-0000-0F00-00007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8" name="AutoShape 1">
          <a:extLst>
            <a:ext uri="{FF2B5EF4-FFF2-40B4-BE49-F238E27FC236}">
              <a16:creationId xmlns:a16="http://schemas.microsoft.com/office/drawing/2014/main" id="{00000000-0008-0000-0F00-00007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79" name="AutoShape 1">
          <a:extLst>
            <a:ext uri="{FF2B5EF4-FFF2-40B4-BE49-F238E27FC236}">
              <a16:creationId xmlns:a16="http://schemas.microsoft.com/office/drawing/2014/main" id="{00000000-0008-0000-0F00-00007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0" name="AutoShape 1">
          <a:extLst>
            <a:ext uri="{FF2B5EF4-FFF2-40B4-BE49-F238E27FC236}">
              <a16:creationId xmlns:a16="http://schemas.microsoft.com/office/drawing/2014/main" id="{00000000-0008-0000-0F00-00008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1" name="AutoShape 1">
          <a:extLst>
            <a:ext uri="{FF2B5EF4-FFF2-40B4-BE49-F238E27FC236}">
              <a16:creationId xmlns:a16="http://schemas.microsoft.com/office/drawing/2014/main" id="{00000000-0008-0000-0F00-00008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2" name="AutoShape 1">
          <a:extLst>
            <a:ext uri="{FF2B5EF4-FFF2-40B4-BE49-F238E27FC236}">
              <a16:creationId xmlns:a16="http://schemas.microsoft.com/office/drawing/2014/main" id="{00000000-0008-0000-0F00-00008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3" name="AutoShape 1">
          <a:extLst>
            <a:ext uri="{FF2B5EF4-FFF2-40B4-BE49-F238E27FC236}">
              <a16:creationId xmlns:a16="http://schemas.microsoft.com/office/drawing/2014/main" id="{00000000-0008-0000-0F00-00008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4" name="AutoShape 1">
          <a:extLst>
            <a:ext uri="{FF2B5EF4-FFF2-40B4-BE49-F238E27FC236}">
              <a16:creationId xmlns:a16="http://schemas.microsoft.com/office/drawing/2014/main" id="{00000000-0008-0000-0F00-00008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5" name="AutoShape 1">
          <a:extLst>
            <a:ext uri="{FF2B5EF4-FFF2-40B4-BE49-F238E27FC236}">
              <a16:creationId xmlns:a16="http://schemas.microsoft.com/office/drawing/2014/main" id="{00000000-0008-0000-0F00-00008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6" name="AutoShape 1">
          <a:extLst>
            <a:ext uri="{FF2B5EF4-FFF2-40B4-BE49-F238E27FC236}">
              <a16:creationId xmlns:a16="http://schemas.microsoft.com/office/drawing/2014/main" id="{00000000-0008-0000-0F00-00008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7" name="AutoShape 1">
          <a:extLst>
            <a:ext uri="{FF2B5EF4-FFF2-40B4-BE49-F238E27FC236}">
              <a16:creationId xmlns:a16="http://schemas.microsoft.com/office/drawing/2014/main" id="{00000000-0008-0000-0F00-00008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8" name="AutoShape 1">
          <a:extLst>
            <a:ext uri="{FF2B5EF4-FFF2-40B4-BE49-F238E27FC236}">
              <a16:creationId xmlns:a16="http://schemas.microsoft.com/office/drawing/2014/main" id="{00000000-0008-0000-0F00-00008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89" name="AutoShape 1">
          <a:extLst>
            <a:ext uri="{FF2B5EF4-FFF2-40B4-BE49-F238E27FC236}">
              <a16:creationId xmlns:a16="http://schemas.microsoft.com/office/drawing/2014/main" id="{00000000-0008-0000-0F00-00008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0" name="AutoShape 1">
          <a:extLst>
            <a:ext uri="{FF2B5EF4-FFF2-40B4-BE49-F238E27FC236}">
              <a16:creationId xmlns:a16="http://schemas.microsoft.com/office/drawing/2014/main" id="{00000000-0008-0000-0F00-00008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1" name="AutoShape 1">
          <a:extLst>
            <a:ext uri="{FF2B5EF4-FFF2-40B4-BE49-F238E27FC236}">
              <a16:creationId xmlns:a16="http://schemas.microsoft.com/office/drawing/2014/main" id="{00000000-0008-0000-0F00-00008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2" name="AutoShape 1">
          <a:extLst>
            <a:ext uri="{FF2B5EF4-FFF2-40B4-BE49-F238E27FC236}">
              <a16:creationId xmlns:a16="http://schemas.microsoft.com/office/drawing/2014/main" id="{00000000-0008-0000-0F00-00008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3" name="AutoShape 1">
          <a:extLst>
            <a:ext uri="{FF2B5EF4-FFF2-40B4-BE49-F238E27FC236}">
              <a16:creationId xmlns:a16="http://schemas.microsoft.com/office/drawing/2014/main" id="{00000000-0008-0000-0F00-00008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4" name="AutoShape 1">
          <a:extLst>
            <a:ext uri="{FF2B5EF4-FFF2-40B4-BE49-F238E27FC236}">
              <a16:creationId xmlns:a16="http://schemas.microsoft.com/office/drawing/2014/main" id="{00000000-0008-0000-0F00-00008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5" name="AutoShape 1">
          <a:extLst>
            <a:ext uri="{FF2B5EF4-FFF2-40B4-BE49-F238E27FC236}">
              <a16:creationId xmlns:a16="http://schemas.microsoft.com/office/drawing/2014/main" id="{00000000-0008-0000-0F00-00008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6" name="AutoShape 1">
          <a:extLst>
            <a:ext uri="{FF2B5EF4-FFF2-40B4-BE49-F238E27FC236}">
              <a16:creationId xmlns:a16="http://schemas.microsoft.com/office/drawing/2014/main" id="{00000000-0008-0000-0F00-00009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7" name="AutoShape 1">
          <a:extLst>
            <a:ext uri="{FF2B5EF4-FFF2-40B4-BE49-F238E27FC236}">
              <a16:creationId xmlns:a16="http://schemas.microsoft.com/office/drawing/2014/main" id="{00000000-0008-0000-0F00-00009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8" name="AutoShape 1">
          <a:extLst>
            <a:ext uri="{FF2B5EF4-FFF2-40B4-BE49-F238E27FC236}">
              <a16:creationId xmlns:a16="http://schemas.microsoft.com/office/drawing/2014/main" id="{00000000-0008-0000-0F00-00009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499" name="AutoShape 1">
          <a:extLst>
            <a:ext uri="{FF2B5EF4-FFF2-40B4-BE49-F238E27FC236}">
              <a16:creationId xmlns:a16="http://schemas.microsoft.com/office/drawing/2014/main" id="{00000000-0008-0000-0F00-00009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0" name="AutoShape 1">
          <a:extLst>
            <a:ext uri="{FF2B5EF4-FFF2-40B4-BE49-F238E27FC236}">
              <a16:creationId xmlns:a16="http://schemas.microsoft.com/office/drawing/2014/main" id="{00000000-0008-0000-0F00-00009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1" name="AutoShape 1">
          <a:extLst>
            <a:ext uri="{FF2B5EF4-FFF2-40B4-BE49-F238E27FC236}">
              <a16:creationId xmlns:a16="http://schemas.microsoft.com/office/drawing/2014/main" id="{00000000-0008-0000-0F00-00009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2" name="AutoShape 1">
          <a:extLst>
            <a:ext uri="{FF2B5EF4-FFF2-40B4-BE49-F238E27FC236}">
              <a16:creationId xmlns:a16="http://schemas.microsoft.com/office/drawing/2014/main" id="{00000000-0008-0000-0F00-00009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3" name="AutoShape 1">
          <a:extLst>
            <a:ext uri="{FF2B5EF4-FFF2-40B4-BE49-F238E27FC236}">
              <a16:creationId xmlns:a16="http://schemas.microsoft.com/office/drawing/2014/main" id="{00000000-0008-0000-0F00-00009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4" name="AutoShape 1">
          <a:extLst>
            <a:ext uri="{FF2B5EF4-FFF2-40B4-BE49-F238E27FC236}">
              <a16:creationId xmlns:a16="http://schemas.microsoft.com/office/drawing/2014/main" id="{00000000-0008-0000-0F00-00009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5" name="AutoShape 1">
          <a:extLst>
            <a:ext uri="{FF2B5EF4-FFF2-40B4-BE49-F238E27FC236}">
              <a16:creationId xmlns:a16="http://schemas.microsoft.com/office/drawing/2014/main" id="{00000000-0008-0000-0F00-00009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6" name="AutoShape 1">
          <a:extLst>
            <a:ext uri="{FF2B5EF4-FFF2-40B4-BE49-F238E27FC236}">
              <a16:creationId xmlns:a16="http://schemas.microsoft.com/office/drawing/2014/main" id="{00000000-0008-0000-0F00-00009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7" name="AutoShape 1">
          <a:extLst>
            <a:ext uri="{FF2B5EF4-FFF2-40B4-BE49-F238E27FC236}">
              <a16:creationId xmlns:a16="http://schemas.microsoft.com/office/drawing/2014/main" id="{00000000-0008-0000-0F00-00009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8" name="AutoShape 1">
          <a:extLst>
            <a:ext uri="{FF2B5EF4-FFF2-40B4-BE49-F238E27FC236}">
              <a16:creationId xmlns:a16="http://schemas.microsoft.com/office/drawing/2014/main" id="{00000000-0008-0000-0F00-00009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09" name="AutoShape 1">
          <a:extLst>
            <a:ext uri="{FF2B5EF4-FFF2-40B4-BE49-F238E27FC236}">
              <a16:creationId xmlns:a16="http://schemas.microsoft.com/office/drawing/2014/main" id="{00000000-0008-0000-0F00-00009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0" name="AutoShape 1">
          <a:extLst>
            <a:ext uri="{FF2B5EF4-FFF2-40B4-BE49-F238E27FC236}">
              <a16:creationId xmlns:a16="http://schemas.microsoft.com/office/drawing/2014/main" id="{00000000-0008-0000-0F00-00009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1" name="AutoShape 1">
          <a:extLst>
            <a:ext uri="{FF2B5EF4-FFF2-40B4-BE49-F238E27FC236}">
              <a16:creationId xmlns:a16="http://schemas.microsoft.com/office/drawing/2014/main" id="{00000000-0008-0000-0F00-00009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2" name="AutoShape 1">
          <a:extLst>
            <a:ext uri="{FF2B5EF4-FFF2-40B4-BE49-F238E27FC236}">
              <a16:creationId xmlns:a16="http://schemas.microsoft.com/office/drawing/2014/main" id="{00000000-0008-0000-0F00-0000A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3" name="AutoShape 1">
          <a:extLst>
            <a:ext uri="{FF2B5EF4-FFF2-40B4-BE49-F238E27FC236}">
              <a16:creationId xmlns:a16="http://schemas.microsoft.com/office/drawing/2014/main" id="{00000000-0008-0000-0F00-0000A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4" name="AutoShape 1">
          <a:extLst>
            <a:ext uri="{FF2B5EF4-FFF2-40B4-BE49-F238E27FC236}">
              <a16:creationId xmlns:a16="http://schemas.microsoft.com/office/drawing/2014/main" id="{00000000-0008-0000-0F00-0000A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5" name="AutoShape 1">
          <a:extLst>
            <a:ext uri="{FF2B5EF4-FFF2-40B4-BE49-F238E27FC236}">
              <a16:creationId xmlns:a16="http://schemas.microsoft.com/office/drawing/2014/main" id="{00000000-0008-0000-0F00-0000A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6" name="AutoShape 1">
          <a:extLst>
            <a:ext uri="{FF2B5EF4-FFF2-40B4-BE49-F238E27FC236}">
              <a16:creationId xmlns:a16="http://schemas.microsoft.com/office/drawing/2014/main" id="{00000000-0008-0000-0F00-0000A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7" name="AutoShape 1">
          <a:extLst>
            <a:ext uri="{FF2B5EF4-FFF2-40B4-BE49-F238E27FC236}">
              <a16:creationId xmlns:a16="http://schemas.microsoft.com/office/drawing/2014/main" id="{00000000-0008-0000-0F00-0000A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8" name="AutoShape 1">
          <a:extLst>
            <a:ext uri="{FF2B5EF4-FFF2-40B4-BE49-F238E27FC236}">
              <a16:creationId xmlns:a16="http://schemas.microsoft.com/office/drawing/2014/main" id="{00000000-0008-0000-0F00-0000A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19" name="AutoShape 1">
          <a:extLst>
            <a:ext uri="{FF2B5EF4-FFF2-40B4-BE49-F238E27FC236}">
              <a16:creationId xmlns:a16="http://schemas.microsoft.com/office/drawing/2014/main" id="{00000000-0008-0000-0F00-0000A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0" name="AutoShape 1">
          <a:extLst>
            <a:ext uri="{FF2B5EF4-FFF2-40B4-BE49-F238E27FC236}">
              <a16:creationId xmlns:a16="http://schemas.microsoft.com/office/drawing/2014/main" id="{00000000-0008-0000-0F00-0000A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1" name="AutoShape 1">
          <a:extLst>
            <a:ext uri="{FF2B5EF4-FFF2-40B4-BE49-F238E27FC236}">
              <a16:creationId xmlns:a16="http://schemas.microsoft.com/office/drawing/2014/main" id="{00000000-0008-0000-0F00-0000A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2" name="AutoShape 1">
          <a:extLst>
            <a:ext uri="{FF2B5EF4-FFF2-40B4-BE49-F238E27FC236}">
              <a16:creationId xmlns:a16="http://schemas.microsoft.com/office/drawing/2014/main" id="{00000000-0008-0000-0F00-0000A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3" name="AutoShape 1">
          <a:extLst>
            <a:ext uri="{FF2B5EF4-FFF2-40B4-BE49-F238E27FC236}">
              <a16:creationId xmlns:a16="http://schemas.microsoft.com/office/drawing/2014/main" id="{00000000-0008-0000-0F00-0000A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4" name="AutoShape 1">
          <a:extLst>
            <a:ext uri="{FF2B5EF4-FFF2-40B4-BE49-F238E27FC236}">
              <a16:creationId xmlns:a16="http://schemas.microsoft.com/office/drawing/2014/main" id="{00000000-0008-0000-0F00-0000A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5" name="AutoShape 1">
          <a:extLst>
            <a:ext uri="{FF2B5EF4-FFF2-40B4-BE49-F238E27FC236}">
              <a16:creationId xmlns:a16="http://schemas.microsoft.com/office/drawing/2014/main" id="{00000000-0008-0000-0F00-0000A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6" name="AutoShape 1">
          <a:extLst>
            <a:ext uri="{FF2B5EF4-FFF2-40B4-BE49-F238E27FC236}">
              <a16:creationId xmlns:a16="http://schemas.microsoft.com/office/drawing/2014/main" id="{00000000-0008-0000-0F00-0000A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7" name="AutoShape 1">
          <a:extLst>
            <a:ext uri="{FF2B5EF4-FFF2-40B4-BE49-F238E27FC236}">
              <a16:creationId xmlns:a16="http://schemas.microsoft.com/office/drawing/2014/main" id="{00000000-0008-0000-0F00-0000A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8" name="AutoShape 1">
          <a:extLst>
            <a:ext uri="{FF2B5EF4-FFF2-40B4-BE49-F238E27FC236}">
              <a16:creationId xmlns:a16="http://schemas.microsoft.com/office/drawing/2014/main" id="{00000000-0008-0000-0F00-0000B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29" name="AutoShape 1">
          <a:extLst>
            <a:ext uri="{FF2B5EF4-FFF2-40B4-BE49-F238E27FC236}">
              <a16:creationId xmlns:a16="http://schemas.microsoft.com/office/drawing/2014/main" id="{00000000-0008-0000-0F00-0000B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0" name="AutoShape 1">
          <a:extLst>
            <a:ext uri="{FF2B5EF4-FFF2-40B4-BE49-F238E27FC236}">
              <a16:creationId xmlns:a16="http://schemas.microsoft.com/office/drawing/2014/main" id="{00000000-0008-0000-0F00-0000B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1" name="AutoShape 1">
          <a:extLst>
            <a:ext uri="{FF2B5EF4-FFF2-40B4-BE49-F238E27FC236}">
              <a16:creationId xmlns:a16="http://schemas.microsoft.com/office/drawing/2014/main" id="{00000000-0008-0000-0F00-0000B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2" name="AutoShape 1">
          <a:extLst>
            <a:ext uri="{FF2B5EF4-FFF2-40B4-BE49-F238E27FC236}">
              <a16:creationId xmlns:a16="http://schemas.microsoft.com/office/drawing/2014/main" id="{00000000-0008-0000-0F00-0000B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3" name="AutoShape 1">
          <a:extLst>
            <a:ext uri="{FF2B5EF4-FFF2-40B4-BE49-F238E27FC236}">
              <a16:creationId xmlns:a16="http://schemas.microsoft.com/office/drawing/2014/main" id="{00000000-0008-0000-0F00-0000B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4" name="AutoShape 1">
          <a:extLst>
            <a:ext uri="{FF2B5EF4-FFF2-40B4-BE49-F238E27FC236}">
              <a16:creationId xmlns:a16="http://schemas.microsoft.com/office/drawing/2014/main" id="{00000000-0008-0000-0F00-0000B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5" name="AutoShape 1">
          <a:extLst>
            <a:ext uri="{FF2B5EF4-FFF2-40B4-BE49-F238E27FC236}">
              <a16:creationId xmlns:a16="http://schemas.microsoft.com/office/drawing/2014/main" id="{00000000-0008-0000-0F00-0000B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6" name="AutoShape 1">
          <a:extLst>
            <a:ext uri="{FF2B5EF4-FFF2-40B4-BE49-F238E27FC236}">
              <a16:creationId xmlns:a16="http://schemas.microsoft.com/office/drawing/2014/main" id="{00000000-0008-0000-0F00-0000B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7" name="AutoShape 1">
          <a:extLst>
            <a:ext uri="{FF2B5EF4-FFF2-40B4-BE49-F238E27FC236}">
              <a16:creationId xmlns:a16="http://schemas.microsoft.com/office/drawing/2014/main" id="{00000000-0008-0000-0F00-0000B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8" name="AutoShape 1">
          <a:extLst>
            <a:ext uri="{FF2B5EF4-FFF2-40B4-BE49-F238E27FC236}">
              <a16:creationId xmlns:a16="http://schemas.microsoft.com/office/drawing/2014/main" id="{00000000-0008-0000-0F00-0000B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39" name="AutoShape 1">
          <a:extLst>
            <a:ext uri="{FF2B5EF4-FFF2-40B4-BE49-F238E27FC236}">
              <a16:creationId xmlns:a16="http://schemas.microsoft.com/office/drawing/2014/main" id="{00000000-0008-0000-0F00-0000B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0" name="AutoShape 1">
          <a:extLst>
            <a:ext uri="{FF2B5EF4-FFF2-40B4-BE49-F238E27FC236}">
              <a16:creationId xmlns:a16="http://schemas.microsoft.com/office/drawing/2014/main" id="{00000000-0008-0000-0F00-0000B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1" name="AutoShape 1">
          <a:extLst>
            <a:ext uri="{FF2B5EF4-FFF2-40B4-BE49-F238E27FC236}">
              <a16:creationId xmlns:a16="http://schemas.microsoft.com/office/drawing/2014/main" id="{00000000-0008-0000-0F00-0000B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2" name="AutoShape 1">
          <a:extLst>
            <a:ext uri="{FF2B5EF4-FFF2-40B4-BE49-F238E27FC236}">
              <a16:creationId xmlns:a16="http://schemas.microsoft.com/office/drawing/2014/main" id="{00000000-0008-0000-0F00-0000B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3" name="AutoShape 1">
          <a:extLst>
            <a:ext uri="{FF2B5EF4-FFF2-40B4-BE49-F238E27FC236}">
              <a16:creationId xmlns:a16="http://schemas.microsoft.com/office/drawing/2014/main" id="{00000000-0008-0000-0F00-0000B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4" name="AutoShape 1">
          <a:extLst>
            <a:ext uri="{FF2B5EF4-FFF2-40B4-BE49-F238E27FC236}">
              <a16:creationId xmlns:a16="http://schemas.microsoft.com/office/drawing/2014/main" id="{00000000-0008-0000-0F00-0000C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5" name="AutoShape 1">
          <a:extLst>
            <a:ext uri="{FF2B5EF4-FFF2-40B4-BE49-F238E27FC236}">
              <a16:creationId xmlns:a16="http://schemas.microsoft.com/office/drawing/2014/main" id="{00000000-0008-0000-0F00-0000C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6" name="AutoShape 1">
          <a:extLst>
            <a:ext uri="{FF2B5EF4-FFF2-40B4-BE49-F238E27FC236}">
              <a16:creationId xmlns:a16="http://schemas.microsoft.com/office/drawing/2014/main" id="{00000000-0008-0000-0F00-0000C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7" name="AutoShape 1">
          <a:extLst>
            <a:ext uri="{FF2B5EF4-FFF2-40B4-BE49-F238E27FC236}">
              <a16:creationId xmlns:a16="http://schemas.microsoft.com/office/drawing/2014/main" id="{00000000-0008-0000-0F00-0000C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8" name="AutoShape 1">
          <a:extLst>
            <a:ext uri="{FF2B5EF4-FFF2-40B4-BE49-F238E27FC236}">
              <a16:creationId xmlns:a16="http://schemas.microsoft.com/office/drawing/2014/main" id="{00000000-0008-0000-0F00-0000C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49" name="AutoShape 1">
          <a:extLst>
            <a:ext uri="{FF2B5EF4-FFF2-40B4-BE49-F238E27FC236}">
              <a16:creationId xmlns:a16="http://schemas.microsoft.com/office/drawing/2014/main" id="{00000000-0008-0000-0F00-0000C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0" name="AutoShape 1">
          <a:extLst>
            <a:ext uri="{FF2B5EF4-FFF2-40B4-BE49-F238E27FC236}">
              <a16:creationId xmlns:a16="http://schemas.microsoft.com/office/drawing/2014/main" id="{00000000-0008-0000-0F00-0000C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1" name="AutoShape 1">
          <a:extLst>
            <a:ext uri="{FF2B5EF4-FFF2-40B4-BE49-F238E27FC236}">
              <a16:creationId xmlns:a16="http://schemas.microsoft.com/office/drawing/2014/main" id="{00000000-0008-0000-0F00-0000C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2" name="AutoShape 1">
          <a:extLst>
            <a:ext uri="{FF2B5EF4-FFF2-40B4-BE49-F238E27FC236}">
              <a16:creationId xmlns:a16="http://schemas.microsoft.com/office/drawing/2014/main" id="{00000000-0008-0000-0F00-0000C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3" name="AutoShape 1">
          <a:extLst>
            <a:ext uri="{FF2B5EF4-FFF2-40B4-BE49-F238E27FC236}">
              <a16:creationId xmlns:a16="http://schemas.microsoft.com/office/drawing/2014/main" id="{00000000-0008-0000-0F00-0000C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4" name="AutoShape 1">
          <a:extLst>
            <a:ext uri="{FF2B5EF4-FFF2-40B4-BE49-F238E27FC236}">
              <a16:creationId xmlns:a16="http://schemas.microsoft.com/office/drawing/2014/main" id="{00000000-0008-0000-0F00-0000C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5" name="AutoShape 1">
          <a:extLst>
            <a:ext uri="{FF2B5EF4-FFF2-40B4-BE49-F238E27FC236}">
              <a16:creationId xmlns:a16="http://schemas.microsoft.com/office/drawing/2014/main" id="{00000000-0008-0000-0F00-0000C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6" name="AutoShape 1">
          <a:extLst>
            <a:ext uri="{FF2B5EF4-FFF2-40B4-BE49-F238E27FC236}">
              <a16:creationId xmlns:a16="http://schemas.microsoft.com/office/drawing/2014/main" id="{00000000-0008-0000-0F00-0000C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7" name="AutoShape 1">
          <a:extLst>
            <a:ext uri="{FF2B5EF4-FFF2-40B4-BE49-F238E27FC236}">
              <a16:creationId xmlns:a16="http://schemas.microsoft.com/office/drawing/2014/main" id="{00000000-0008-0000-0F00-0000C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8" name="AutoShape 1">
          <a:extLst>
            <a:ext uri="{FF2B5EF4-FFF2-40B4-BE49-F238E27FC236}">
              <a16:creationId xmlns:a16="http://schemas.microsoft.com/office/drawing/2014/main" id="{00000000-0008-0000-0F00-0000C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59" name="AutoShape 1">
          <a:extLst>
            <a:ext uri="{FF2B5EF4-FFF2-40B4-BE49-F238E27FC236}">
              <a16:creationId xmlns:a16="http://schemas.microsoft.com/office/drawing/2014/main" id="{00000000-0008-0000-0F00-0000C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0" name="AutoShape 1">
          <a:extLst>
            <a:ext uri="{FF2B5EF4-FFF2-40B4-BE49-F238E27FC236}">
              <a16:creationId xmlns:a16="http://schemas.microsoft.com/office/drawing/2014/main" id="{00000000-0008-0000-0F00-0000D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1" name="AutoShape 1">
          <a:extLst>
            <a:ext uri="{FF2B5EF4-FFF2-40B4-BE49-F238E27FC236}">
              <a16:creationId xmlns:a16="http://schemas.microsoft.com/office/drawing/2014/main" id="{00000000-0008-0000-0F00-0000D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2" name="AutoShape 1">
          <a:extLst>
            <a:ext uri="{FF2B5EF4-FFF2-40B4-BE49-F238E27FC236}">
              <a16:creationId xmlns:a16="http://schemas.microsoft.com/office/drawing/2014/main" id="{00000000-0008-0000-0F00-0000D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3" name="AutoShape 1">
          <a:extLst>
            <a:ext uri="{FF2B5EF4-FFF2-40B4-BE49-F238E27FC236}">
              <a16:creationId xmlns:a16="http://schemas.microsoft.com/office/drawing/2014/main" id="{00000000-0008-0000-0F00-0000D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4" name="AutoShape 1">
          <a:extLst>
            <a:ext uri="{FF2B5EF4-FFF2-40B4-BE49-F238E27FC236}">
              <a16:creationId xmlns:a16="http://schemas.microsoft.com/office/drawing/2014/main" id="{00000000-0008-0000-0F00-0000D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5" name="AutoShape 1">
          <a:extLst>
            <a:ext uri="{FF2B5EF4-FFF2-40B4-BE49-F238E27FC236}">
              <a16:creationId xmlns:a16="http://schemas.microsoft.com/office/drawing/2014/main" id="{00000000-0008-0000-0F00-0000D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6" name="AutoShape 1">
          <a:extLst>
            <a:ext uri="{FF2B5EF4-FFF2-40B4-BE49-F238E27FC236}">
              <a16:creationId xmlns:a16="http://schemas.microsoft.com/office/drawing/2014/main" id="{00000000-0008-0000-0F00-0000D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7" name="AutoShape 1">
          <a:extLst>
            <a:ext uri="{FF2B5EF4-FFF2-40B4-BE49-F238E27FC236}">
              <a16:creationId xmlns:a16="http://schemas.microsoft.com/office/drawing/2014/main" id="{00000000-0008-0000-0F00-0000D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8" name="AutoShape 1">
          <a:extLst>
            <a:ext uri="{FF2B5EF4-FFF2-40B4-BE49-F238E27FC236}">
              <a16:creationId xmlns:a16="http://schemas.microsoft.com/office/drawing/2014/main" id="{00000000-0008-0000-0F00-0000D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69" name="AutoShape 1">
          <a:extLst>
            <a:ext uri="{FF2B5EF4-FFF2-40B4-BE49-F238E27FC236}">
              <a16:creationId xmlns:a16="http://schemas.microsoft.com/office/drawing/2014/main" id="{00000000-0008-0000-0F00-0000D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0" name="AutoShape 1">
          <a:extLst>
            <a:ext uri="{FF2B5EF4-FFF2-40B4-BE49-F238E27FC236}">
              <a16:creationId xmlns:a16="http://schemas.microsoft.com/office/drawing/2014/main" id="{00000000-0008-0000-0F00-0000D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1" name="AutoShape 1">
          <a:extLst>
            <a:ext uri="{FF2B5EF4-FFF2-40B4-BE49-F238E27FC236}">
              <a16:creationId xmlns:a16="http://schemas.microsoft.com/office/drawing/2014/main" id="{00000000-0008-0000-0F00-0000D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2" name="AutoShape 1">
          <a:extLst>
            <a:ext uri="{FF2B5EF4-FFF2-40B4-BE49-F238E27FC236}">
              <a16:creationId xmlns:a16="http://schemas.microsoft.com/office/drawing/2014/main" id="{00000000-0008-0000-0F00-0000D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3" name="AutoShape 1">
          <a:extLst>
            <a:ext uri="{FF2B5EF4-FFF2-40B4-BE49-F238E27FC236}">
              <a16:creationId xmlns:a16="http://schemas.microsoft.com/office/drawing/2014/main" id="{00000000-0008-0000-0F00-0000D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4" name="AutoShape 1">
          <a:extLst>
            <a:ext uri="{FF2B5EF4-FFF2-40B4-BE49-F238E27FC236}">
              <a16:creationId xmlns:a16="http://schemas.microsoft.com/office/drawing/2014/main" id="{00000000-0008-0000-0F00-0000D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5" name="AutoShape 1">
          <a:extLst>
            <a:ext uri="{FF2B5EF4-FFF2-40B4-BE49-F238E27FC236}">
              <a16:creationId xmlns:a16="http://schemas.microsoft.com/office/drawing/2014/main" id="{00000000-0008-0000-0F00-0000D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6" name="AutoShape 1">
          <a:extLst>
            <a:ext uri="{FF2B5EF4-FFF2-40B4-BE49-F238E27FC236}">
              <a16:creationId xmlns:a16="http://schemas.microsoft.com/office/drawing/2014/main" id="{00000000-0008-0000-0F00-0000E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7" name="AutoShape 1">
          <a:extLst>
            <a:ext uri="{FF2B5EF4-FFF2-40B4-BE49-F238E27FC236}">
              <a16:creationId xmlns:a16="http://schemas.microsoft.com/office/drawing/2014/main" id="{00000000-0008-0000-0F00-0000E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8" name="AutoShape 1">
          <a:extLst>
            <a:ext uri="{FF2B5EF4-FFF2-40B4-BE49-F238E27FC236}">
              <a16:creationId xmlns:a16="http://schemas.microsoft.com/office/drawing/2014/main" id="{00000000-0008-0000-0F00-0000E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79" name="AutoShape 1">
          <a:extLst>
            <a:ext uri="{FF2B5EF4-FFF2-40B4-BE49-F238E27FC236}">
              <a16:creationId xmlns:a16="http://schemas.microsoft.com/office/drawing/2014/main" id="{00000000-0008-0000-0F00-0000E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0" name="AutoShape 1">
          <a:extLst>
            <a:ext uri="{FF2B5EF4-FFF2-40B4-BE49-F238E27FC236}">
              <a16:creationId xmlns:a16="http://schemas.microsoft.com/office/drawing/2014/main" id="{00000000-0008-0000-0F00-0000E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1" name="AutoShape 1">
          <a:extLst>
            <a:ext uri="{FF2B5EF4-FFF2-40B4-BE49-F238E27FC236}">
              <a16:creationId xmlns:a16="http://schemas.microsoft.com/office/drawing/2014/main" id="{00000000-0008-0000-0F00-0000E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2" name="AutoShape 1">
          <a:extLst>
            <a:ext uri="{FF2B5EF4-FFF2-40B4-BE49-F238E27FC236}">
              <a16:creationId xmlns:a16="http://schemas.microsoft.com/office/drawing/2014/main" id="{00000000-0008-0000-0F00-0000E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3" name="AutoShape 1">
          <a:extLst>
            <a:ext uri="{FF2B5EF4-FFF2-40B4-BE49-F238E27FC236}">
              <a16:creationId xmlns:a16="http://schemas.microsoft.com/office/drawing/2014/main" id="{00000000-0008-0000-0F00-0000E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4" name="AutoShape 1">
          <a:extLst>
            <a:ext uri="{FF2B5EF4-FFF2-40B4-BE49-F238E27FC236}">
              <a16:creationId xmlns:a16="http://schemas.microsoft.com/office/drawing/2014/main" id="{00000000-0008-0000-0F00-0000E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5" name="AutoShape 1">
          <a:extLst>
            <a:ext uri="{FF2B5EF4-FFF2-40B4-BE49-F238E27FC236}">
              <a16:creationId xmlns:a16="http://schemas.microsoft.com/office/drawing/2014/main" id="{00000000-0008-0000-0F00-0000E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6" name="AutoShape 1">
          <a:extLst>
            <a:ext uri="{FF2B5EF4-FFF2-40B4-BE49-F238E27FC236}">
              <a16:creationId xmlns:a16="http://schemas.microsoft.com/office/drawing/2014/main" id="{00000000-0008-0000-0F00-0000E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7" name="AutoShape 1">
          <a:extLst>
            <a:ext uri="{FF2B5EF4-FFF2-40B4-BE49-F238E27FC236}">
              <a16:creationId xmlns:a16="http://schemas.microsoft.com/office/drawing/2014/main" id="{00000000-0008-0000-0F00-0000E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8" name="AutoShape 1">
          <a:extLst>
            <a:ext uri="{FF2B5EF4-FFF2-40B4-BE49-F238E27FC236}">
              <a16:creationId xmlns:a16="http://schemas.microsoft.com/office/drawing/2014/main" id="{00000000-0008-0000-0F00-0000E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89" name="AutoShape 1">
          <a:extLst>
            <a:ext uri="{FF2B5EF4-FFF2-40B4-BE49-F238E27FC236}">
              <a16:creationId xmlns:a16="http://schemas.microsoft.com/office/drawing/2014/main" id="{00000000-0008-0000-0F00-0000E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0" name="AutoShape 1">
          <a:extLst>
            <a:ext uri="{FF2B5EF4-FFF2-40B4-BE49-F238E27FC236}">
              <a16:creationId xmlns:a16="http://schemas.microsoft.com/office/drawing/2014/main" id="{00000000-0008-0000-0F00-0000E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1" name="AutoShape 1">
          <a:extLst>
            <a:ext uri="{FF2B5EF4-FFF2-40B4-BE49-F238E27FC236}">
              <a16:creationId xmlns:a16="http://schemas.microsoft.com/office/drawing/2014/main" id="{00000000-0008-0000-0F00-0000E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2" name="AutoShape 1">
          <a:extLst>
            <a:ext uri="{FF2B5EF4-FFF2-40B4-BE49-F238E27FC236}">
              <a16:creationId xmlns:a16="http://schemas.microsoft.com/office/drawing/2014/main" id="{00000000-0008-0000-0F00-0000F0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3" name="AutoShape 1">
          <a:extLst>
            <a:ext uri="{FF2B5EF4-FFF2-40B4-BE49-F238E27FC236}">
              <a16:creationId xmlns:a16="http://schemas.microsoft.com/office/drawing/2014/main" id="{00000000-0008-0000-0F00-0000F1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4" name="AutoShape 1">
          <a:extLst>
            <a:ext uri="{FF2B5EF4-FFF2-40B4-BE49-F238E27FC236}">
              <a16:creationId xmlns:a16="http://schemas.microsoft.com/office/drawing/2014/main" id="{00000000-0008-0000-0F00-0000F2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5" name="AutoShape 1">
          <a:extLst>
            <a:ext uri="{FF2B5EF4-FFF2-40B4-BE49-F238E27FC236}">
              <a16:creationId xmlns:a16="http://schemas.microsoft.com/office/drawing/2014/main" id="{00000000-0008-0000-0F00-0000F3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6" name="AutoShape 1">
          <a:extLst>
            <a:ext uri="{FF2B5EF4-FFF2-40B4-BE49-F238E27FC236}">
              <a16:creationId xmlns:a16="http://schemas.microsoft.com/office/drawing/2014/main" id="{00000000-0008-0000-0F00-0000F4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7" name="AutoShape 1">
          <a:extLst>
            <a:ext uri="{FF2B5EF4-FFF2-40B4-BE49-F238E27FC236}">
              <a16:creationId xmlns:a16="http://schemas.microsoft.com/office/drawing/2014/main" id="{00000000-0008-0000-0F00-0000F5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8" name="AutoShape 1">
          <a:extLst>
            <a:ext uri="{FF2B5EF4-FFF2-40B4-BE49-F238E27FC236}">
              <a16:creationId xmlns:a16="http://schemas.microsoft.com/office/drawing/2014/main" id="{00000000-0008-0000-0F00-0000F6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599" name="AutoShape 1">
          <a:extLst>
            <a:ext uri="{FF2B5EF4-FFF2-40B4-BE49-F238E27FC236}">
              <a16:creationId xmlns:a16="http://schemas.microsoft.com/office/drawing/2014/main" id="{00000000-0008-0000-0F00-0000F7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0" name="AutoShape 1">
          <a:extLst>
            <a:ext uri="{FF2B5EF4-FFF2-40B4-BE49-F238E27FC236}">
              <a16:creationId xmlns:a16="http://schemas.microsoft.com/office/drawing/2014/main" id="{00000000-0008-0000-0F00-0000F8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1" name="AutoShape 1">
          <a:extLst>
            <a:ext uri="{FF2B5EF4-FFF2-40B4-BE49-F238E27FC236}">
              <a16:creationId xmlns:a16="http://schemas.microsoft.com/office/drawing/2014/main" id="{00000000-0008-0000-0F00-0000F9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2" name="AutoShape 1">
          <a:extLst>
            <a:ext uri="{FF2B5EF4-FFF2-40B4-BE49-F238E27FC236}">
              <a16:creationId xmlns:a16="http://schemas.microsoft.com/office/drawing/2014/main" id="{00000000-0008-0000-0F00-0000FA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3" name="AutoShape 1">
          <a:extLst>
            <a:ext uri="{FF2B5EF4-FFF2-40B4-BE49-F238E27FC236}">
              <a16:creationId xmlns:a16="http://schemas.microsoft.com/office/drawing/2014/main" id="{00000000-0008-0000-0F00-0000FB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4" name="AutoShape 1">
          <a:extLst>
            <a:ext uri="{FF2B5EF4-FFF2-40B4-BE49-F238E27FC236}">
              <a16:creationId xmlns:a16="http://schemas.microsoft.com/office/drawing/2014/main" id="{00000000-0008-0000-0F00-0000FC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5" name="AutoShape 1">
          <a:extLst>
            <a:ext uri="{FF2B5EF4-FFF2-40B4-BE49-F238E27FC236}">
              <a16:creationId xmlns:a16="http://schemas.microsoft.com/office/drawing/2014/main" id="{00000000-0008-0000-0F00-0000FD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6" name="AutoShape 1">
          <a:extLst>
            <a:ext uri="{FF2B5EF4-FFF2-40B4-BE49-F238E27FC236}">
              <a16:creationId xmlns:a16="http://schemas.microsoft.com/office/drawing/2014/main" id="{00000000-0008-0000-0F00-0000FE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7" name="AutoShape 1">
          <a:extLst>
            <a:ext uri="{FF2B5EF4-FFF2-40B4-BE49-F238E27FC236}">
              <a16:creationId xmlns:a16="http://schemas.microsoft.com/office/drawing/2014/main" id="{00000000-0008-0000-0F00-0000FF11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8" name="AutoShape 1">
          <a:extLst>
            <a:ext uri="{FF2B5EF4-FFF2-40B4-BE49-F238E27FC236}">
              <a16:creationId xmlns:a16="http://schemas.microsoft.com/office/drawing/2014/main" id="{00000000-0008-0000-0F00-000000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09" name="AutoShape 1">
          <a:extLst>
            <a:ext uri="{FF2B5EF4-FFF2-40B4-BE49-F238E27FC236}">
              <a16:creationId xmlns:a16="http://schemas.microsoft.com/office/drawing/2014/main" id="{00000000-0008-0000-0F00-000001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0" name="AutoShape 1">
          <a:extLst>
            <a:ext uri="{FF2B5EF4-FFF2-40B4-BE49-F238E27FC236}">
              <a16:creationId xmlns:a16="http://schemas.microsoft.com/office/drawing/2014/main" id="{00000000-0008-0000-0F00-000002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1" name="AutoShape 1">
          <a:extLst>
            <a:ext uri="{FF2B5EF4-FFF2-40B4-BE49-F238E27FC236}">
              <a16:creationId xmlns:a16="http://schemas.microsoft.com/office/drawing/2014/main" id="{00000000-0008-0000-0F00-000003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2" name="AutoShape 1">
          <a:extLst>
            <a:ext uri="{FF2B5EF4-FFF2-40B4-BE49-F238E27FC236}">
              <a16:creationId xmlns:a16="http://schemas.microsoft.com/office/drawing/2014/main" id="{00000000-0008-0000-0F00-000004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3" name="AutoShape 1">
          <a:extLst>
            <a:ext uri="{FF2B5EF4-FFF2-40B4-BE49-F238E27FC236}">
              <a16:creationId xmlns:a16="http://schemas.microsoft.com/office/drawing/2014/main" id="{00000000-0008-0000-0F00-000005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4" name="AutoShape 1">
          <a:extLst>
            <a:ext uri="{FF2B5EF4-FFF2-40B4-BE49-F238E27FC236}">
              <a16:creationId xmlns:a16="http://schemas.microsoft.com/office/drawing/2014/main" id="{00000000-0008-0000-0F00-000006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5" name="AutoShape 1">
          <a:extLst>
            <a:ext uri="{FF2B5EF4-FFF2-40B4-BE49-F238E27FC236}">
              <a16:creationId xmlns:a16="http://schemas.microsoft.com/office/drawing/2014/main" id="{00000000-0008-0000-0F00-000007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6" name="AutoShape 1">
          <a:extLst>
            <a:ext uri="{FF2B5EF4-FFF2-40B4-BE49-F238E27FC236}">
              <a16:creationId xmlns:a16="http://schemas.microsoft.com/office/drawing/2014/main" id="{00000000-0008-0000-0F00-000008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7" name="AutoShape 1">
          <a:extLst>
            <a:ext uri="{FF2B5EF4-FFF2-40B4-BE49-F238E27FC236}">
              <a16:creationId xmlns:a16="http://schemas.microsoft.com/office/drawing/2014/main" id="{00000000-0008-0000-0F00-000009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8" name="AutoShape 1">
          <a:extLst>
            <a:ext uri="{FF2B5EF4-FFF2-40B4-BE49-F238E27FC236}">
              <a16:creationId xmlns:a16="http://schemas.microsoft.com/office/drawing/2014/main" id="{00000000-0008-0000-0F00-00000A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19" name="AutoShape 1">
          <a:extLst>
            <a:ext uri="{FF2B5EF4-FFF2-40B4-BE49-F238E27FC236}">
              <a16:creationId xmlns:a16="http://schemas.microsoft.com/office/drawing/2014/main" id="{00000000-0008-0000-0F00-00000B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0" name="AutoShape 1">
          <a:extLst>
            <a:ext uri="{FF2B5EF4-FFF2-40B4-BE49-F238E27FC236}">
              <a16:creationId xmlns:a16="http://schemas.microsoft.com/office/drawing/2014/main" id="{00000000-0008-0000-0F00-00000C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1" name="AutoShape 1">
          <a:extLst>
            <a:ext uri="{FF2B5EF4-FFF2-40B4-BE49-F238E27FC236}">
              <a16:creationId xmlns:a16="http://schemas.microsoft.com/office/drawing/2014/main" id="{00000000-0008-0000-0F00-00000D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2" name="AutoShape 1">
          <a:extLst>
            <a:ext uri="{FF2B5EF4-FFF2-40B4-BE49-F238E27FC236}">
              <a16:creationId xmlns:a16="http://schemas.microsoft.com/office/drawing/2014/main" id="{00000000-0008-0000-0F00-00000E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3" name="AutoShape 1">
          <a:extLst>
            <a:ext uri="{FF2B5EF4-FFF2-40B4-BE49-F238E27FC236}">
              <a16:creationId xmlns:a16="http://schemas.microsoft.com/office/drawing/2014/main" id="{00000000-0008-0000-0F00-00000F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4" name="AutoShape 1">
          <a:extLst>
            <a:ext uri="{FF2B5EF4-FFF2-40B4-BE49-F238E27FC236}">
              <a16:creationId xmlns:a16="http://schemas.microsoft.com/office/drawing/2014/main" id="{00000000-0008-0000-0F00-000010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5" name="AutoShape 1">
          <a:extLst>
            <a:ext uri="{FF2B5EF4-FFF2-40B4-BE49-F238E27FC236}">
              <a16:creationId xmlns:a16="http://schemas.microsoft.com/office/drawing/2014/main" id="{00000000-0008-0000-0F00-000011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6" name="AutoShape 1">
          <a:extLst>
            <a:ext uri="{FF2B5EF4-FFF2-40B4-BE49-F238E27FC236}">
              <a16:creationId xmlns:a16="http://schemas.microsoft.com/office/drawing/2014/main" id="{00000000-0008-0000-0F00-000012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7" name="AutoShape 1">
          <a:extLst>
            <a:ext uri="{FF2B5EF4-FFF2-40B4-BE49-F238E27FC236}">
              <a16:creationId xmlns:a16="http://schemas.microsoft.com/office/drawing/2014/main" id="{00000000-0008-0000-0F00-000013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8" name="AutoShape 1">
          <a:extLst>
            <a:ext uri="{FF2B5EF4-FFF2-40B4-BE49-F238E27FC236}">
              <a16:creationId xmlns:a16="http://schemas.microsoft.com/office/drawing/2014/main" id="{00000000-0008-0000-0F00-000014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29" name="AutoShape 1">
          <a:extLst>
            <a:ext uri="{FF2B5EF4-FFF2-40B4-BE49-F238E27FC236}">
              <a16:creationId xmlns:a16="http://schemas.microsoft.com/office/drawing/2014/main" id="{00000000-0008-0000-0F00-000015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0" name="AutoShape 1">
          <a:extLst>
            <a:ext uri="{FF2B5EF4-FFF2-40B4-BE49-F238E27FC236}">
              <a16:creationId xmlns:a16="http://schemas.microsoft.com/office/drawing/2014/main" id="{00000000-0008-0000-0F00-000016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1" name="AutoShape 1">
          <a:extLst>
            <a:ext uri="{FF2B5EF4-FFF2-40B4-BE49-F238E27FC236}">
              <a16:creationId xmlns:a16="http://schemas.microsoft.com/office/drawing/2014/main" id="{00000000-0008-0000-0F00-000017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2" name="AutoShape 1">
          <a:extLst>
            <a:ext uri="{FF2B5EF4-FFF2-40B4-BE49-F238E27FC236}">
              <a16:creationId xmlns:a16="http://schemas.microsoft.com/office/drawing/2014/main" id="{00000000-0008-0000-0F00-000018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3" name="AutoShape 1">
          <a:extLst>
            <a:ext uri="{FF2B5EF4-FFF2-40B4-BE49-F238E27FC236}">
              <a16:creationId xmlns:a16="http://schemas.microsoft.com/office/drawing/2014/main" id="{00000000-0008-0000-0F00-000019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4" name="AutoShape 1">
          <a:extLst>
            <a:ext uri="{FF2B5EF4-FFF2-40B4-BE49-F238E27FC236}">
              <a16:creationId xmlns:a16="http://schemas.microsoft.com/office/drawing/2014/main" id="{00000000-0008-0000-0F00-00001A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5" name="AutoShape 1">
          <a:extLst>
            <a:ext uri="{FF2B5EF4-FFF2-40B4-BE49-F238E27FC236}">
              <a16:creationId xmlns:a16="http://schemas.microsoft.com/office/drawing/2014/main" id="{00000000-0008-0000-0F00-00001B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6" name="AutoShape 1">
          <a:extLst>
            <a:ext uri="{FF2B5EF4-FFF2-40B4-BE49-F238E27FC236}">
              <a16:creationId xmlns:a16="http://schemas.microsoft.com/office/drawing/2014/main" id="{00000000-0008-0000-0F00-00001C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7" name="AutoShape 1">
          <a:extLst>
            <a:ext uri="{FF2B5EF4-FFF2-40B4-BE49-F238E27FC236}">
              <a16:creationId xmlns:a16="http://schemas.microsoft.com/office/drawing/2014/main" id="{00000000-0008-0000-0F00-00001D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8" name="AutoShape 1">
          <a:extLst>
            <a:ext uri="{FF2B5EF4-FFF2-40B4-BE49-F238E27FC236}">
              <a16:creationId xmlns:a16="http://schemas.microsoft.com/office/drawing/2014/main" id="{00000000-0008-0000-0F00-00001E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39" name="AutoShape 1">
          <a:extLst>
            <a:ext uri="{FF2B5EF4-FFF2-40B4-BE49-F238E27FC236}">
              <a16:creationId xmlns:a16="http://schemas.microsoft.com/office/drawing/2014/main" id="{00000000-0008-0000-0F00-00001F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0" name="AutoShape 1">
          <a:extLst>
            <a:ext uri="{FF2B5EF4-FFF2-40B4-BE49-F238E27FC236}">
              <a16:creationId xmlns:a16="http://schemas.microsoft.com/office/drawing/2014/main" id="{00000000-0008-0000-0F00-000020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1" name="AutoShape 1">
          <a:extLst>
            <a:ext uri="{FF2B5EF4-FFF2-40B4-BE49-F238E27FC236}">
              <a16:creationId xmlns:a16="http://schemas.microsoft.com/office/drawing/2014/main" id="{00000000-0008-0000-0F00-000021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2" name="AutoShape 1">
          <a:extLst>
            <a:ext uri="{FF2B5EF4-FFF2-40B4-BE49-F238E27FC236}">
              <a16:creationId xmlns:a16="http://schemas.microsoft.com/office/drawing/2014/main" id="{00000000-0008-0000-0F00-000022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3" name="AutoShape 1">
          <a:extLst>
            <a:ext uri="{FF2B5EF4-FFF2-40B4-BE49-F238E27FC236}">
              <a16:creationId xmlns:a16="http://schemas.microsoft.com/office/drawing/2014/main" id="{00000000-0008-0000-0F00-000023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4" name="AutoShape 1">
          <a:extLst>
            <a:ext uri="{FF2B5EF4-FFF2-40B4-BE49-F238E27FC236}">
              <a16:creationId xmlns:a16="http://schemas.microsoft.com/office/drawing/2014/main" id="{00000000-0008-0000-0F00-000024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5" name="AutoShape 1">
          <a:extLst>
            <a:ext uri="{FF2B5EF4-FFF2-40B4-BE49-F238E27FC236}">
              <a16:creationId xmlns:a16="http://schemas.microsoft.com/office/drawing/2014/main" id="{00000000-0008-0000-0F00-000025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6" name="AutoShape 1">
          <a:extLst>
            <a:ext uri="{FF2B5EF4-FFF2-40B4-BE49-F238E27FC236}">
              <a16:creationId xmlns:a16="http://schemas.microsoft.com/office/drawing/2014/main" id="{00000000-0008-0000-0F00-000026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7" name="AutoShape 1">
          <a:extLst>
            <a:ext uri="{FF2B5EF4-FFF2-40B4-BE49-F238E27FC236}">
              <a16:creationId xmlns:a16="http://schemas.microsoft.com/office/drawing/2014/main" id="{00000000-0008-0000-0F00-000027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8" name="AutoShape 1">
          <a:extLst>
            <a:ext uri="{FF2B5EF4-FFF2-40B4-BE49-F238E27FC236}">
              <a16:creationId xmlns:a16="http://schemas.microsoft.com/office/drawing/2014/main" id="{00000000-0008-0000-0F00-000028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49" name="AutoShape 1">
          <a:extLst>
            <a:ext uri="{FF2B5EF4-FFF2-40B4-BE49-F238E27FC236}">
              <a16:creationId xmlns:a16="http://schemas.microsoft.com/office/drawing/2014/main" id="{00000000-0008-0000-0F00-000029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0" name="AutoShape 1">
          <a:extLst>
            <a:ext uri="{FF2B5EF4-FFF2-40B4-BE49-F238E27FC236}">
              <a16:creationId xmlns:a16="http://schemas.microsoft.com/office/drawing/2014/main" id="{00000000-0008-0000-0F00-00002A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1" name="AutoShape 1">
          <a:extLst>
            <a:ext uri="{FF2B5EF4-FFF2-40B4-BE49-F238E27FC236}">
              <a16:creationId xmlns:a16="http://schemas.microsoft.com/office/drawing/2014/main" id="{00000000-0008-0000-0F00-00002B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2" name="AutoShape 1">
          <a:extLst>
            <a:ext uri="{FF2B5EF4-FFF2-40B4-BE49-F238E27FC236}">
              <a16:creationId xmlns:a16="http://schemas.microsoft.com/office/drawing/2014/main" id="{00000000-0008-0000-0F00-00002C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3" name="AutoShape 1">
          <a:extLst>
            <a:ext uri="{FF2B5EF4-FFF2-40B4-BE49-F238E27FC236}">
              <a16:creationId xmlns:a16="http://schemas.microsoft.com/office/drawing/2014/main" id="{00000000-0008-0000-0F00-00002D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4" name="AutoShape 1">
          <a:extLst>
            <a:ext uri="{FF2B5EF4-FFF2-40B4-BE49-F238E27FC236}">
              <a16:creationId xmlns:a16="http://schemas.microsoft.com/office/drawing/2014/main" id="{00000000-0008-0000-0F00-00002E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5" name="AutoShape 1">
          <a:extLst>
            <a:ext uri="{FF2B5EF4-FFF2-40B4-BE49-F238E27FC236}">
              <a16:creationId xmlns:a16="http://schemas.microsoft.com/office/drawing/2014/main" id="{00000000-0008-0000-0F00-00002F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6" name="AutoShape 1">
          <a:extLst>
            <a:ext uri="{FF2B5EF4-FFF2-40B4-BE49-F238E27FC236}">
              <a16:creationId xmlns:a16="http://schemas.microsoft.com/office/drawing/2014/main" id="{00000000-0008-0000-0F00-000030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7" name="AutoShape 1">
          <a:extLst>
            <a:ext uri="{FF2B5EF4-FFF2-40B4-BE49-F238E27FC236}">
              <a16:creationId xmlns:a16="http://schemas.microsoft.com/office/drawing/2014/main" id="{00000000-0008-0000-0F00-000031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8" name="AutoShape 1">
          <a:extLst>
            <a:ext uri="{FF2B5EF4-FFF2-40B4-BE49-F238E27FC236}">
              <a16:creationId xmlns:a16="http://schemas.microsoft.com/office/drawing/2014/main" id="{00000000-0008-0000-0F00-000032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59" name="AutoShape 1">
          <a:extLst>
            <a:ext uri="{FF2B5EF4-FFF2-40B4-BE49-F238E27FC236}">
              <a16:creationId xmlns:a16="http://schemas.microsoft.com/office/drawing/2014/main" id="{00000000-0008-0000-0F00-000033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0" name="AutoShape 1">
          <a:extLst>
            <a:ext uri="{FF2B5EF4-FFF2-40B4-BE49-F238E27FC236}">
              <a16:creationId xmlns:a16="http://schemas.microsoft.com/office/drawing/2014/main" id="{00000000-0008-0000-0F00-000034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1" name="AutoShape 1">
          <a:extLst>
            <a:ext uri="{FF2B5EF4-FFF2-40B4-BE49-F238E27FC236}">
              <a16:creationId xmlns:a16="http://schemas.microsoft.com/office/drawing/2014/main" id="{00000000-0008-0000-0F00-000035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2" name="AutoShape 1">
          <a:extLst>
            <a:ext uri="{FF2B5EF4-FFF2-40B4-BE49-F238E27FC236}">
              <a16:creationId xmlns:a16="http://schemas.microsoft.com/office/drawing/2014/main" id="{00000000-0008-0000-0F00-000036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3" name="AutoShape 1">
          <a:extLst>
            <a:ext uri="{FF2B5EF4-FFF2-40B4-BE49-F238E27FC236}">
              <a16:creationId xmlns:a16="http://schemas.microsoft.com/office/drawing/2014/main" id="{00000000-0008-0000-0F00-000037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4" name="AutoShape 1">
          <a:extLst>
            <a:ext uri="{FF2B5EF4-FFF2-40B4-BE49-F238E27FC236}">
              <a16:creationId xmlns:a16="http://schemas.microsoft.com/office/drawing/2014/main" id="{00000000-0008-0000-0F00-000038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5" name="AutoShape 1">
          <a:extLst>
            <a:ext uri="{FF2B5EF4-FFF2-40B4-BE49-F238E27FC236}">
              <a16:creationId xmlns:a16="http://schemas.microsoft.com/office/drawing/2014/main" id="{00000000-0008-0000-0F00-000039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6" name="AutoShape 1">
          <a:extLst>
            <a:ext uri="{FF2B5EF4-FFF2-40B4-BE49-F238E27FC236}">
              <a16:creationId xmlns:a16="http://schemas.microsoft.com/office/drawing/2014/main" id="{00000000-0008-0000-0F00-00003A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7" name="AutoShape 1">
          <a:extLst>
            <a:ext uri="{FF2B5EF4-FFF2-40B4-BE49-F238E27FC236}">
              <a16:creationId xmlns:a16="http://schemas.microsoft.com/office/drawing/2014/main" id="{00000000-0008-0000-0F00-00003B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8" name="AutoShape 1">
          <a:extLst>
            <a:ext uri="{FF2B5EF4-FFF2-40B4-BE49-F238E27FC236}">
              <a16:creationId xmlns:a16="http://schemas.microsoft.com/office/drawing/2014/main" id="{00000000-0008-0000-0F00-00003C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69" name="AutoShape 1">
          <a:extLst>
            <a:ext uri="{FF2B5EF4-FFF2-40B4-BE49-F238E27FC236}">
              <a16:creationId xmlns:a16="http://schemas.microsoft.com/office/drawing/2014/main" id="{00000000-0008-0000-0F00-00003D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0" name="AutoShape 1">
          <a:extLst>
            <a:ext uri="{FF2B5EF4-FFF2-40B4-BE49-F238E27FC236}">
              <a16:creationId xmlns:a16="http://schemas.microsoft.com/office/drawing/2014/main" id="{00000000-0008-0000-0F00-00003E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1" name="AutoShape 1">
          <a:extLst>
            <a:ext uri="{FF2B5EF4-FFF2-40B4-BE49-F238E27FC236}">
              <a16:creationId xmlns:a16="http://schemas.microsoft.com/office/drawing/2014/main" id="{00000000-0008-0000-0F00-00003F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2" name="AutoShape 1">
          <a:extLst>
            <a:ext uri="{FF2B5EF4-FFF2-40B4-BE49-F238E27FC236}">
              <a16:creationId xmlns:a16="http://schemas.microsoft.com/office/drawing/2014/main" id="{00000000-0008-0000-0F00-000040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3" name="AutoShape 1">
          <a:extLst>
            <a:ext uri="{FF2B5EF4-FFF2-40B4-BE49-F238E27FC236}">
              <a16:creationId xmlns:a16="http://schemas.microsoft.com/office/drawing/2014/main" id="{00000000-0008-0000-0F00-000041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4" name="AutoShape 1">
          <a:extLst>
            <a:ext uri="{FF2B5EF4-FFF2-40B4-BE49-F238E27FC236}">
              <a16:creationId xmlns:a16="http://schemas.microsoft.com/office/drawing/2014/main" id="{00000000-0008-0000-0F00-000042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5" name="AutoShape 1">
          <a:extLst>
            <a:ext uri="{FF2B5EF4-FFF2-40B4-BE49-F238E27FC236}">
              <a16:creationId xmlns:a16="http://schemas.microsoft.com/office/drawing/2014/main" id="{00000000-0008-0000-0F00-000043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6" name="AutoShape 1">
          <a:extLst>
            <a:ext uri="{FF2B5EF4-FFF2-40B4-BE49-F238E27FC236}">
              <a16:creationId xmlns:a16="http://schemas.microsoft.com/office/drawing/2014/main" id="{00000000-0008-0000-0F00-000044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7" name="AutoShape 1">
          <a:extLst>
            <a:ext uri="{FF2B5EF4-FFF2-40B4-BE49-F238E27FC236}">
              <a16:creationId xmlns:a16="http://schemas.microsoft.com/office/drawing/2014/main" id="{00000000-0008-0000-0F00-000045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8" name="AutoShape 1">
          <a:extLst>
            <a:ext uri="{FF2B5EF4-FFF2-40B4-BE49-F238E27FC236}">
              <a16:creationId xmlns:a16="http://schemas.microsoft.com/office/drawing/2014/main" id="{00000000-0008-0000-0F00-000046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79" name="AutoShape 1">
          <a:extLst>
            <a:ext uri="{FF2B5EF4-FFF2-40B4-BE49-F238E27FC236}">
              <a16:creationId xmlns:a16="http://schemas.microsoft.com/office/drawing/2014/main" id="{00000000-0008-0000-0F00-000047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0" name="AutoShape 1">
          <a:extLst>
            <a:ext uri="{FF2B5EF4-FFF2-40B4-BE49-F238E27FC236}">
              <a16:creationId xmlns:a16="http://schemas.microsoft.com/office/drawing/2014/main" id="{00000000-0008-0000-0F00-000048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1" name="AutoShape 1">
          <a:extLst>
            <a:ext uri="{FF2B5EF4-FFF2-40B4-BE49-F238E27FC236}">
              <a16:creationId xmlns:a16="http://schemas.microsoft.com/office/drawing/2014/main" id="{00000000-0008-0000-0F00-000049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2" name="AutoShape 1">
          <a:extLst>
            <a:ext uri="{FF2B5EF4-FFF2-40B4-BE49-F238E27FC236}">
              <a16:creationId xmlns:a16="http://schemas.microsoft.com/office/drawing/2014/main" id="{00000000-0008-0000-0F00-00004A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3" name="AutoShape 1">
          <a:extLst>
            <a:ext uri="{FF2B5EF4-FFF2-40B4-BE49-F238E27FC236}">
              <a16:creationId xmlns:a16="http://schemas.microsoft.com/office/drawing/2014/main" id="{00000000-0008-0000-0F00-00004B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4" name="AutoShape 1">
          <a:extLst>
            <a:ext uri="{FF2B5EF4-FFF2-40B4-BE49-F238E27FC236}">
              <a16:creationId xmlns:a16="http://schemas.microsoft.com/office/drawing/2014/main" id="{00000000-0008-0000-0F00-00004C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5" name="AutoShape 1">
          <a:extLst>
            <a:ext uri="{FF2B5EF4-FFF2-40B4-BE49-F238E27FC236}">
              <a16:creationId xmlns:a16="http://schemas.microsoft.com/office/drawing/2014/main" id="{00000000-0008-0000-0F00-00004D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6" name="AutoShape 1">
          <a:extLst>
            <a:ext uri="{FF2B5EF4-FFF2-40B4-BE49-F238E27FC236}">
              <a16:creationId xmlns:a16="http://schemas.microsoft.com/office/drawing/2014/main" id="{00000000-0008-0000-0F00-00004E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7" name="AutoShape 1">
          <a:extLst>
            <a:ext uri="{FF2B5EF4-FFF2-40B4-BE49-F238E27FC236}">
              <a16:creationId xmlns:a16="http://schemas.microsoft.com/office/drawing/2014/main" id="{00000000-0008-0000-0F00-00004F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8" name="AutoShape 1">
          <a:extLst>
            <a:ext uri="{FF2B5EF4-FFF2-40B4-BE49-F238E27FC236}">
              <a16:creationId xmlns:a16="http://schemas.microsoft.com/office/drawing/2014/main" id="{00000000-0008-0000-0F00-000050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89" name="AutoShape 1">
          <a:extLst>
            <a:ext uri="{FF2B5EF4-FFF2-40B4-BE49-F238E27FC236}">
              <a16:creationId xmlns:a16="http://schemas.microsoft.com/office/drawing/2014/main" id="{00000000-0008-0000-0F00-000051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0" name="AutoShape 1">
          <a:extLst>
            <a:ext uri="{FF2B5EF4-FFF2-40B4-BE49-F238E27FC236}">
              <a16:creationId xmlns:a16="http://schemas.microsoft.com/office/drawing/2014/main" id="{00000000-0008-0000-0F00-000052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1" name="AutoShape 1">
          <a:extLst>
            <a:ext uri="{FF2B5EF4-FFF2-40B4-BE49-F238E27FC236}">
              <a16:creationId xmlns:a16="http://schemas.microsoft.com/office/drawing/2014/main" id="{00000000-0008-0000-0F00-000053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2" name="AutoShape 1">
          <a:extLst>
            <a:ext uri="{FF2B5EF4-FFF2-40B4-BE49-F238E27FC236}">
              <a16:creationId xmlns:a16="http://schemas.microsoft.com/office/drawing/2014/main" id="{00000000-0008-0000-0F00-000054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3" name="AutoShape 1">
          <a:extLst>
            <a:ext uri="{FF2B5EF4-FFF2-40B4-BE49-F238E27FC236}">
              <a16:creationId xmlns:a16="http://schemas.microsoft.com/office/drawing/2014/main" id="{00000000-0008-0000-0F00-000055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4" name="AutoShape 1">
          <a:extLst>
            <a:ext uri="{FF2B5EF4-FFF2-40B4-BE49-F238E27FC236}">
              <a16:creationId xmlns:a16="http://schemas.microsoft.com/office/drawing/2014/main" id="{00000000-0008-0000-0F00-000056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5" name="AutoShape 1">
          <a:extLst>
            <a:ext uri="{FF2B5EF4-FFF2-40B4-BE49-F238E27FC236}">
              <a16:creationId xmlns:a16="http://schemas.microsoft.com/office/drawing/2014/main" id="{00000000-0008-0000-0F00-000057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6" name="AutoShape 1">
          <a:extLst>
            <a:ext uri="{FF2B5EF4-FFF2-40B4-BE49-F238E27FC236}">
              <a16:creationId xmlns:a16="http://schemas.microsoft.com/office/drawing/2014/main" id="{00000000-0008-0000-0F00-000058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7" name="AutoShape 1">
          <a:extLst>
            <a:ext uri="{FF2B5EF4-FFF2-40B4-BE49-F238E27FC236}">
              <a16:creationId xmlns:a16="http://schemas.microsoft.com/office/drawing/2014/main" id="{00000000-0008-0000-0F00-000059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8" name="AutoShape 1">
          <a:extLst>
            <a:ext uri="{FF2B5EF4-FFF2-40B4-BE49-F238E27FC236}">
              <a16:creationId xmlns:a16="http://schemas.microsoft.com/office/drawing/2014/main" id="{00000000-0008-0000-0F00-00005A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699" name="AutoShape 1">
          <a:extLst>
            <a:ext uri="{FF2B5EF4-FFF2-40B4-BE49-F238E27FC236}">
              <a16:creationId xmlns:a16="http://schemas.microsoft.com/office/drawing/2014/main" id="{00000000-0008-0000-0F00-00005B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0" name="AutoShape 1">
          <a:extLst>
            <a:ext uri="{FF2B5EF4-FFF2-40B4-BE49-F238E27FC236}">
              <a16:creationId xmlns:a16="http://schemas.microsoft.com/office/drawing/2014/main" id="{00000000-0008-0000-0F00-00005C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1" name="AutoShape 1">
          <a:extLst>
            <a:ext uri="{FF2B5EF4-FFF2-40B4-BE49-F238E27FC236}">
              <a16:creationId xmlns:a16="http://schemas.microsoft.com/office/drawing/2014/main" id="{00000000-0008-0000-0F00-00005D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2" name="AutoShape 1">
          <a:extLst>
            <a:ext uri="{FF2B5EF4-FFF2-40B4-BE49-F238E27FC236}">
              <a16:creationId xmlns:a16="http://schemas.microsoft.com/office/drawing/2014/main" id="{00000000-0008-0000-0F00-00005E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3" name="AutoShape 1">
          <a:extLst>
            <a:ext uri="{FF2B5EF4-FFF2-40B4-BE49-F238E27FC236}">
              <a16:creationId xmlns:a16="http://schemas.microsoft.com/office/drawing/2014/main" id="{00000000-0008-0000-0F00-00005F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4" name="AutoShape 1">
          <a:extLst>
            <a:ext uri="{FF2B5EF4-FFF2-40B4-BE49-F238E27FC236}">
              <a16:creationId xmlns:a16="http://schemas.microsoft.com/office/drawing/2014/main" id="{00000000-0008-0000-0F00-000060120000}"/>
            </a:ext>
          </a:extLst>
        </xdr:cNvPr>
        <xdr:cNvSpPr>
          <a:spLocks noChangeAspect="1" noChangeArrowheads="1"/>
        </xdr:cNvSpPr>
      </xdr:nvSpPr>
      <xdr:spPr bwMode="auto">
        <a:xfrm>
          <a:off x="977900"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6" name="AutoShape 1">
          <a:extLst>
            <a:ext uri="{FF2B5EF4-FFF2-40B4-BE49-F238E27FC236}">
              <a16:creationId xmlns:a16="http://schemas.microsoft.com/office/drawing/2014/main" id="{00000000-0008-0000-0F00-00006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7" name="AutoShape 1">
          <a:extLst>
            <a:ext uri="{FF2B5EF4-FFF2-40B4-BE49-F238E27FC236}">
              <a16:creationId xmlns:a16="http://schemas.microsoft.com/office/drawing/2014/main" id="{00000000-0008-0000-0F00-00006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8" name="AutoShape 1">
          <a:extLst>
            <a:ext uri="{FF2B5EF4-FFF2-40B4-BE49-F238E27FC236}">
              <a16:creationId xmlns:a16="http://schemas.microsoft.com/office/drawing/2014/main" id="{00000000-0008-0000-0F00-00006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09" name="AutoShape 1">
          <a:extLst>
            <a:ext uri="{FF2B5EF4-FFF2-40B4-BE49-F238E27FC236}">
              <a16:creationId xmlns:a16="http://schemas.microsoft.com/office/drawing/2014/main" id="{00000000-0008-0000-0F00-00006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0" name="AutoShape 1">
          <a:extLst>
            <a:ext uri="{FF2B5EF4-FFF2-40B4-BE49-F238E27FC236}">
              <a16:creationId xmlns:a16="http://schemas.microsoft.com/office/drawing/2014/main" id="{00000000-0008-0000-0F00-00006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1" name="AutoShape 1">
          <a:extLst>
            <a:ext uri="{FF2B5EF4-FFF2-40B4-BE49-F238E27FC236}">
              <a16:creationId xmlns:a16="http://schemas.microsoft.com/office/drawing/2014/main" id="{00000000-0008-0000-0F00-00006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2" name="AutoShape 1">
          <a:extLst>
            <a:ext uri="{FF2B5EF4-FFF2-40B4-BE49-F238E27FC236}">
              <a16:creationId xmlns:a16="http://schemas.microsoft.com/office/drawing/2014/main" id="{00000000-0008-0000-0F00-00006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3" name="AutoShape 1">
          <a:extLst>
            <a:ext uri="{FF2B5EF4-FFF2-40B4-BE49-F238E27FC236}">
              <a16:creationId xmlns:a16="http://schemas.microsoft.com/office/drawing/2014/main" id="{00000000-0008-0000-0F00-00006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4" name="AutoShape 1">
          <a:extLst>
            <a:ext uri="{FF2B5EF4-FFF2-40B4-BE49-F238E27FC236}">
              <a16:creationId xmlns:a16="http://schemas.microsoft.com/office/drawing/2014/main" id="{00000000-0008-0000-0F00-00006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5" name="AutoShape 1">
          <a:extLst>
            <a:ext uri="{FF2B5EF4-FFF2-40B4-BE49-F238E27FC236}">
              <a16:creationId xmlns:a16="http://schemas.microsoft.com/office/drawing/2014/main" id="{00000000-0008-0000-0F00-00006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6" name="AutoShape 1">
          <a:extLst>
            <a:ext uri="{FF2B5EF4-FFF2-40B4-BE49-F238E27FC236}">
              <a16:creationId xmlns:a16="http://schemas.microsoft.com/office/drawing/2014/main" id="{00000000-0008-0000-0F00-00006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7" name="AutoShape 1">
          <a:extLst>
            <a:ext uri="{FF2B5EF4-FFF2-40B4-BE49-F238E27FC236}">
              <a16:creationId xmlns:a16="http://schemas.microsoft.com/office/drawing/2014/main" id="{00000000-0008-0000-0F00-00006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8" name="AutoShape 1">
          <a:extLst>
            <a:ext uri="{FF2B5EF4-FFF2-40B4-BE49-F238E27FC236}">
              <a16:creationId xmlns:a16="http://schemas.microsoft.com/office/drawing/2014/main" id="{00000000-0008-0000-0F00-00006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19" name="AutoShape 1">
          <a:extLst>
            <a:ext uri="{FF2B5EF4-FFF2-40B4-BE49-F238E27FC236}">
              <a16:creationId xmlns:a16="http://schemas.microsoft.com/office/drawing/2014/main" id="{00000000-0008-0000-0F00-00006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0" name="AutoShape 1">
          <a:extLst>
            <a:ext uri="{FF2B5EF4-FFF2-40B4-BE49-F238E27FC236}">
              <a16:creationId xmlns:a16="http://schemas.microsoft.com/office/drawing/2014/main" id="{00000000-0008-0000-0F00-00007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1" name="AutoShape 1">
          <a:extLst>
            <a:ext uri="{FF2B5EF4-FFF2-40B4-BE49-F238E27FC236}">
              <a16:creationId xmlns:a16="http://schemas.microsoft.com/office/drawing/2014/main" id="{00000000-0008-0000-0F00-00007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2" name="AutoShape 1">
          <a:extLst>
            <a:ext uri="{FF2B5EF4-FFF2-40B4-BE49-F238E27FC236}">
              <a16:creationId xmlns:a16="http://schemas.microsoft.com/office/drawing/2014/main" id="{00000000-0008-0000-0F00-00007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3" name="AutoShape 1">
          <a:extLst>
            <a:ext uri="{FF2B5EF4-FFF2-40B4-BE49-F238E27FC236}">
              <a16:creationId xmlns:a16="http://schemas.microsoft.com/office/drawing/2014/main" id="{00000000-0008-0000-0F00-00007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4" name="AutoShape 1">
          <a:extLst>
            <a:ext uri="{FF2B5EF4-FFF2-40B4-BE49-F238E27FC236}">
              <a16:creationId xmlns:a16="http://schemas.microsoft.com/office/drawing/2014/main" id="{00000000-0008-0000-0F00-00007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5" name="AutoShape 1">
          <a:extLst>
            <a:ext uri="{FF2B5EF4-FFF2-40B4-BE49-F238E27FC236}">
              <a16:creationId xmlns:a16="http://schemas.microsoft.com/office/drawing/2014/main" id="{00000000-0008-0000-0F00-00007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6" name="AutoShape 1">
          <a:extLst>
            <a:ext uri="{FF2B5EF4-FFF2-40B4-BE49-F238E27FC236}">
              <a16:creationId xmlns:a16="http://schemas.microsoft.com/office/drawing/2014/main" id="{00000000-0008-0000-0F00-00007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7" name="AutoShape 1">
          <a:extLst>
            <a:ext uri="{FF2B5EF4-FFF2-40B4-BE49-F238E27FC236}">
              <a16:creationId xmlns:a16="http://schemas.microsoft.com/office/drawing/2014/main" id="{00000000-0008-0000-0F00-00007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8" name="AutoShape 1">
          <a:extLst>
            <a:ext uri="{FF2B5EF4-FFF2-40B4-BE49-F238E27FC236}">
              <a16:creationId xmlns:a16="http://schemas.microsoft.com/office/drawing/2014/main" id="{00000000-0008-0000-0F00-00007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29" name="AutoShape 1">
          <a:extLst>
            <a:ext uri="{FF2B5EF4-FFF2-40B4-BE49-F238E27FC236}">
              <a16:creationId xmlns:a16="http://schemas.microsoft.com/office/drawing/2014/main" id="{00000000-0008-0000-0F00-00007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0" name="AutoShape 1">
          <a:extLst>
            <a:ext uri="{FF2B5EF4-FFF2-40B4-BE49-F238E27FC236}">
              <a16:creationId xmlns:a16="http://schemas.microsoft.com/office/drawing/2014/main" id="{00000000-0008-0000-0F00-00007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1" name="AutoShape 1">
          <a:extLst>
            <a:ext uri="{FF2B5EF4-FFF2-40B4-BE49-F238E27FC236}">
              <a16:creationId xmlns:a16="http://schemas.microsoft.com/office/drawing/2014/main" id="{00000000-0008-0000-0F00-00007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2" name="AutoShape 1">
          <a:extLst>
            <a:ext uri="{FF2B5EF4-FFF2-40B4-BE49-F238E27FC236}">
              <a16:creationId xmlns:a16="http://schemas.microsoft.com/office/drawing/2014/main" id="{00000000-0008-0000-0F00-00007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3" name="AutoShape 1">
          <a:extLst>
            <a:ext uri="{FF2B5EF4-FFF2-40B4-BE49-F238E27FC236}">
              <a16:creationId xmlns:a16="http://schemas.microsoft.com/office/drawing/2014/main" id="{00000000-0008-0000-0F00-00007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4" name="AutoShape 1">
          <a:extLst>
            <a:ext uri="{FF2B5EF4-FFF2-40B4-BE49-F238E27FC236}">
              <a16:creationId xmlns:a16="http://schemas.microsoft.com/office/drawing/2014/main" id="{00000000-0008-0000-0F00-00007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5" name="AutoShape 1">
          <a:extLst>
            <a:ext uri="{FF2B5EF4-FFF2-40B4-BE49-F238E27FC236}">
              <a16:creationId xmlns:a16="http://schemas.microsoft.com/office/drawing/2014/main" id="{00000000-0008-0000-0F00-00007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6" name="AutoShape 1">
          <a:extLst>
            <a:ext uri="{FF2B5EF4-FFF2-40B4-BE49-F238E27FC236}">
              <a16:creationId xmlns:a16="http://schemas.microsoft.com/office/drawing/2014/main" id="{00000000-0008-0000-0F00-00008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7" name="AutoShape 1">
          <a:extLst>
            <a:ext uri="{FF2B5EF4-FFF2-40B4-BE49-F238E27FC236}">
              <a16:creationId xmlns:a16="http://schemas.microsoft.com/office/drawing/2014/main" id="{00000000-0008-0000-0F00-00008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8" name="AutoShape 1">
          <a:extLst>
            <a:ext uri="{FF2B5EF4-FFF2-40B4-BE49-F238E27FC236}">
              <a16:creationId xmlns:a16="http://schemas.microsoft.com/office/drawing/2014/main" id="{00000000-0008-0000-0F00-00008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39" name="AutoShape 1">
          <a:extLst>
            <a:ext uri="{FF2B5EF4-FFF2-40B4-BE49-F238E27FC236}">
              <a16:creationId xmlns:a16="http://schemas.microsoft.com/office/drawing/2014/main" id="{00000000-0008-0000-0F00-00008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0" name="AutoShape 1">
          <a:extLst>
            <a:ext uri="{FF2B5EF4-FFF2-40B4-BE49-F238E27FC236}">
              <a16:creationId xmlns:a16="http://schemas.microsoft.com/office/drawing/2014/main" id="{00000000-0008-0000-0F00-00008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1" name="AutoShape 1">
          <a:extLst>
            <a:ext uri="{FF2B5EF4-FFF2-40B4-BE49-F238E27FC236}">
              <a16:creationId xmlns:a16="http://schemas.microsoft.com/office/drawing/2014/main" id="{00000000-0008-0000-0F00-00008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2" name="AutoShape 1">
          <a:extLst>
            <a:ext uri="{FF2B5EF4-FFF2-40B4-BE49-F238E27FC236}">
              <a16:creationId xmlns:a16="http://schemas.microsoft.com/office/drawing/2014/main" id="{00000000-0008-0000-0F00-00008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3" name="AutoShape 1">
          <a:extLst>
            <a:ext uri="{FF2B5EF4-FFF2-40B4-BE49-F238E27FC236}">
              <a16:creationId xmlns:a16="http://schemas.microsoft.com/office/drawing/2014/main" id="{00000000-0008-0000-0F00-00008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4" name="AutoShape 1">
          <a:extLst>
            <a:ext uri="{FF2B5EF4-FFF2-40B4-BE49-F238E27FC236}">
              <a16:creationId xmlns:a16="http://schemas.microsoft.com/office/drawing/2014/main" id="{00000000-0008-0000-0F00-00008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5" name="AutoShape 1">
          <a:extLst>
            <a:ext uri="{FF2B5EF4-FFF2-40B4-BE49-F238E27FC236}">
              <a16:creationId xmlns:a16="http://schemas.microsoft.com/office/drawing/2014/main" id="{00000000-0008-0000-0F00-00008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6" name="AutoShape 1">
          <a:extLst>
            <a:ext uri="{FF2B5EF4-FFF2-40B4-BE49-F238E27FC236}">
              <a16:creationId xmlns:a16="http://schemas.microsoft.com/office/drawing/2014/main" id="{00000000-0008-0000-0F00-00008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7" name="AutoShape 1">
          <a:extLst>
            <a:ext uri="{FF2B5EF4-FFF2-40B4-BE49-F238E27FC236}">
              <a16:creationId xmlns:a16="http://schemas.microsoft.com/office/drawing/2014/main" id="{00000000-0008-0000-0F00-00008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8" name="AutoShape 1">
          <a:extLst>
            <a:ext uri="{FF2B5EF4-FFF2-40B4-BE49-F238E27FC236}">
              <a16:creationId xmlns:a16="http://schemas.microsoft.com/office/drawing/2014/main" id="{00000000-0008-0000-0F00-00008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49" name="AutoShape 1">
          <a:extLst>
            <a:ext uri="{FF2B5EF4-FFF2-40B4-BE49-F238E27FC236}">
              <a16:creationId xmlns:a16="http://schemas.microsoft.com/office/drawing/2014/main" id="{00000000-0008-0000-0F00-00008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0" name="AutoShape 1">
          <a:extLst>
            <a:ext uri="{FF2B5EF4-FFF2-40B4-BE49-F238E27FC236}">
              <a16:creationId xmlns:a16="http://schemas.microsoft.com/office/drawing/2014/main" id="{00000000-0008-0000-0F00-00008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1" name="AutoShape 1">
          <a:extLst>
            <a:ext uri="{FF2B5EF4-FFF2-40B4-BE49-F238E27FC236}">
              <a16:creationId xmlns:a16="http://schemas.microsoft.com/office/drawing/2014/main" id="{00000000-0008-0000-0F00-00008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2" name="AutoShape 1">
          <a:extLst>
            <a:ext uri="{FF2B5EF4-FFF2-40B4-BE49-F238E27FC236}">
              <a16:creationId xmlns:a16="http://schemas.microsoft.com/office/drawing/2014/main" id="{00000000-0008-0000-0F00-00009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3" name="AutoShape 1">
          <a:extLst>
            <a:ext uri="{FF2B5EF4-FFF2-40B4-BE49-F238E27FC236}">
              <a16:creationId xmlns:a16="http://schemas.microsoft.com/office/drawing/2014/main" id="{00000000-0008-0000-0F00-00009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4" name="AutoShape 1">
          <a:extLst>
            <a:ext uri="{FF2B5EF4-FFF2-40B4-BE49-F238E27FC236}">
              <a16:creationId xmlns:a16="http://schemas.microsoft.com/office/drawing/2014/main" id="{00000000-0008-0000-0F00-00009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5" name="AutoShape 1">
          <a:extLst>
            <a:ext uri="{FF2B5EF4-FFF2-40B4-BE49-F238E27FC236}">
              <a16:creationId xmlns:a16="http://schemas.microsoft.com/office/drawing/2014/main" id="{00000000-0008-0000-0F00-00009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6" name="AutoShape 1">
          <a:extLst>
            <a:ext uri="{FF2B5EF4-FFF2-40B4-BE49-F238E27FC236}">
              <a16:creationId xmlns:a16="http://schemas.microsoft.com/office/drawing/2014/main" id="{00000000-0008-0000-0F00-00009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533400</xdr:colOff>
      <xdr:row>28</xdr:row>
      <xdr:rowOff>0</xdr:rowOff>
    </xdr:from>
    <xdr:ext cx="304800" cy="304800"/>
    <xdr:sp macro="" textlink="">
      <xdr:nvSpPr>
        <xdr:cNvPr id="4757" name="AutoShape 1">
          <a:extLst>
            <a:ext uri="{FF2B5EF4-FFF2-40B4-BE49-F238E27FC236}">
              <a16:creationId xmlns:a16="http://schemas.microsoft.com/office/drawing/2014/main" id="{00000000-0008-0000-0F00-000095120000}"/>
            </a:ext>
          </a:extLst>
        </xdr:cNvPr>
        <xdr:cNvSpPr>
          <a:spLocks noChangeAspect="1" noChangeArrowheads="1"/>
        </xdr:cNvSpPr>
      </xdr:nvSpPr>
      <xdr:spPr bwMode="auto">
        <a:xfrm>
          <a:off x="3048000" y="745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8" name="AutoShape 1">
          <a:extLst>
            <a:ext uri="{FF2B5EF4-FFF2-40B4-BE49-F238E27FC236}">
              <a16:creationId xmlns:a16="http://schemas.microsoft.com/office/drawing/2014/main" id="{00000000-0008-0000-0F00-00009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59" name="AutoShape 1">
          <a:extLst>
            <a:ext uri="{FF2B5EF4-FFF2-40B4-BE49-F238E27FC236}">
              <a16:creationId xmlns:a16="http://schemas.microsoft.com/office/drawing/2014/main" id="{00000000-0008-0000-0F00-00009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0" name="AutoShape 1">
          <a:extLst>
            <a:ext uri="{FF2B5EF4-FFF2-40B4-BE49-F238E27FC236}">
              <a16:creationId xmlns:a16="http://schemas.microsoft.com/office/drawing/2014/main" id="{00000000-0008-0000-0F00-00009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1" name="AutoShape 1">
          <a:extLst>
            <a:ext uri="{FF2B5EF4-FFF2-40B4-BE49-F238E27FC236}">
              <a16:creationId xmlns:a16="http://schemas.microsoft.com/office/drawing/2014/main" id="{00000000-0008-0000-0F00-00009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2" name="AutoShape 1">
          <a:extLst>
            <a:ext uri="{FF2B5EF4-FFF2-40B4-BE49-F238E27FC236}">
              <a16:creationId xmlns:a16="http://schemas.microsoft.com/office/drawing/2014/main" id="{00000000-0008-0000-0F00-00009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3" name="AutoShape 1">
          <a:extLst>
            <a:ext uri="{FF2B5EF4-FFF2-40B4-BE49-F238E27FC236}">
              <a16:creationId xmlns:a16="http://schemas.microsoft.com/office/drawing/2014/main" id="{00000000-0008-0000-0F00-00009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4" name="AutoShape 1">
          <a:extLst>
            <a:ext uri="{FF2B5EF4-FFF2-40B4-BE49-F238E27FC236}">
              <a16:creationId xmlns:a16="http://schemas.microsoft.com/office/drawing/2014/main" id="{00000000-0008-0000-0F00-00009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5" name="AutoShape 1">
          <a:extLst>
            <a:ext uri="{FF2B5EF4-FFF2-40B4-BE49-F238E27FC236}">
              <a16:creationId xmlns:a16="http://schemas.microsoft.com/office/drawing/2014/main" id="{00000000-0008-0000-0F00-00009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6" name="AutoShape 1">
          <a:extLst>
            <a:ext uri="{FF2B5EF4-FFF2-40B4-BE49-F238E27FC236}">
              <a16:creationId xmlns:a16="http://schemas.microsoft.com/office/drawing/2014/main" id="{00000000-0008-0000-0F00-00009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7" name="AutoShape 1">
          <a:extLst>
            <a:ext uri="{FF2B5EF4-FFF2-40B4-BE49-F238E27FC236}">
              <a16:creationId xmlns:a16="http://schemas.microsoft.com/office/drawing/2014/main" id="{00000000-0008-0000-0F00-00009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8" name="AutoShape 1">
          <a:extLst>
            <a:ext uri="{FF2B5EF4-FFF2-40B4-BE49-F238E27FC236}">
              <a16:creationId xmlns:a16="http://schemas.microsoft.com/office/drawing/2014/main" id="{00000000-0008-0000-0F00-0000A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69" name="AutoShape 1">
          <a:extLst>
            <a:ext uri="{FF2B5EF4-FFF2-40B4-BE49-F238E27FC236}">
              <a16:creationId xmlns:a16="http://schemas.microsoft.com/office/drawing/2014/main" id="{00000000-0008-0000-0F00-0000A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0" name="AutoShape 1">
          <a:extLst>
            <a:ext uri="{FF2B5EF4-FFF2-40B4-BE49-F238E27FC236}">
              <a16:creationId xmlns:a16="http://schemas.microsoft.com/office/drawing/2014/main" id="{00000000-0008-0000-0F00-0000A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1" name="AutoShape 1">
          <a:extLst>
            <a:ext uri="{FF2B5EF4-FFF2-40B4-BE49-F238E27FC236}">
              <a16:creationId xmlns:a16="http://schemas.microsoft.com/office/drawing/2014/main" id="{00000000-0008-0000-0F00-0000A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2" name="AutoShape 1">
          <a:extLst>
            <a:ext uri="{FF2B5EF4-FFF2-40B4-BE49-F238E27FC236}">
              <a16:creationId xmlns:a16="http://schemas.microsoft.com/office/drawing/2014/main" id="{00000000-0008-0000-0F00-0000A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3" name="AutoShape 1">
          <a:extLst>
            <a:ext uri="{FF2B5EF4-FFF2-40B4-BE49-F238E27FC236}">
              <a16:creationId xmlns:a16="http://schemas.microsoft.com/office/drawing/2014/main" id="{00000000-0008-0000-0F00-0000A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4" name="AutoShape 1">
          <a:extLst>
            <a:ext uri="{FF2B5EF4-FFF2-40B4-BE49-F238E27FC236}">
              <a16:creationId xmlns:a16="http://schemas.microsoft.com/office/drawing/2014/main" id="{00000000-0008-0000-0F00-0000A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5" name="AutoShape 1">
          <a:extLst>
            <a:ext uri="{FF2B5EF4-FFF2-40B4-BE49-F238E27FC236}">
              <a16:creationId xmlns:a16="http://schemas.microsoft.com/office/drawing/2014/main" id="{00000000-0008-0000-0F00-0000A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6" name="AutoShape 1">
          <a:extLst>
            <a:ext uri="{FF2B5EF4-FFF2-40B4-BE49-F238E27FC236}">
              <a16:creationId xmlns:a16="http://schemas.microsoft.com/office/drawing/2014/main" id="{00000000-0008-0000-0F00-0000A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7" name="AutoShape 1">
          <a:extLst>
            <a:ext uri="{FF2B5EF4-FFF2-40B4-BE49-F238E27FC236}">
              <a16:creationId xmlns:a16="http://schemas.microsoft.com/office/drawing/2014/main" id="{00000000-0008-0000-0F00-0000A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8" name="AutoShape 1">
          <a:extLst>
            <a:ext uri="{FF2B5EF4-FFF2-40B4-BE49-F238E27FC236}">
              <a16:creationId xmlns:a16="http://schemas.microsoft.com/office/drawing/2014/main" id="{00000000-0008-0000-0F00-0000A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79" name="AutoShape 1">
          <a:extLst>
            <a:ext uri="{FF2B5EF4-FFF2-40B4-BE49-F238E27FC236}">
              <a16:creationId xmlns:a16="http://schemas.microsoft.com/office/drawing/2014/main" id="{00000000-0008-0000-0F00-0000A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0" name="AutoShape 1">
          <a:extLst>
            <a:ext uri="{FF2B5EF4-FFF2-40B4-BE49-F238E27FC236}">
              <a16:creationId xmlns:a16="http://schemas.microsoft.com/office/drawing/2014/main" id="{00000000-0008-0000-0F00-0000A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1" name="AutoShape 1">
          <a:extLst>
            <a:ext uri="{FF2B5EF4-FFF2-40B4-BE49-F238E27FC236}">
              <a16:creationId xmlns:a16="http://schemas.microsoft.com/office/drawing/2014/main" id="{00000000-0008-0000-0F00-0000A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2" name="AutoShape 1">
          <a:extLst>
            <a:ext uri="{FF2B5EF4-FFF2-40B4-BE49-F238E27FC236}">
              <a16:creationId xmlns:a16="http://schemas.microsoft.com/office/drawing/2014/main" id="{00000000-0008-0000-0F00-0000A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3" name="AutoShape 1">
          <a:extLst>
            <a:ext uri="{FF2B5EF4-FFF2-40B4-BE49-F238E27FC236}">
              <a16:creationId xmlns:a16="http://schemas.microsoft.com/office/drawing/2014/main" id="{00000000-0008-0000-0F00-0000A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4" name="AutoShape 1">
          <a:extLst>
            <a:ext uri="{FF2B5EF4-FFF2-40B4-BE49-F238E27FC236}">
              <a16:creationId xmlns:a16="http://schemas.microsoft.com/office/drawing/2014/main" id="{00000000-0008-0000-0F00-0000B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5" name="AutoShape 1">
          <a:extLst>
            <a:ext uri="{FF2B5EF4-FFF2-40B4-BE49-F238E27FC236}">
              <a16:creationId xmlns:a16="http://schemas.microsoft.com/office/drawing/2014/main" id="{00000000-0008-0000-0F00-0000B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6" name="AutoShape 1">
          <a:extLst>
            <a:ext uri="{FF2B5EF4-FFF2-40B4-BE49-F238E27FC236}">
              <a16:creationId xmlns:a16="http://schemas.microsoft.com/office/drawing/2014/main" id="{00000000-0008-0000-0F00-0000B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7" name="AutoShape 1">
          <a:extLst>
            <a:ext uri="{FF2B5EF4-FFF2-40B4-BE49-F238E27FC236}">
              <a16:creationId xmlns:a16="http://schemas.microsoft.com/office/drawing/2014/main" id="{00000000-0008-0000-0F00-0000B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8" name="AutoShape 1">
          <a:extLst>
            <a:ext uri="{FF2B5EF4-FFF2-40B4-BE49-F238E27FC236}">
              <a16:creationId xmlns:a16="http://schemas.microsoft.com/office/drawing/2014/main" id="{00000000-0008-0000-0F00-0000B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89" name="AutoShape 1">
          <a:extLst>
            <a:ext uri="{FF2B5EF4-FFF2-40B4-BE49-F238E27FC236}">
              <a16:creationId xmlns:a16="http://schemas.microsoft.com/office/drawing/2014/main" id="{00000000-0008-0000-0F00-0000B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0" name="AutoShape 1">
          <a:extLst>
            <a:ext uri="{FF2B5EF4-FFF2-40B4-BE49-F238E27FC236}">
              <a16:creationId xmlns:a16="http://schemas.microsoft.com/office/drawing/2014/main" id="{00000000-0008-0000-0F00-0000B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1" name="AutoShape 1">
          <a:extLst>
            <a:ext uri="{FF2B5EF4-FFF2-40B4-BE49-F238E27FC236}">
              <a16:creationId xmlns:a16="http://schemas.microsoft.com/office/drawing/2014/main" id="{00000000-0008-0000-0F00-0000B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2" name="AutoShape 1">
          <a:extLst>
            <a:ext uri="{FF2B5EF4-FFF2-40B4-BE49-F238E27FC236}">
              <a16:creationId xmlns:a16="http://schemas.microsoft.com/office/drawing/2014/main" id="{00000000-0008-0000-0F00-0000B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3" name="AutoShape 1">
          <a:extLst>
            <a:ext uri="{FF2B5EF4-FFF2-40B4-BE49-F238E27FC236}">
              <a16:creationId xmlns:a16="http://schemas.microsoft.com/office/drawing/2014/main" id="{00000000-0008-0000-0F00-0000B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4" name="AutoShape 1">
          <a:extLst>
            <a:ext uri="{FF2B5EF4-FFF2-40B4-BE49-F238E27FC236}">
              <a16:creationId xmlns:a16="http://schemas.microsoft.com/office/drawing/2014/main" id="{00000000-0008-0000-0F00-0000B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5" name="AutoShape 1">
          <a:extLst>
            <a:ext uri="{FF2B5EF4-FFF2-40B4-BE49-F238E27FC236}">
              <a16:creationId xmlns:a16="http://schemas.microsoft.com/office/drawing/2014/main" id="{00000000-0008-0000-0F00-0000B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6" name="AutoShape 1">
          <a:extLst>
            <a:ext uri="{FF2B5EF4-FFF2-40B4-BE49-F238E27FC236}">
              <a16:creationId xmlns:a16="http://schemas.microsoft.com/office/drawing/2014/main" id="{00000000-0008-0000-0F00-0000B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7" name="AutoShape 1">
          <a:extLst>
            <a:ext uri="{FF2B5EF4-FFF2-40B4-BE49-F238E27FC236}">
              <a16:creationId xmlns:a16="http://schemas.microsoft.com/office/drawing/2014/main" id="{00000000-0008-0000-0F00-0000B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8" name="AutoShape 1">
          <a:extLst>
            <a:ext uri="{FF2B5EF4-FFF2-40B4-BE49-F238E27FC236}">
              <a16:creationId xmlns:a16="http://schemas.microsoft.com/office/drawing/2014/main" id="{00000000-0008-0000-0F00-0000B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799" name="AutoShape 1">
          <a:extLst>
            <a:ext uri="{FF2B5EF4-FFF2-40B4-BE49-F238E27FC236}">
              <a16:creationId xmlns:a16="http://schemas.microsoft.com/office/drawing/2014/main" id="{00000000-0008-0000-0F00-0000B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0" name="AutoShape 1">
          <a:extLst>
            <a:ext uri="{FF2B5EF4-FFF2-40B4-BE49-F238E27FC236}">
              <a16:creationId xmlns:a16="http://schemas.microsoft.com/office/drawing/2014/main" id="{00000000-0008-0000-0F00-0000C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1" name="AutoShape 1">
          <a:extLst>
            <a:ext uri="{FF2B5EF4-FFF2-40B4-BE49-F238E27FC236}">
              <a16:creationId xmlns:a16="http://schemas.microsoft.com/office/drawing/2014/main" id="{00000000-0008-0000-0F00-0000C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2" name="AutoShape 1">
          <a:extLst>
            <a:ext uri="{FF2B5EF4-FFF2-40B4-BE49-F238E27FC236}">
              <a16:creationId xmlns:a16="http://schemas.microsoft.com/office/drawing/2014/main" id="{00000000-0008-0000-0F00-0000C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3" name="AutoShape 1">
          <a:extLst>
            <a:ext uri="{FF2B5EF4-FFF2-40B4-BE49-F238E27FC236}">
              <a16:creationId xmlns:a16="http://schemas.microsoft.com/office/drawing/2014/main" id="{00000000-0008-0000-0F00-0000C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4" name="AutoShape 1">
          <a:extLst>
            <a:ext uri="{FF2B5EF4-FFF2-40B4-BE49-F238E27FC236}">
              <a16:creationId xmlns:a16="http://schemas.microsoft.com/office/drawing/2014/main" id="{00000000-0008-0000-0F00-0000C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5" name="AutoShape 1">
          <a:extLst>
            <a:ext uri="{FF2B5EF4-FFF2-40B4-BE49-F238E27FC236}">
              <a16:creationId xmlns:a16="http://schemas.microsoft.com/office/drawing/2014/main" id="{00000000-0008-0000-0F00-0000C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6" name="AutoShape 1">
          <a:extLst>
            <a:ext uri="{FF2B5EF4-FFF2-40B4-BE49-F238E27FC236}">
              <a16:creationId xmlns:a16="http://schemas.microsoft.com/office/drawing/2014/main" id="{00000000-0008-0000-0F00-0000C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7" name="AutoShape 1">
          <a:extLst>
            <a:ext uri="{FF2B5EF4-FFF2-40B4-BE49-F238E27FC236}">
              <a16:creationId xmlns:a16="http://schemas.microsoft.com/office/drawing/2014/main" id="{00000000-0008-0000-0F00-0000C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8" name="AutoShape 1">
          <a:extLst>
            <a:ext uri="{FF2B5EF4-FFF2-40B4-BE49-F238E27FC236}">
              <a16:creationId xmlns:a16="http://schemas.microsoft.com/office/drawing/2014/main" id="{00000000-0008-0000-0F00-0000C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09" name="AutoShape 1">
          <a:extLst>
            <a:ext uri="{FF2B5EF4-FFF2-40B4-BE49-F238E27FC236}">
              <a16:creationId xmlns:a16="http://schemas.microsoft.com/office/drawing/2014/main" id="{00000000-0008-0000-0F00-0000C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0" name="AutoShape 1">
          <a:extLst>
            <a:ext uri="{FF2B5EF4-FFF2-40B4-BE49-F238E27FC236}">
              <a16:creationId xmlns:a16="http://schemas.microsoft.com/office/drawing/2014/main" id="{00000000-0008-0000-0F00-0000C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1" name="AutoShape 1">
          <a:extLst>
            <a:ext uri="{FF2B5EF4-FFF2-40B4-BE49-F238E27FC236}">
              <a16:creationId xmlns:a16="http://schemas.microsoft.com/office/drawing/2014/main" id="{00000000-0008-0000-0F00-0000C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2" name="AutoShape 1">
          <a:extLst>
            <a:ext uri="{FF2B5EF4-FFF2-40B4-BE49-F238E27FC236}">
              <a16:creationId xmlns:a16="http://schemas.microsoft.com/office/drawing/2014/main" id="{00000000-0008-0000-0F00-0000C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3" name="AutoShape 1">
          <a:extLst>
            <a:ext uri="{FF2B5EF4-FFF2-40B4-BE49-F238E27FC236}">
              <a16:creationId xmlns:a16="http://schemas.microsoft.com/office/drawing/2014/main" id="{00000000-0008-0000-0F00-0000C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4" name="AutoShape 1">
          <a:extLst>
            <a:ext uri="{FF2B5EF4-FFF2-40B4-BE49-F238E27FC236}">
              <a16:creationId xmlns:a16="http://schemas.microsoft.com/office/drawing/2014/main" id="{00000000-0008-0000-0F00-0000C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5" name="AutoShape 1">
          <a:extLst>
            <a:ext uri="{FF2B5EF4-FFF2-40B4-BE49-F238E27FC236}">
              <a16:creationId xmlns:a16="http://schemas.microsoft.com/office/drawing/2014/main" id="{00000000-0008-0000-0F00-0000C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6" name="AutoShape 1">
          <a:extLst>
            <a:ext uri="{FF2B5EF4-FFF2-40B4-BE49-F238E27FC236}">
              <a16:creationId xmlns:a16="http://schemas.microsoft.com/office/drawing/2014/main" id="{00000000-0008-0000-0F00-0000D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7" name="AutoShape 1">
          <a:extLst>
            <a:ext uri="{FF2B5EF4-FFF2-40B4-BE49-F238E27FC236}">
              <a16:creationId xmlns:a16="http://schemas.microsoft.com/office/drawing/2014/main" id="{00000000-0008-0000-0F00-0000D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8" name="AutoShape 1">
          <a:extLst>
            <a:ext uri="{FF2B5EF4-FFF2-40B4-BE49-F238E27FC236}">
              <a16:creationId xmlns:a16="http://schemas.microsoft.com/office/drawing/2014/main" id="{00000000-0008-0000-0F00-0000D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19" name="AutoShape 1">
          <a:extLst>
            <a:ext uri="{FF2B5EF4-FFF2-40B4-BE49-F238E27FC236}">
              <a16:creationId xmlns:a16="http://schemas.microsoft.com/office/drawing/2014/main" id="{00000000-0008-0000-0F00-0000D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0" name="AutoShape 1">
          <a:extLst>
            <a:ext uri="{FF2B5EF4-FFF2-40B4-BE49-F238E27FC236}">
              <a16:creationId xmlns:a16="http://schemas.microsoft.com/office/drawing/2014/main" id="{00000000-0008-0000-0F00-0000D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1" name="AutoShape 1">
          <a:extLst>
            <a:ext uri="{FF2B5EF4-FFF2-40B4-BE49-F238E27FC236}">
              <a16:creationId xmlns:a16="http://schemas.microsoft.com/office/drawing/2014/main" id="{00000000-0008-0000-0F00-0000D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2" name="AutoShape 1">
          <a:extLst>
            <a:ext uri="{FF2B5EF4-FFF2-40B4-BE49-F238E27FC236}">
              <a16:creationId xmlns:a16="http://schemas.microsoft.com/office/drawing/2014/main" id="{00000000-0008-0000-0F00-0000D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3" name="AutoShape 1">
          <a:extLst>
            <a:ext uri="{FF2B5EF4-FFF2-40B4-BE49-F238E27FC236}">
              <a16:creationId xmlns:a16="http://schemas.microsoft.com/office/drawing/2014/main" id="{00000000-0008-0000-0F00-0000D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4" name="AutoShape 1">
          <a:extLst>
            <a:ext uri="{FF2B5EF4-FFF2-40B4-BE49-F238E27FC236}">
              <a16:creationId xmlns:a16="http://schemas.microsoft.com/office/drawing/2014/main" id="{00000000-0008-0000-0F00-0000D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5" name="AutoShape 1">
          <a:extLst>
            <a:ext uri="{FF2B5EF4-FFF2-40B4-BE49-F238E27FC236}">
              <a16:creationId xmlns:a16="http://schemas.microsoft.com/office/drawing/2014/main" id="{00000000-0008-0000-0F00-0000D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6" name="AutoShape 1">
          <a:extLst>
            <a:ext uri="{FF2B5EF4-FFF2-40B4-BE49-F238E27FC236}">
              <a16:creationId xmlns:a16="http://schemas.microsoft.com/office/drawing/2014/main" id="{00000000-0008-0000-0F00-0000D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7" name="AutoShape 1">
          <a:extLst>
            <a:ext uri="{FF2B5EF4-FFF2-40B4-BE49-F238E27FC236}">
              <a16:creationId xmlns:a16="http://schemas.microsoft.com/office/drawing/2014/main" id="{00000000-0008-0000-0F00-0000D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8" name="AutoShape 1">
          <a:extLst>
            <a:ext uri="{FF2B5EF4-FFF2-40B4-BE49-F238E27FC236}">
              <a16:creationId xmlns:a16="http://schemas.microsoft.com/office/drawing/2014/main" id="{00000000-0008-0000-0F00-0000D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29" name="AutoShape 1">
          <a:extLst>
            <a:ext uri="{FF2B5EF4-FFF2-40B4-BE49-F238E27FC236}">
              <a16:creationId xmlns:a16="http://schemas.microsoft.com/office/drawing/2014/main" id="{00000000-0008-0000-0F00-0000D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0" name="AutoShape 1">
          <a:extLst>
            <a:ext uri="{FF2B5EF4-FFF2-40B4-BE49-F238E27FC236}">
              <a16:creationId xmlns:a16="http://schemas.microsoft.com/office/drawing/2014/main" id="{00000000-0008-0000-0F00-0000D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1" name="AutoShape 1">
          <a:extLst>
            <a:ext uri="{FF2B5EF4-FFF2-40B4-BE49-F238E27FC236}">
              <a16:creationId xmlns:a16="http://schemas.microsoft.com/office/drawing/2014/main" id="{00000000-0008-0000-0F00-0000D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2" name="AutoShape 1">
          <a:extLst>
            <a:ext uri="{FF2B5EF4-FFF2-40B4-BE49-F238E27FC236}">
              <a16:creationId xmlns:a16="http://schemas.microsoft.com/office/drawing/2014/main" id="{00000000-0008-0000-0F00-0000E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3" name="AutoShape 1">
          <a:extLst>
            <a:ext uri="{FF2B5EF4-FFF2-40B4-BE49-F238E27FC236}">
              <a16:creationId xmlns:a16="http://schemas.microsoft.com/office/drawing/2014/main" id="{00000000-0008-0000-0F00-0000E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4" name="AutoShape 1">
          <a:extLst>
            <a:ext uri="{FF2B5EF4-FFF2-40B4-BE49-F238E27FC236}">
              <a16:creationId xmlns:a16="http://schemas.microsoft.com/office/drawing/2014/main" id="{00000000-0008-0000-0F00-0000E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5" name="AutoShape 1">
          <a:extLst>
            <a:ext uri="{FF2B5EF4-FFF2-40B4-BE49-F238E27FC236}">
              <a16:creationId xmlns:a16="http://schemas.microsoft.com/office/drawing/2014/main" id="{00000000-0008-0000-0F00-0000E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6" name="AutoShape 1">
          <a:extLst>
            <a:ext uri="{FF2B5EF4-FFF2-40B4-BE49-F238E27FC236}">
              <a16:creationId xmlns:a16="http://schemas.microsoft.com/office/drawing/2014/main" id="{00000000-0008-0000-0F00-0000E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7" name="AutoShape 1">
          <a:extLst>
            <a:ext uri="{FF2B5EF4-FFF2-40B4-BE49-F238E27FC236}">
              <a16:creationId xmlns:a16="http://schemas.microsoft.com/office/drawing/2014/main" id="{00000000-0008-0000-0F00-0000E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8" name="AutoShape 1">
          <a:extLst>
            <a:ext uri="{FF2B5EF4-FFF2-40B4-BE49-F238E27FC236}">
              <a16:creationId xmlns:a16="http://schemas.microsoft.com/office/drawing/2014/main" id="{00000000-0008-0000-0F00-0000E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39" name="AutoShape 1">
          <a:extLst>
            <a:ext uri="{FF2B5EF4-FFF2-40B4-BE49-F238E27FC236}">
              <a16:creationId xmlns:a16="http://schemas.microsoft.com/office/drawing/2014/main" id="{00000000-0008-0000-0F00-0000E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0" name="AutoShape 1">
          <a:extLst>
            <a:ext uri="{FF2B5EF4-FFF2-40B4-BE49-F238E27FC236}">
              <a16:creationId xmlns:a16="http://schemas.microsoft.com/office/drawing/2014/main" id="{00000000-0008-0000-0F00-0000E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1" name="AutoShape 1">
          <a:extLst>
            <a:ext uri="{FF2B5EF4-FFF2-40B4-BE49-F238E27FC236}">
              <a16:creationId xmlns:a16="http://schemas.microsoft.com/office/drawing/2014/main" id="{00000000-0008-0000-0F00-0000E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2" name="AutoShape 1">
          <a:extLst>
            <a:ext uri="{FF2B5EF4-FFF2-40B4-BE49-F238E27FC236}">
              <a16:creationId xmlns:a16="http://schemas.microsoft.com/office/drawing/2014/main" id="{00000000-0008-0000-0F00-0000E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3" name="AutoShape 1">
          <a:extLst>
            <a:ext uri="{FF2B5EF4-FFF2-40B4-BE49-F238E27FC236}">
              <a16:creationId xmlns:a16="http://schemas.microsoft.com/office/drawing/2014/main" id="{00000000-0008-0000-0F00-0000E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4" name="AutoShape 1">
          <a:extLst>
            <a:ext uri="{FF2B5EF4-FFF2-40B4-BE49-F238E27FC236}">
              <a16:creationId xmlns:a16="http://schemas.microsoft.com/office/drawing/2014/main" id="{00000000-0008-0000-0F00-0000E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5" name="AutoShape 1">
          <a:extLst>
            <a:ext uri="{FF2B5EF4-FFF2-40B4-BE49-F238E27FC236}">
              <a16:creationId xmlns:a16="http://schemas.microsoft.com/office/drawing/2014/main" id="{00000000-0008-0000-0F00-0000E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6" name="AutoShape 1">
          <a:extLst>
            <a:ext uri="{FF2B5EF4-FFF2-40B4-BE49-F238E27FC236}">
              <a16:creationId xmlns:a16="http://schemas.microsoft.com/office/drawing/2014/main" id="{00000000-0008-0000-0F00-0000E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7" name="AutoShape 1">
          <a:extLst>
            <a:ext uri="{FF2B5EF4-FFF2-40B4-BE49-F238E27FC236}">
              <a16:creationId xmlns:a16="http://schemas.microsoft.com/office/drawing/2014/main" id="{00000000-0008-0000-0F00-0000E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8" name="AutoShape 1">
          <a:extLst>
            <a:ext uri="{FF2B5EF4-FFF2-40B4-BE49-F238E27FC236}">
              <a16:creationId xmlns:a16="http://schemas.microsoft.com/office/drawing/2014/main" id="{00000000-0008-0000-0F00-0000F0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49" name="AutoShape 1">
          <a:extLst>
            <a:ext uri="{FF2B5EF4-FFF2-40B4-BE49-F238E27FC236}">
              <a16:creationId xmlns:a16="http://schemas.microsoft.com/office/drawing/2014/main" id="{00000000-0008-0000-0F00-0000F1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0" name="AutoShape 1">
          <a:extLst>
            <a:ext uri="{FF2B5EF4-FFF2-40B4-BE49-F238E27FC236}">
              <a16:creationId xmlns:a16="http://schemas.microsoft.com/office/drawing/2014/main" id="{00000000-0008-0000-0F00-0000F2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1" name="AutoShape 1">
          <a:extLst>
            <a:ext uri="{FF2B5EF4-FFF2-40B4-BE49-F238E27FC236}">
              <a16:creationId xmlns:a16="http://schemas.microsoft.com/office/drawing/2014/main" id="{00000000-0008-0000-0F00-0000F3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2" name="AutoShape 1">
          <a:extLst>
            <a:ext uri="{FF2B5EF4-FFF2-40B4-BE49-F238E27FC236}">
              <a16:creationId xmlns:a16="http://schemas.microsoft.com/office/drawing/2014/main" id="{00000000-0008-0000-0F00-0000F4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3" name="AutoShape 1">
          <a:extLst>
            <a:ext uri="{FF2B5EF4-FFF2-40B4-BE49-F238E27FC236}">
              <a16:creationId xmlns:a16="http://schemas.microsoft.com/office/drawing/2014/main" id="{00000000-0008-0000-0F00-0000F5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4" name="AutoShape 1">
          <a:extLst>
            <a:ext uri="{FF2B5EF4-FFF2-40B4-BE49-F238E27FC236}">
              <a16:creationId xmlns:a16="http://schemas.microsoft.com/office/drawing/2014/main" id="{00000000-0008-0000-0F00-0000F6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5" name="AutoShape 1">
          <a:extLst>
            <a:ext uri="{FF2B5EF4-FFF2-40B4-BE49-F238E27FC236}">
              <a16:creationId xmlns:a16="http://schemas.microsoft.com/office/drawing/2014/main" id="{00000000-0008-0000-0F00-0000F7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6" name="AutoShape 1">
          <a:extLst>
            <a:ext uri="{FF2B5EF4-FFF2-40B4-BE49-F238E27FC236}">
              <a16:creationId xmlns:a16="http://schemas.microsoft.com/office/drawing/2014/main" id="{00000000-0008-0000-0F00-0000F8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7" name="AutoShape 1">
          <a:extLst>
            <a:ext uri="{FF2B5EF4-FFF2-40B4-BE49-F238E27FC236}">
              <a16:creationId xmlns:a16="http://schemas.microsoft.com/office/drawing/2014/main" id="{00000000-0008-0000-0F00-0000F9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8" name="AutoShape 1">
          <a:extLst>
            <a:ext uri="{FF2B5EF4-FFF2-40B4-BE49-F238E27FC236}">
              <a16:creationId xmlns:a16="http://schemas.microsoft.com/office/drawing/2014/main" id="{00000000-0008-0000-0F00-0000FA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59" name="AutoShape 1">
          <a:extLst>
            <a:ext uri="{FF2B5EF4-FFF2-40B4-BE49-F238E27FC236}">
              <a16:creationId xmlns:a16="http://schemas.microsoft.com/office/drawing/2014/main" id="{00000000-0008-0000-0F00-0000FB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0" name="AutoShape 1">
          <a:extLst>
            <a:ext uri="{FF2B5EF4-FFF2-40B4-BE49-F238E27FC236}">
              <a16:creationId xmlns:a16="http://schemas.microsoft.com/office/drawing/2014/main" id="{00000000-0008-0000-0F00-0000FC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1" name="AutoShape 1">
          <a:extLst>
            <a:ext uri="{FF2B5EF4-FFF2-40B4-BE49-F238E27FC236}">
              <a16:creationId xmlns:a16="http://schemas.microsoft.com/office/drawing/2014/main" id="{00000000-0008-0000-0F00-0000FD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2" name="AutoShape 1">
          <a:extLst>
            <a:ext uri="{FF2B5EF4-FFF2-40B4-BE49-F238E27FC236}">
              <a16:creationId xmlns:a16="http://schemas.microsoft.com/office/drawing/2014/main" id="{00000000-0008-0000-0F00-0000FE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3" name="AutoShape 1">
          <a:extLst>
            <a:ext uri="{FF2B5EF4-FFF2-40B4-BE49-F238E27FC236}">
              <a16:creationId xmlns:a16="http://schemas.microsoft.com/office/drawing/2014/main" id="{00000000-0008-0000-0F00-0000FF12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4" name="AutoShape 1">
          <a:extLst>
            <a:ext uri="{FF2B5EF4-FFF2-40B4-BE49-F238E27FC236}">
              <a16:creationId xmlns:a16="http://schemas.microsoft.com/office/drawing/2014/main" id="{00000000-0008-0000-0F00-00000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5" name="AutoShape 1">
          <a:extLst>
            <a:ext uri="{FF2B5EF4-FFF2-40B4-BE49-F238E27FC236}">
              <a16:creationId xmlns:a16="http://schemas.microsoft.com/office/drawing/2014/main" id="{00000000-0008-0000-0F00-00000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6" name="AutoShape 1">
          <a:extLst>
            <a:ext uri="{FF2B5EF4-FFF2-40B4-BE49-F238E27FC236}">
              <a16:creationId xmlns:a16="http://schemas.microsoft.com/office/drawing/2014/main" id="{00000000-0008-0000-0F00-00000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7" name="AutoShape 1">
          <a:extLst>
            <a:ext uri="{FF2B5EF4-FFF2-40B4-BE49-F238E27FC236}">
              <a16:creationId xmlns:a16="http://schemas.microsoft.com/office/drawing/2014/main" id="{00000000-0008-0000-0F00-00000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8" name="AutoShape 1">
          <a:extLst>
            <a:ext uri="{FF2B5EF4-FFF2-40B4-BE49-F238E27FC236}">
              <a16:creationId xmlns:a16="http://schemas.microsoft.com/office/drawing/2014/main" id="{00000000-0008-0000-0F00-00000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69" name="AutoShape 1">
          <a:extLst>
            <a:ext uri="{FF2B5EF4-FFF2-40B4-BE49-F238E27FC236}">
              <a16:creationId xmlns:a16="http://schemas.microsoft.com/office/drawing/2014/main" id="{00000000-0008-0000-0F00-00000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0" name="AutoShape 1">
          <a:extLst>
            <a:ext uri="{FF2B5EF4-FFF2-40B4-BE49-F238E27FC236}">
              <a16:creationId xmlns:a16="http://schemas.microsoft.com/office/drawing/2014/main" id="{00000000-0008-0000-0F00-00000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1" name="AutoShape 1">
          <a:extLst>
            <a:ext uri="{FF2B5EF4-FFF2-40B4-BE49-F238E27FC236}">
              <a16:creationId xmlns:a16="http://schemas.microsoft.com/office/drawing/2014/main" id="{00000000-0008-0000-0F00-00000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2" name="AutoShape 1">
          <a:extLst>
            <a:ext uri="{FF2B5EF4-FFF2-40B4-BE49-F238E27FC236}">
              <a16:creationId xmlns:a16="http://schemas.microsoft.com/office/drawing/2014/main" id="{00000000-0008-0000-0F00-00000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3" name="AutoShape 1">
          <a:extLst>
            <a:ext uri="{FF2B5EF4-FFF2-40B4-BE49-F238E27FC236}">
              <a16:creationId xmlns:a16="http://schemas.microsoft.com/office/drawing/2014/main" id="{00000000-0008-0000-0F00-00000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4" name="AutoShape 1">
          <a:extLst>
            <a:ext uri="{FF2B5EF4-FFF2-40B4-BE49-F238E27FC236}">
              <a16:creationId xmlns:a16="http://schemas.microsoft.com/office/drawing/2014/main" id="{00000000-0008-0000-0F00-00000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5" name="AutoShape 1">
          <a:extLst>
            <a:ext uri="{FF2B5EF4-FFF2-40B4-BE49-F238E27FC236}">
              <a16:creationId xmlns:a16="http://schemas.microsoft.com/office/drawing/2014/main" id="{00000000-0008-0000-0F00-00000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6" name="AutoShape 1">
          <a:extLst>
            <a:ext uri="{FF2B5EF4-FFF2-40B4-BE49-F238E27FC236}">
              <a16:creationId xmlns:a16="http://schemas.microsoft.com/office/drawing/2014/main" id="{00000000-0008-0000-0F00-00000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7" name="AutoShape 1">
          <a:extLst>
            <a:ext uri="{FF2B5EF4-FFF2-40B4-BE49-F238E27FC236}">
              <a16:creationId xmlns:a16="http://schemas.microsoft.com/office/drawing/2014/main" id="{00000000-0008-0000-0F00-00000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8" name="AutoShape 1">
          <a:extLst>
            <a:ext uri="{FF2B5EF4-FFF2-40B4-BE49-F238E27FC236}">
              <a16:creationId xmlns:a16="http://schemas.microsoft.com/office/drawing/2014/main" id="{00000000-0008-0000-0F00-00000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79" name="AutoShape 1">
          <a:extLst>
            <a:ext uri="{FF2B5EF4-FFF2-40B4-BE49-F238E27FC236}">
              <a16:creationId xmlns:a16="http://schemas.microsoft.com/office/drawing/2014/main" id="{00000000-0008-0000-0F00-00000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0" name="AutoShape 1">
          <a:extLst>
            <a:ext uri="{FF2B5EF4-FFF2-40B4-BE49-F238E27FC236}">
              <a16:creationId xmlns:a16="http://schemas.microsoft.com/office/drawing/2014/main" id="{00000000-0008-0000-0F00-00001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1" name="AutoShape 1">
          <a:extLst>
            <a:ext uri="{FF2B5EF4-FFF2-40B4-BE49-F238E27FC236}">
              <a16:creationId xmlns:a16="http://schemas.microsoft.com/office/drawing/2014/main" id="{00000000-0008-0000-0F00-00001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2" name="AutoShape 1">
          <a:extLst>
            <a:ext uri="{FF2B5EF4-FFF2-40B4-BE49-F238E27FC236}">
              <a16:creationId xmlns:a16="http://schemas.microsoft.com/office/drawing/2014/main" id="{00000000-0008-0000-0F00-00001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3" name="AutoShape 1">
          <a:extLst>
            <a:ext uri="{FF2B5EF4-FFF2-40B4-BE49-F238E27FC236}">
              <a16:creationId xmlns:a16="http://schemas.microsoft.com/office/drawing/2014/main" id="{00000000-0008-0000-0F00-00001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4" name="AutoShape 1">
          <a:extLst>
            <a:ext uri="{FF2B5EF4-FFF2-40B4-BE49-F238E27FC236}">
              <a16:creationId xmlns:a16="http://schemas.microsoft.com/office/drawing/2014/main" id="{00000000-0008-0000-0F00-00001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5" name="AutoShape 1">
          <a:extLst>
            <a:ext uri="{FF2B5EF4-FFF2-40B4-BE49-F238E27FC236}">
              <a16:creationId xmlns:a16="http://schemas.microsoft.com/office/drawing/2014/main" id="{00000000-0008-0000-0F00-00001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6" name="AutoShape 1">
          <a:extLst>
            <a:ext uri="{FF2B5EF4-FFF2-40B4-BE49-F238E27FC236}">
              <a16:creationId xmlns:a16="http://schemas.microsoft.com/office/drawing/2014/main" id="{00000000-0008-0000-0F00-00001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7" name="AutoShape 1">
          <a:extLst>
            <a:ext uri="{FF2B5EF4-FFF2-40B4-BE49-F238E27FC236}">
              <a16:creationId xmlns:a16="http://schemas.microsoft.com/office/drawing/2014/main" id="{00000000-0008-0000-0F00-00001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8" name="AutoShape 1">
          <a:extLst>
            <a:ext uri="{FF2B5EF4-FFF2-40B4-BE49-F238E27FC236}">
              <a16:creationId xmlns:a16="http://schemas.microsoft.com/office/drawing/2014/main" id="{00000000-0008-0000-0F00-00001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89" name="AutoShape 1">
          <a:extLst>
            <a:ext uri="{FF2B5EF4-FFF2-40B4-BE49-F238E27FC236}">
              <a16:creationId xmlns:a16="http://schemas.microsoft.com/office/drawing/2014/main" id="{00000000-0008-0000-0F00-00001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0" name="AutoShape 1">
          <a:extLst>
            <a:ext uri="{FF2B5EF4-FFF2-40B4-BE49-F238E27FC236}">
              <a16:creationId xmlns:a16="http://schemas.microsoft.com/office/drawing/2014/main" id="{00000000-0008-0000-0F00-00001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1" name="AutoShape 1">
          <a:extLst>
            <a:ext uri="{FF2B5EF4-FFF2-40B4-BE49-F238E27FC236}">
              <a16:creationId xmlns:a16="http://schemas.microsoft.com/office/drawing/2014/main" id="{00000000-0008-0000-0F00-00001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2" name="AutoShape 1">
          <a:extLst>
            <a:ext uri="{FF2B5EF4-FFF2-40B4-BE49-F238E27FC236}">
              <a16:creationId xmlns:a16="http://schemas.microsoft.com/office/drawing/2014/main" id="{00000000-0008-0000-0F00-00001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3" name="AutoShape 1">
          <a:extLst>
            <a:ext uri="{FF2B5EF4-FFF2-40B4-BE49-F238E27FC236}">
              <a16:creationId xmlns:a16="http://schemas.microsoft.com/office/drawing/2014/main" id="{00000000-0008-0000-0F00-00001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4" name="AutoShape 1">
          <a:extLst>
            <a:ext uri="{FF2B5EF4-FFF2-40B4-BE49-F238E27FC236}">
              <a16:creationId xmlns:a16="http://schemas.microsoft.com/office/drawing/2014/main" id="{00000000-0008-0000-0F00-00001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5" name="AutoShape 1">
          <a:extLst>
            <a:ext uri="{FF2B5EF4-FFF2-40B4-BE49-F238E27FC236}">
              <a16:creationId xmlns:a16="http://schemas.microsoft.com/office/drawing/2014/main" id="{00000000-0008-0000-0F00-00001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6" name="AutoShape 1">
          <a:extLst>
            <a:ext uri="{FF2B5EF4-FFF2-40B4-BE49-F238E27FC236}">
              <a16:creationId xmlns:a16="http://schemas.microsoft.com/office/drawing/2014/main" id="{00000000-0008-0000-0F00-00002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7" name="AutoShape 1">
          <a:extLst>
            <a:ext uri="{FF2B5EF4-FFF2-40B4-BE49-F238E27FC236}">
              <a16:creationId xmlns:a16="http://schemas.microsoft.com/office/drawing/2014/main" id="{00000000-0008-0000-0F00-00002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8" name="AutoShape 1">
          <a:extLst>
            <a:ext uri="{FF2B5EF4-FFF2-40B4-BE49-F238E27FC236}">
              <a16:creationId xmlns:a16="http://schemas.microsoft.com/office/drawing/2014/main" id="{00000000-0008-0000-0F00-00002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899" name="AutoShape 1">
          <a:extLst>
            <a:ext uri="{FF2B5EF4-FFF2-40B4-BE49-F238E27FC236}">
              <a16:creationId xmlns:a16="http://schemas.microsoft.com/office/drawing/2014/main" id="{00000000-0008-0000-0F00-00002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0" name="AutoShape 1">
          <a:extLst>
            <a:ext uri="{FF2B5EF4-FFF2-40B4-BE49-F238E27FC236}">
              <a16:creationId xmlns:a16="http://schemas.microsoft.com/office/drawing/2014/main" id="{00000000-0008-0000-0F00-00002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1" name="AutoShape 1">
          <a:extLst>
            <a:ext uri="{FF2B5EF4-FFF2-40B4-BE49-F238E27FC236}">
              <a16:creationId xmlns:a16="http://schemas.microsoft.com/office/drawing/2014/main" id="{00000000-0008-0000-0F00-00002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2" name="AutoShape 1">
          <a:extLst>
            <a:ext uri="{FF2B5EF4-FFF2-40B4-BE49-F238E27FC236}">
              <a16:creationId xmlns:a16="http://schemas.microsoft.com/office/drawing/2014/main" id="{00000000-0008-0000-0F00-00002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3" name="AutoShape 1">
          <a:extLst>
            <a:ext uri="{FF2B5EF4-FFF2-40B4-BE49-F238E27FC236}">
              <a16:creationId xmlns:a16="http://schemas.microsoft.com/office/drawing/2014/main" id="{00000000-0008-0000-0F00-00002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4" name="AutoShape 1">
          <a:extLst>
            <a:ext uri="{FF2B5EF4-FFF2-40B4-BE49-F238E27FC236}">
              <a16:creationId xmlns:a16="http://schemas.microsoft.com/office/drawing/2014/main" id="{00000000-0008-0000-0F00-00002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5" name="AutoShape 1">
          <a:extLst>
            <a:ext uri="{FF2B5EF4-FFF2-40B4-BE49-F238E27FC236}">
              <a16:creationId xmlns:a16="http://schemas.microsoft.com/office/drawing/2014/main" id="{00000000-0008-0000-0F00-00002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6" name="AutoShape 1">
          <a:extLst>
            <a:ext uri="{FF2B5EF4-FFF2-40B4-BE49-F238E27FC236}">
              <a16:creationId xmlns:a16="http://schemas.microsoft.com/office/drawing/2014/main" id="{00000000-0008-0000-0F00-00002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7" name="AutoShape 1">
          <a:extLst>
            <a:ext uri="{FF2B5EF4-FFF2-40B4-BE49-F238E27FC236}">
              <a16:creationId xmlns:a16="http://schemas.microsoft.com/office/drawing/2014/main" id="{00000000-0008-0000-0F00-00002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8" name="AutoShape 1">
          <a:extLst>
            <a:ext uri="{FF2B5EF4-FFF2-40B4-BE49-F238E27FC236}">
              <a16:creationId xmlns:a16="http://schemas.microsoft.com/office/drawing/2014/main" id="{00000000-0008-0000-0F00-00002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09" name="AutoShape 1">
          <a:extLst>
            <a:ext uri="{FF2B5EF4-FFF2-40B4-BE49-F238E27FC236}">
              <a16:creationId xmlns:a16="http://schemas.microsoft.com/office/drawing/2014/main" id="{00000000-0008-0000-0F00-00002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0" name="AutoShape 1">
          <a:extLst>
            <a:ext uri="{FF2B5EF4-FFF2-40B4-BE49-F238E27FC236}">
              <a16:creationId xmlns:a16="http://schemas.microsoft.com/office/drawing/2014/main" id="{00000000-0008-0000-0F00-00002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1" name="AutoShape 1">
          <a:extLst>
            <a:ext uri="{FF2B5EF4-FFF2-40B4-BE49-F238E27FC236}">
              <a16:creationId xmlns:a16="http://schemas.microsoft.com/office/drawing/2014/main" id="{00000000-0008-0000-0F00-00002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2" name="AutoShape 1">
          <a:extLst>
            <a:ext uri="{FF2B5EF4-FFF2-40B4-BE49-F238E27FC236}">
              <a16:creationId xmlns:a16="http://schemas.microsoft.com/office/drawing/2014/main" id="{00000000-0008-0000-0F00-00003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3" name="AutoShape 1">
          <a:extLst>
            <a:ext uri="{FF2B5EF4-FFF2-40B4-BE49-F238E27FC236}">
              <a16:creationId xmlns:a16="http://schemas.microsoft.com/office/drawing/2014/main" id="{00000000-0008-0000-0F00-00003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4" name="AutoShape 1">
          <a:extLst>
            <a:ext uri="{FF2B5EF4-FFF2-40B4-BE49-F238E27FC236}">
              <a16:creationId xmlns:a16="http://schemas.microsoft.com/office/drawing/2014/main" id="{00000000-0008-0000-0F00-00003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5" name="AutoShape 1">
          <a:extLst>
            <a:ext uri="{FF2B5EF4-FFF2-40B4-BE49-F238E27FC236}">
              <a16:creationId xmlns:a16="http://schemas.microsoft.com/office/drawing/2014/main" id="{00000000-0008-0000-0F00-00003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6" name="AutoShape 1">
          <a:extLst>
            <a:ext uri="{FF2B5EF4-FFF2-40B4-BE49-F238E27FC236}">
              <a16:creationId xmlns:a16="http://schemas.microsoft.com/office/drawing/2014/main" id="{00000000-0008-0000-0F00-00003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7" name="AutoShape 1">
          <a:extLst>
            <a:ext uri="{FF2B5EF4-FFF2-40B4-BE49-F238E27FC236}">
              <a16:creationId xmlns:a16="http://schemas.microsoft.com/office/drawing/2014/main" id="{00000000-0008-0000-0F00-00003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8" name="AutoShape 1">
          <a:extLst>
            <a:ext uri="{FF2B5EF4-FFF2-40B4-BE49-F238E27FC236}">
              <a16:creationId xmlns:a16="http://schemas.microsoft.com/office/drawing/2014/main" id="{00000000-0008-0000-0F00-00003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19" name="AutoShape 1">
          <a:extLst>
            <a:ext uri="{FF2B5EF4-FFF2-40B4-BE49-F238E27FC236}">
              <a16:creationId xmlns:a16="http://schemas.microsoft.com/office/drawing/2014/main" id="{00000000-0008-0000-0F00-00003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0" name="AutoShape 1">
          <a:extLst>
            <a:ext uri="{FF2B5EF4-FFF2-40B4-BE49-F238E27FC236}">
              <a16:creationId xmlns:a16="http://schemas.microsoft.com/office/drawing/2014/main" id="{00000000-0008-0000-0F00-00003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1" name="AutoShape 1">
          <a:extLst>
            <a:ext uri="{FF2B5EF4-FFF2-40B4-BE49-F238E27FC236}">
              <a16:creationId xmlns:a16="http://schemas.microsoft.com/office/drawing/2014/main" id="{00000000-0008-0000-0F00-00003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2" name="AutoShape 1">
          <a:extLst>
            <a:ext uri="{FF2B5EF4-FFF2-40B4-BE49-F238E27FC236}">
              <a16:creationId xmlns:a16="http://schemas.microsoft.com/office/drawing/2014/main" id="{00000000-0008-0000-0F00-00003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3" name="AutoShape 1">
          <a:extLst>
            <a:ext uri="{FF2B5EF4-FFF2-40B4-BE49-F238E27FC236}">
              <a16:creationId xmlns:a16="http://schemas.microsoft.com/office/drawing/2014/main" id="{00000000-0008-0000-0F00-00003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4" name="AutoShape 1">
          <a:extLst>
            <a:ext uri="{FF2B5EF4-FFF2-40B4-BE49-F238E27FC236}">
              <a16:creationId xmlns:a16="http://schemas.microsoft.com/office/drawing/2014/main" id="{00000000-0008-0000-0F00-00003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5" name="AutoShape 1">
          <a:extLst>
            <a:ext uri="{FF2B5EF4-FFF2-40B4-BE49-F238E27FC236}">
              <a16:creationId xmlns:a16="http://schemas.microsoft.com/office/drawing/2014/main" id="{00000000-0008-0000-0F00-00003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6" name="AutoShape 1">
          <a:extLst>
            <a:ext uri="{FF2B5EF4-FFF2-40B4-BE49-F238E27FC236}">
              <a16:creationId xmlns:a16="http://schemas.microsoft.com/office/drawing/2014/main" id="{00000000-0008-0000-0F00-00003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7" name="AutoShape 1">
          <a:extLst>
            <a:ext uri="{FF2B5EF4-FFF2-40B4-BE49-F238E27FC236}">
              <a16:creationId xmlns:a16="http://schemas.microsoft.com/office/drawing/2014/main" id="{00000000-0008-0000-0F00-00003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8" name="AutoShape 1">
          <a:extLst>
            <a:ext uri="{FF2B5EF4-FFF2-40B4-BE49-F238E27FC236}">
              <a16:creationId xmlns:a16="http://schemas.microsoft.com/office/drawing/2014/main" id="{00000000-0008-0000-0F00-00004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29" name="AutoShape 1">
          <a:extLst>
            <a:ext uri="{FF2B5EF4-FFF2-40B4-BE49-F238E27FC236}">
              <a16:creationId xmlns:a16="http://schemas.microsoft.com/office/drawing/2014/main" id="{00000000-0008-0000-0F00-00004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0" name="AutoShape 1">
          <a:extLst>
            <a:ext uri="{FF2B5EF4-FFF2-40B4-BE49-F238E27FC236}">
              <a16:creationId xmlns:a16="http://schemas.microsoft.com/office/drawing/2014/main" id="{00000000-0008-0000-0F00-00004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1" name="AutoShape 1">
          <a:extLst>
            <a:ext uri="{FF2B5EF4-FFF2-40B4-BE49-F238E27FC236}">
              <a16:creationId xmlns:a16="http://schemas.microsoft.com/office/drawing/2014/main" id="{00000000-0008-0000-0F00-00004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2" name="AutoShape 1">
          <a:extLst>
            <a:ext uri="{FF2B5EF4-FFF2-40B4-BE49-F238E27FC236}">
              <a16:creationId xmlns:a16="http://schemas.microsoft.com/office/drawing/2014/main" id="{00000000-0008-0000-0F00-00004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3" name="AutoShape 1">
          <a:extLst>
            <a:ext uri="{FF2B5EF4-FFF2-40B4-BE49-F238E27FC236}">
              <a16:creationId xmlns:a16="http://schemas.microsoft.com/office/drawing/2014/main" id="{00000000-0008-0000-0F00-00004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4" name="AutoShape 1">
          <a:extLst>
            <a:ext uri="{FF2B5EF4-FFF2-40B4-BE49-F238E27FC236}">
              <a16:creationId xmlns:a16="http://schemas.microsoft.com/office/drawing/2014/main" id="{00000000-0008-0000-0F00-00004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5" name="AutoShape 1">
          <a:extLst>
            <a:ext uri="{FF2B5EF4-FFF2-40B4-BE49-F238E27FC236}">
              <a16:creationId xmlns:a16="http://schemas.microsoft.com/office/drawing/2014/main" id="{00000000-0008-0000-0F00-00004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6" name="AutoShape 1">
          <a:extLst>
            <a:ext uri="{FF2B5EF4-FFF2-40B4-BE49-F238E27FC236}">
              <a16:creationId xmlns:a16="http://schemas.microsoft.com/office/drawing/2014/main" id="{00000000-0008-0000-0F00-00004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7" name="AutoShape 1">
          <a:extLst>
            <a:ext uri="{FF2B5EF4-FFF2-40B4-BE49-F238E27FC236}">
              <a16:creationId xmlns:a16="http://schemas.microsoft.com/office/drawing/2014/main" id="{00000000-0008-0000-0F00-00004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8" name="AutoShape 1">
          <a:extLst>
            <a:ext uri="{FF2B5EF4-FFF2-40B4-BE49-F238E27FC236}">
              <a16:creationId xmlns:a16="http://schemas.microsoft.com/office/drawing/2014/main" id="{00000000-0008-0000-0F00-00004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39" name="AutoShape 1">
          <a:extLst>
            <a:ext uri="{FF2B5EF4-FFF2-40B4-BE49-F238E27FC236}">
              <a16:creationId xmlns:a16="http://schemas.microsoft.com/office/drawing/2014/main" id="{00000000-0008-0000-0F00-00004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0" name="AutoShape 1">
          <a:extLst>
            <a:ext uri="{FF2B5EF4-FFF2-40B4-BE49-F238E27FC236}">
              <a16:creationId xmlns:a16="http://schemas.microsoft.com/office/drawing/2014/main" id="{00000000-0008-0000-0F00-00004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1" name="AutoShape 1">
          <a:extLst>
            <a:ext uri="{FF2B5EF4-FFF2-40B4-BE49-F238E27FC236}">
              <a16:creationId xmlns:a16="http://schemas.microsoft.com/office/drawing/2014/main" id="{00000000-0008-0000-0F00-00004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2" name="AutoShape 1">
          <a:extLst>
            <a:ext uri="{FF2B5EF4-FFF2-40B4-BE49-F238E27FC236}">
              <a16:creationId xmlns:a16="http://schemas.microsoft.com/office/drawing/2014/main" id="{00000000-0008-0000-0F00-00004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3" name="AutoShape 1">
          <a:extLst>
            <a:ext uri="{FF2B5EF4-FFF2-40B4-BE49-F238E27FC236}">
              <a16:creationId xmlns:a16="http://schemas.microsoft.com/office/drawing/2014/main" id="{00000000-0008-0000-0F00-00004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4" name="AutoShape 1">
          <a:extLst>
            <a:ext uri="{FF2B5EF4-FFF2-40B4-BE49-F238E27FC236}">
              <a16:creationId xmlns:a16="http://schemas.microsoft.com/office/drawing/2014/main" id="{00000000-0008-0000-0F00-00005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5" name="AutoShape 1">
          <a:extLst>
            <a:ext uri="{FF2B5EF4-FFF2-40B4-BE49-F238E27FC236}">
              <a16:creationId xmlns:a16="http://schemas.microsoft.com/office/drawing/2014/main" id="{00000000-0008-0000-0F00-00005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6" name="AutoShape 1">
          <a:extLst>
            <a:ext uri="{FF2B5EF4-FFF2-40B4-BE49-F238E27FC236}">
              <a16:creationId xmlns:a16="http://schemas.microsoft.com/office/drawing/2014/main" id="{00000000-0008-0000-0F00-00005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7" name="AutoShape 1">
          <a:extLst>
            <a:ext uri="{FF2B5EF4-FFF2-40B4-BE49-F238E27FC236}">
              <a16:creationId xmlns:a16="http://schemas.microsoft.com/office/drawing/2014/main" id="{00000000-0008-0000-0F00-00005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8" name="AutoShape 1">
          <a:extLst>
            <a:ext uri="{FF2B5EF4-FFF2-40B4-BE49-F238E27FC236}">
              <a16:creationId xmlns:a16="http://schemas.microsoft.com/office/drawing/2014/main" id="{00000000-0008-0000-0F00-00005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49" name="AutoShape 1">
          <a:extLst>
            <a:ext uri="{FF2B5EF4-FFF2-40B4-BE49-F238E27FC236}">
              <a16:creationId xmlns:a16="http://schemas.microsoft.com/office/drawing/2014/main" id="{00000000-0008-0000-0F00-00005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0" name="AutoShape 1">
          <a:extLst>
            <a:ext uri="{FF2B5EF4-FFF2-40B4-BE49-F238E27FC236}">
              <a16:creationId xmlns:a16="http://schemas.microsoft.com/office/drawing/2014/main" id="{00000000-0008-0000-0F00-00005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1" name="AutoShape 1">
          <a:extLst>
            <a:ext uri="{FF2B5EF4-FFF2-40B4-BE49-F238E27FC236}">
              <a16:creationId xmlns:a16="http://schemas.microsoft.com/office/drawing/2014/main" id="{00000000-0008-0000-0F00-00005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2" name="AutoShape 1">
          <a:extLst>
            <a:ext uri="{FF2B5EF4-FFF2-40B4-BE49-F238E27FC236}">
              <a16:creationId xmlns:a16="http://schemas.microsoft.com/office/drawing/2014/main" id="{00000000-0008-0000-0F00-00005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3" name="AutoShape 1">
          <a:extLst>
            <a:ext uri="{FF2B5EF4-FFF2-40B4-BE49-F238E27FC236}">
              <a16:creationId xmlns:a16="http://schemas.microsoft.com/office/drawing/2014/main" id="{00000000-0008-0000-0F00-00005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4" name="AutoShape 1">
          <a:extLst>
            <a:ext uri="{FF2B5EF4-FFF2-40B4-BE49-F238E27FC236}">
              <a16:creationId xmlns:a16="http://schemas.microsoft.com/office/drawing/2014/main" id="{00000000-0008-0000-0F00-00005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5" name="AutoShape 1">
          <a:extLst>
            <a:ext uri="{FF2B5EF4-FFF2-40B4-BE49-F238E27FC236}">
              <a16:creationId xmlns:a16="http://schemas.microsoft.com/office/drawing/2014/main" id="{00000000-0008-0000-0F00-00005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6" name="AutoShape 1">
          <a:extLst>
            <a:ext uri="{FF2B5EF4-FFF2-40B4-BE49-F238E27FC236}">
              <a16:creationId xmlns:a16="http://schemas.microsoft.com/office/drawing/2014/main" id="{00000000-0008-0000-0F00-00005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7" name="AutoShape 1">
          <a:extLst>
            <a:ext uri="{FF2B5EF4-FFF2-40B4-BE49-F238E27FC236}">
              <a16:creationId xmlns:a16="http://schemas.microsoft.com/office/drawing/2014/main" id="{00000000-0008-0000-0F00-00005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8" name="AutoShape 1">
          <a:extLst>
            <a:ext uri="{FF2B5EF4-FFF2-40B4-BE49-F238E27FC236}">
              <a16:creationId xmlns:a16="http://schemas.microsoft.com/office/drawing/2014/main" id="{00000000-0008-0000-0F00-00005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59" name="AutoShape 1">
          <a:extLst>
            <a:ext uri="{FF2B5EF4-FFF2-40B4-BE49-F238E27FC236}">
              <a16:creationId xmlns:a16="http://schemas.microsoft.com/office/drawing/2014/main" id="{00000000-0008-0000-0F00-00005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0" name="AutoShape 1">
          <a:extLst>
            <a:ext uri="{FF2B5EF4-FFF2-40B4-BE49-F238E27FC236}">
              <a16:creationId xmlns:a16="http://schemas.microsoft.com/office/drawing/2014/main" id="{00000000-0008-0000-0F00-00006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1" name="AutoShape 1">
          <a:extLst>
            <a:ext uri="{FF2B5EF4-FFF2-40B4-BE49-F238E27FC236}">
              <a16:creationId xmlns:a16="http://schemas.microsoft.com/office/drawing/2014/main" id="{00000000-0008-0000-0F00-00006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2" name="AutoShape 1">
          <a:extLst>
            <a:ext uri="{FF2B5EF4-FFF2-40B4-BE49-F238E27FC236}">
              <a16:creationId xmlns:a16="http://schemas.microsoft.com/office/drawing/2014/main" id="{00000000-0008-0000-0F00-00006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3" name="AutoShape 1">
          <a:extLst>
            <a:ext uri="{FF2B5EF4-FFF2-40B4-BE49-F238E27FC236}">
              <a16:creationId xmlns:a16="http://schemas.microsoft.com/office/drawing/2014/main" id="{00000000-0008-0000-0F00-00006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4" name="AutoShape 1">
          <a:extLst>
            <a:ext uri="{FF2B5EF4-FFF2-40B4-BE49-F238E27FC236}">
              <a16:creationId xmlns:a16="http://schemas.microsoft.com/office/drawing/2014/main" id="{00000000-0008-0000-0F00-00006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5" name="AutoShape 1">
          <a:extLst>
            <a:ext uri="{FF2B5EF4-FFF2-40B4-BE49-F238E27FC236}">
              <a16:creationId xmlns:a16="http://schemas.microsoft.com/office/drawing/2014/main" id="{00000000-0008-0000-0F00-00006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6" name="AutoShape 1">
          <a:extLst>
            <a:ext uri="{FF2B5EF4-FFF2-40B4-BE49-F238E27FC236}">
              <a16:creationId xmlns:a16="http://schemas.microsoft.com/office/drawing/2014/main" id="{00000000-0008-0000-0F00-00006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7" name="AutoShape 1">
          <a:extLst>
            <a:ext uri="{FF2B5EF4-FFF2-40B4-BE49-F238E27FC236}">
              <a16:creationId xmlns:a16="http://schemas.microsoft.com/office/drawing/2014/main" id="{00000000-0008-0000-0F00-00006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8" name="AutoShape 1">
          <a:extLst>
            <a:ext uri="{FF2B5EF4-FFF2-40B4-BE49-F238E27FC236}">
              <a16:creationId xmlns:a16="http://schemas.microsoft.com/office/drawing/2014/main" id="{00000000-0008-0000-0F00-00006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69" name="AutoShape 1">
          <a:extLst>
            <a:ext uri="{FF2B5EF4-FFF2-40B4-BE49-F238E27FC236}">
              <a16:creationId xmlns:a16="http://schemas.microsoft.com/office/drawing/2014/main" id="{00000000-0008-0000-0F00-00006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0" name="AutoShape 1">
          <a:extLst>
            <a:ext uri="{FF2B5EF4-FFF2-40B4-BE49-F238E27FC236}">
              <a16:creationId xmlns:a16="http://schemas.microsoft.com/office/drawing/2014/main" id="{00000000-0008-0000-0F00-00006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1" name="AutoShape 1">
          <a:extLst>
            <a:ext uri="{FF2B5EF4-FFF2-40B4-BE49-F238E27FC236}">
              <a16:creationId xmlns:a16="http://schemas.microsoft.com/office/drawing/2014/main" id="{00000000-0008-0000-0F00-00006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2" name="AutoShape 1">
          <a:extLst>
            <a:ext uri="{FF2B5EF4-FFF2-40B4-BE49-F238E27FC236}">
              <a16:creationId xmlns:a16="http://schemas.microsoft.com/office/drawing/2014/main" id="{00000000-0008-0000-0F00-00006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3" name="AutoShape 1">
          <a:extLst>
            <a:ext uri="{FF2B5EF4-FFF2-40B4-BE49-F238E27FC236}">
              <a16:creationId xmlns:a16="http://schemas.microsoft.com/office/drawing/2014/main" id="{00000000-0008-0000-0F00-00006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4" name="AutoShape 1">
          <a:extLst>
            <a:ext uri="{FF2B5EF4-FFF2-40B4-BE49-F238E27FC236}">
              <a16:creationId xmlns:a16="http://schemas.microsoft.com/office/drawing/2014/main" id="{00000000-0008-0000-0F00-00006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5" name="AutoShape 1">
          <a:extLst>
            <a:ext uri="{FF2B5EF4-FFF2-40B4-BE49-F238E27FC236}">
              <a16:creationId xmlns:a16="http://schemas.microsoft.com/office/drawing/2014/main" id="{00000000-0008-0000-0F00-00006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6" name="AutoShape 1">
          <a:extLst>
            <a:ext uri="{FF2B5EF4-FFF2-40B4-BE49-F238E27FC236}">
              <a16:creationId xmlns:a16="http://schemas.microsoft.com/office/drawing/2014/main" id="{00000000-0008-0000-0F00-00007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7" name="AutoShape 1">
          <a:extLst>
            <a:ext uri="{FF2B5EF4-FFF2-40B4-BE49-F238E27FC236}">
              <a16:creationId xmlns:a16="http://schemas.microsoft.com/office/drawing/2014/main" id="{00000000-0008-0000-0F00-00007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8" name="AutoShape 1">
          <a:extLst>
            <a:ext uri="{FF2B5EF4-FFF2-40B4-BE49-F238E27FC236}">
              <a16:creationId xmlns:a16="http://schemas.microsoft.com/office/drawing/2014/main" id="{00000000-0008-0000-0F00-00007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79" name="AutoShape 1">
          <a:extLst>
            <a:ext uri="{FF2B5EF4-FFF2-40B4-BE49-F238E27FC236}">
              <a16:creationId xmlns:a16="http://schemas.microsoft.com/office/drawing/2014/main" id="{00000000-0008-0000-0F00-00007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0" name="AutoShape 1">
          <a:extLst>
            <a:ext uri="{FF2B5EF4-FFF2-40B4-BE49-F238E27FC236}">
              <a16:creationId xmlns:a16="http://schemas.microsoft.com/office/drawing/2014/main" id="{00000000-0008-0000-0F00-00007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1" name="AutoShape 1">
          <a:extLst>
            <a:ext uri="{FF2B5EF4-FFF2-40B4-BE49-F238E27FC236}">
              <a16:creationId xmlns:a16="http://schemas.microsoft.com/office/drawing/2014/main" id="{00000000-0008-0000-0F00-00007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2" name="AutoShape 1">
          <a:extLst>
            <a:ext uri="{FF2B5EF4-FFF2-40B4-BE49-F238E27FC236}">
              <a16:creationId xmlns:a16="http://schemas.microsoft.com/office/drawing/2014/main" id="{00000000-0008-0000-0F00-00007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3" name="AutoShape 1">
          <a:extLst>
            <a:ext uri="{FF2B5EF4-FFF2-40B4-BE49-F238E27FC236}">
              <a16:creationId xmlns:a16="http://schemas.microsoft.com/office/drawing/2014/main" id="{00000000-0008-0000-0F00-00007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4" name="AutoShape 1">
          <a:extLst>
            <a:ext uri="{FF2B5EF4-FFF2-40B4-BE49-F238E27FC236}">
              <a16:creationId xmlns:a16="http://schemas.microsoft.com/office/drawing/2014/main" id="{00000000-0008-0000-0F00-00007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5" name="AutoShape 1">
          <a:extLst>
            <a:ext uri="{FF2B5EF4-FFF2-40B4-BE49-F238E27FC236}">
              <a16:creationId xmlns:a16="http://schemas.microsoft.com/office/drawing/2014/main" id="{00000000-0008-0000-0F00-00007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6" name="AutoShape 1">
          <a:extLst>
            <a:ext uri="{FF2B5EF4-FFF2-40B4-BE49-F238E27FC236}">
              <a16:creationId xmlns:a16="http://schemas.microsoft.com/office/drawing/2014/main" id="{00000000-0008-0000-0F00-00007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7" name="AutoShape 1">
          <a:extLst>
            <a:ext uri="{FF2B5EF4-FFF2-40B4-BE49-F238E27FC236}">
              <a16:creationId xmlns:a16="http://schemas.microsoft.com/office/drawing/2014/main" id="{00000000-0008-0000-0F00-00007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8" name="AutoShape 1">
          <a:extLst>
            <a:ext uri="{FF2B5EF4-FFF2-40B4-BE49-F238E27FC236}">
              <a16:creationId xmlns:a16="http://schemas.microsoft.com/office/drawing/2014/main" id="{00000000-0008-0000-0F00-00007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89" name="AutoShape 1">
          <a:extLst>
            <a:ext uri="{FF2B5EF4-FFF2-40B4-BE49-F238E27FC236}">
              <a16:creationId xmlns:a16="http://schemas.microsoft.com/office/drawing/2014/main" id="{00000000-0008-0000-0F00-00007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0" name="AutoShape 1">
          <a:extLst>
            <a:ext uri="{FF2B5EF4-FFF2-40B4-BE49-F238E27FC236}">
              <a16:creationId xmlns:a16="http://schemas.microsoft.com/office/drawing/2014/main" id="{00000000-0008-0000-0F00-00007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1" name="AutoShape 1">
          <a:extLst>
            <a:ext uri="{FF2B5EF4-FFF2-40B4-BE49-F238E27FC236}">
              <a16:creationId xmlns:a16="http://schemas.microsoft.com/office/drawing/2014/main" id="{00000000-0008-0000-0F00-00007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2" name="AutoShape 1">
          <a:extLst>
            <a:ext uri="{FF2B5EF4-FFF2-40B4-BE49-F238E27FC236}">
              <a16:creationId xmlns:a16="http://schemas.microsoft.com/office/drawing/2014/main" id="{00000000-0008-0000-0F00-00008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3" name="AutoShape 1">
          <a:extLst>
            <a:ext uri="{FF2B5EF4-FFF2-40B4-BE49-F238E27FC236}">
              <a16:creationId xmlns:a16="http://schemas.microsoft.com/office/drawing/2014/main" id="{00000000-0008-0000-0F00-00008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4" name="AutoShape 1">
          <a:extLst>
            <a:ext uri="{FF2B5EF4-FFF2-40B4-BE49-F238E27FC236}">
              <a16:creationId xmlns:a16="http://schemas.microsoft.com/office/drawing/2014/main" id="{00000000-0008-0000-0F00-00008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5" name="AutoShape 1">
          <a:extLst>
            <a:ext uri="{FF2B5EF4-FFF2-40B4-BE49-F238E27FC236}">
              <a16:creationId xmlns:a16="http://schemas.microsoft.com/office/drawing/2014/main" id="{00000000-0008-0000-0F00-00008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6" name="AutoShape 1">
          <a:extLst>
            <a:ext uri="{FF2B5EF4-FFF2-40B4-BE49-F238E27FC236}">
              <a16:creationId xmlns:a16="http://schemas.microsoft.com/office/drawing/2014/main" id="{00000000-0008-0000-0F00-00008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7" name="AutoShape 1">
          <a:extLst>
            <a:ext uri="{FF2B5EF4-FFF2-40B4-BE49-F238E27FC236}">
              <a16:creationId xmlns:a16="http://schemas.microsoft.com/office/drawing/2014/main" id="{00000000-0008-0000-0F00-00008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8" name="AutoShape 1">
          <a:extLst>
            <a:ext uri="{FF2B5EF4-FFF2-40B4-BE49-F238E27FC236}">
              <a16:creationId xmlns:a16="http://schemas.microsoft.com/office/drawing/2014/main" id="{00000000-0008-0000-0F00-00008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4999" name="AutoShape 1">
          <a:extLst>
            <a:ext uri="{FF2B5EF4-FFF2-40B4-BE49-F238E27FC236}">
              <a16:creationId xmlns:a16="http://schemas.microsoft.com/office/drawing/2014/main" id="{00000000-0008-0000-0F00-00008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0" name="AutoShape 1">
          <a:extLst>
            <a:ext uri="{FF2B5EF4-FFF2-40B4-BE49-F238E27FC236}">
              <a16:creationId xmlns:a16="http://schemas.microsoft.com/office/drawing/2014/main" id="{00000000-0008-0000-0F00-00008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1" name="AutoShape 1">
          <a:extLst>
            <a:ext uri="{FF2B5EF4-FFF2-40B4-BE49-F238E27FC236}">
              <a16:creationId xmlns:a16="http://schemas.microsoft.com/office/drawing/2014/main" id="{00000000-0008-0000-0F00-00008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2" name="AutoShape 1">
          <a:extLst>
            <a:ext uri="{FF2B5EF4-FFF2-40B4-BE49-F238E27FC236}">
              <a16:creationId xmlns:a16="http://schemas.microsoft.com/office/drawing/2014/main" id="{00000000-0008-0000-0F00-00008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3" name="AutoShape 1">
          <a:extLst>
            <a:ext uri="{FF2B5EF4-FFF2-40B4-BE49-F238E27FC236}">
              <a16:creationId xmlns:a16="http://schemas.microsoft.com/office/drawing/2014/main" id="{00000000-0008-0000-0F00-00008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4" name="AutoShape 1">
          <a:extLst>
            <a:ext uri="{FF2B5EF4-FFF2-40B4-BE49-F238E27FC236}">
              <a16:creationId xmlns:a16="http://schemas.microsoft.com/office/drawing/2014/main" id="{00000000-0008-0000-0F00-00008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5" name="AutoShape 1">
          <a:extLst>
            <a:ext uri="{FF2B5EF4-FFF2-40B4-BE49-F238E27FC236}">
              <a16:creationId xmlns:a16="http://schemas.microsoft.com/office/drawing/2014/main" id="{00000000-0008-0000-0F00-00008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6" name="AutoShape 1">
          <a:extLst>
            <a:ext uri="{FF2B5EF4-FFF2-40B4-BE49-F238E27FC236}">
              <a16:creationId xmlns:a16="http://schemas.microsoft.com/office/drawing/2014/main" id="{00000000-0008-0000-0F00-00008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7" name="AutoShape 1">
          <a:extLst>
            <a:ext uri="{FF2B5EF4-FFF2-40B4-BE49-F238E27FC236}">
              <a16:creationId xmlns:a16="http://schemas.microsoft.com/office/drawing/2014/main" id="{00000000-0008-0000-0F00-00008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8" name="AutoShape 1">
          <a:extLst>
            <a:ext uri="{FF2B5EF4-FFF2-40B4-BE49-F238E27FC236}">
              <a16:creationId xmlns:a16="http://schemas.microsoft.com/office/drawing/2014/main" id="{00000000-0008-0000-0F00-00009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09" name="AutoShape 1">
          <a:extLst>
            <a:ext uri="{FF2B5EF4-FFF2-40B4-BE49-F238E27FC236}">
              <a16:creationId xmlns:a16="http://schemas.microsoft.com/office/drawing/2014/main" id="{00000000-0008-0000-0F00-00009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0" name="AutoShape 1">
          <a:extLst>
            <a:ext uri="{FF2B5EF4-FFF2-40B4-BE49-F238E27FC236}">
              <a16:creationId xmlns:a16="http://schemas.microsoft.com/office/drawing/2014/main" id="{00000000-0008-0000-0F00-00009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1" name="AutoShape 1">
          <a:extLst>
            <a:ext uri="{FF2B5EF4-FFF2-40B4-BE49-F238E27FC236}">
              <a16:creationId xmlns:a16="http://schemas.microsoft.com/office/drawing/2014/main" id="{00000000-0008-0000-0F00-00009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2" name="AutoShape 1">
          <a:extLst>
            <a:ext uri="{FF2B5EF4-FFF2-40B4-BE49-F238E27FC236}">
              <a16:creationId xmlns:a16="http://schemas.microsoft.com/office/drawing/2014/main" id="{00000000-0008-0000-0F00-00009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3" name="AutoShape 1">
          <a:extLst>
            <a:ext uri="{FF2B5EF4-FFF2-40B4-BE49-F238E27FC236}">
              <a16:creationId xmlns:a16="http://schemas.microsoft.com/office/drawing/2014/main" id="{00000000-0008-0000-0F00-00009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4" name="AutoShape 1">
          <a:extLst>
            <a:ext uri="{FF2B5EF4-FFF2-40B4-BE49-F238E27FC236}">
              <a16:creationId xmlns:a16="http://schemas.microsoft.com/office/drawing/2014/main" id="{00000000-0008-0000-0F00-00009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5" name="AutoShape 1">
          <a:extLst>
            <a:ext uri="{FF2B5EF4-FFF2-40B4-BE49-F238E27FC236}">
              <a16:creationId xmlns:a16="http://schemas.microsoft.com/office/drawing/2014/main" id="{00000000-0008-0000-0F00-00009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6" name="AutoShape 1">
          <a:extLst>
            <a:ext uri="{FF2B5EF4-FFF2-40B4-BE49-F238E27FC236}">
              <a16:creationId xmlns:a16="http://schemas.microsoft.com/office/drawing/2014/main" id="{00000000-0008-0000-0F00-00009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7" name="AutoShape 1">
          <a:extLst>
            <a:ext uri="{FF2B5EF4-FFF2-40B4-BE49-F238E27FC236}">
              <a16:creationId xmlns:a16="http://schemas.microsoft.com/office/drawing/2014/main" id="{00000000-0008-0000-0F00-00009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8" name="AutoShape 1">
          <a:extLst>
            <a:ext uri="{FF2B5EF4-FFF2-40B4-BE49-F238E27FC236}">
              <a16:creationId xmlns:a16="http://schemas.microsoft.com/office/drawing/2014/main" id="{00000000-0008-0000-0F00-00009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19" name="AutoShape 1">
          <a:extLst>
            <a:ext uri="{FF2B5EF4-FFF2-40B4-BE49-F238E27FC236}">
              <a16:creationId xmlns:a16="http://schemas.microsoft.com/office/drawing/2014/main" id="{00000000-0008-0000-0F00-00009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0" name="AutoShape 1">
          <a:extLst>
            <a:ext uri="{FF2B5EF4-FFF2-40B4-BE49-F238E27FC236}">
              <a16:creationId xmlns:a16="http://schemas.microsoft.com/office/drawing/2014/main" id="{00000000-0008-0000-0F00-00009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1" name="AutoShape 1">
          <a:extLst>
            <a:ext uri="{FF2B5EF4-FFF2-40B4-BE49-F238E27FC236}">
              <a16:creationId xmlns:a16="http://schemas.microsoft.com/office/drawing/2014/main" id="{00000000-0008-0000-0F00-00009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2" name="AutoShape 1">
          <a:extLst>
            <a:ext uri="{FF2B5EF4-FFF2-40B4-BE49-F238E27FC236}">
              <a16:creationId xmlns:a16="http://schemas.microsoft.com/office/drawing/2014/main" id="{00000000-0008-0000-0F00-00009E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3" name="AutoShape 1">
          <a:extLst>
            <a:ext uri="{FF2B5EF4-FFF2-40B4-BE49-F238E27FC236}">
              <a16:creationId xmlns:a16="http://schemas.microsoft.com/office/drawing/2014/main" id="{00000000-0008-0000-0F00-00009F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4" name="AutoShape 1">
          <a:extLst>
            <a:ext uri="{FF2B5EF4-FFF2-40B4-BE49-F238E27FC236}">
              <a16:creationId xmlns:a16="http://schemas.microsoft.com/office/drawing/2014/main" id="{00000000-0008-0000-0F00-0000A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5" name="AutoShape 1">
          <a:extLst>
            <a:ext uri="{FF2B5EF4-FFF2-40B4-BE49-F238E27FC236}">
              <a16:creationId xmlns:a16="http://schemas.microsoft.com/office/drawing/2014/main" id="{00000000-0008-0000-0F00-0000A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6" name="AutoShape 1">
          <a:extLst>
            <a:ext uri="{FF2B5EF4-FFF2-40B4-BE49-F238E27FC236}">
              <a16:creationId xmlns:a16="http://schemas.microsoft.com/office/drawing/2014/main" id="{00000000-0008-0000-0F00-0000A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7" name="AutoShape 1">
          <a:extLst>
            <a:ext uri="{FF2B5EF4-FFF2-40B4-BE49-F238E27FC236}">
              <a16:creationId xmlns:a16="http://schemas.microsoft.com/office/drawing/2014/main" id="{00000000-0008-0000-0F00-0000A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8" name="AutoShape 1">
          <a:extLst>
            <a:ext uri="{FF2B5EF4-FFF2-40B4-BE49-F238E27FC236}">
              <a16:creationId xmlns:a16="http://schemas.microsoft.com/office/drawing/2014/main" id="{00000000-0008-0000-0F00-0000A4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29" name="AutoShape 1">
          <a:extLst>
            <a:ext uri="{FF2B5EF4-FFF2-40B4-BE49-F238E27FC236}">
              <a16:creationId xmlns:a16="http://schemas.microsoft.com/office/drawing/2014/main" id="{00000000-0008-0000-0F00-0000A5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0" name="AutoShape 1">
          <a:extLst>
            <a:ext uri="{FF2B5EF4-FFF2-40B4-BE49-F238E27FC236}">
              <a16:creationId xmlns:a16="http://schemas.microsoft.com/office/drawing/2014/main" id="{00000000-0008-0000-0F00-0000A6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1" name="AutoShape 1">
          <a:extLst>
            <a:ext uri="{FF2B5EF4-FFF2-40B4-BE49-F238E27FC236}">
              <a16:creationId xmlns:a16="http://schemas.microsoft.com/office/drawing/2014/main" id="{00000000-0008-0000-0F00-0000A7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2" name="AutoShape 1">
          <a:extLst>
            <a:ext uri="{FF2B5EF4-FFF2-40B4-BE49-F238E27FC236}">
              <a16:creationId xmlns:a16="http://schemas.microsoft.com/office/drawing/2014/main" id="{00000000-0008-0000-0F00-0000A8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3" name="AutoShape 1">
          <a:extLst>
            <a:ext uri="{FF2B5EF4-FFF2-40B4-BE49-F238E27FC236}">
              <a16:creationId xmlns:a16="http://schemas.microsoft.com/office/drawing/2014/main" id="{00000000-0008-0000-0F00-0000A9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4" name="AutoShape 1">
          <a:extLst>
            <a:ext uri="{FF2B5EF4-FFF2-40B4-BE49-F238E27FC236}">
              <a16:creationId xmlns:a16="http://schemas.microsoft.com/office/drawing/2014/main" id="{00000000-0008-0000-0F00-0000AA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5" name="AutoShape 1">
          <a:extLst>
            <a:ext uri="{FF2B5EF4-FFF2-40B4-BE49-F238E27FC236}">
              <a16:creationId xmlns:a16="http://schemas.microsoft.com/office/drawing/2014/main" id="{00000000-0008-0000-0F00-0000AB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6" name="AutoShape 1">
          <a:extLst>
            <a:ext uri="{FF2B5EF4-FFF2-40B4-BE49-F238E27FC236}">
              <a16:creationId xmlns:a16="http://schemas.microsoft.com/office/drawing/2014/main" id="{00000000-0008-0000-0F00-0000AC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7" name="AutoShape 1">
          <a:extLst>
            <a:ext uri="{FF2B5EF4-FFF2-40B4-BE49-F238E27FC236}">
              <a16:creationId xmlns:a16="http://schemas.microsoft.com/office/drawing/2014/main" id="{00000000-0008-0000-0F00-0000AD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8" name="AutoShape 1">
          <a:extLst>
            <a:ext uri="{FF2B5EF4-FFF2-40B4-BE49-F238E27FC236}">
              <a16:creationId xmlns:a16="http://schemas.microsoft.com/office/drawing/2014/main" id="{00000000-0008-0000-0F00-0000A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39" name="AutoShape 1">
          <a:extLst>
            <a:ext uri="{FF2B5EF4-FFF2-40B4-BE49-F238E27FC236}">
              <a16:creationId xmlns:a16="http://schemas.microsoft.com/office/drawing/2014/main" id="{00000000-0008-0000-0F00-0000A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0" name="AutoShape 1">
          <a:extLst>
            <a:ext uri="{FF2B5EF4-FFF2-40B4-BE49-F238E27FC236}">
              <a16:creationId xmlns:a16="http://schemas.microsoft.com/office/drawing/2014/main" id="{00000000-0008-0000-0F00-0000B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1" name="AutoShape 1">
          <a:extLst>
            <a:ext uri="{FF2B5EF4-FFF2-40B4-BE49-F238E27FC236}">
              <a16:creationId xmlns:a16="http://schemas.microsoft.com/office/drawing/2014/main" id="{00000000-0008-0000-0F00-0000B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2" name="AutoShape 1">
          <a:extLst>
            <a:ext uri="{FF2B5EF4-FFF2-40B4-BE49-F238E27FC236}">
              <a16:creationId xmlns:a16="http://schemas.microsoft.com/office/drawing/2014/main" id="{00000000-0008-0000-0F00-0000B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3" name="AutoShape 1">
          <a:extLst>
            <a:ext uri="{FF2B5EF4-FFF2-40B4-BE49-F238E27FC236}">
              <a16:creationId xmlns:a16="http://schemas.microsoft.com/office/drawing/2014/main" id="{00000000-0008-0000-0F00-0000B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4" name="AutoShape 1">
          <a:extLst>
            <a:ext uri="{FF2B5EF4-FFF2-40B4-BE49-F238E27FC236}">
              <a16:creationId xmlns:a16="http://schemas.microsoft.com/office/drawing/2014/main" id="{00000000-0008-0000-0F00-0000B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5" name="AutoShape 1">
          <a:extLst>
            <a:ext uri="{FF2B5EF4-FFF2-40B4-BE49-F238E27FC236}">
              <a16:creationId xmlns:a16="http://schemas.microsoft.com/office/drawing/2014/main" id="{00000000-0008-0000-0F00-0000B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6" name="AutoShape 1">
          <a:extLst>
            <a:ext uri="{FF2B5EF4-FFF2-40B4-BE49-F238E27FC236}">
              <a16:creationId xmlns:a16="http://schemas.microsoft.com/office/drawing/2014/main" id="{00000000-0008-0000-0F00-0000B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7" name="AutoShape 1">
          <a:extLst>
            <a:ext uri="{FF2B5EF4-FFF2-40B4-BE49-F238E27FC236}">
              <a16:creationId xmlns:a16="http://schemas.microsoft.com/office/drawing/2014/main" id="{00000000-0008-0000-0F00-0000B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8" name="AutoShape 1">
          <a:extLst>
            <a:ext uri="{FF2B5EF4-FFF2-40B4-BE49-F238E27FC236}">
              <a16:creationId xmlns:a16="http://schemas.microsoft.com/office/drawing/2014/main" id="{00000000-0008-0000-0F00-0000B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49" name="AutoShape 1">
          <a:extLst>
            <a:ext uri="{FF2B5EF4-FFF2-40B4-BE49-F238E27FC236}">
              <a16:creationId xmlns:a16="http://schemas.microsoft.com/office/drawing/2014/main" id="{00000000-0008-0000-0F00-0000B9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0" name="AutoShape 1">
          <a:extLst>
            <a:ext uri="{FF2B5EF4-FFF2-40B4-BE49-F238E27FC236}">
              <a16:creationId xmlns:a16="http://schemas.microsoft.com/office/drawing/2014/main" id="{00000000-0008-0000-0F00-0000BA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1" name="AutoShape 1">
          <a:extLst>
            <a:ext uri="{FF2B5EF4-FFF2-40B4-BE49-F238E27FC236}">
              <a16:creationId xmlns:a16="http://schemas.microsoft.com/office/drawing/2014/main" id="{00000000-0008-0000-0F00-0000BB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2" name="AutoShape 1">
          <a:extLst>
            <a:ext uri="{FF2B5EF4-FFF2-40B4-BE49-F238E27FC236}">
              <a16:creationId xmlns:a16="http://schemas.microsoft.com/office/drawing/2014/main" id="{00000000-0008-0000-0F00-0000BC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3" name="AutoShape 1">
          <a:extLst>
            <a:ext uri="{FF2B5EF4-FFF2-40B4-BE49-F238E27FC236}">
              <a16:creationId xmlns:a16="http://schemas.microsoft.com/office/drawing/2014/main" id="{00000000-0008-0000-0F00-0000BD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4" name="AutoShape 1">
          <a:extLst>
            <a:ext uri="{FF2B5EF4-FFF2-40B4-BE49-F238E27FC236}">
              <a16:creationId xmlns:a16="http://schemas.microsoft.com/office/drawing/2014/main" id="{00000000-0008-0000-0F00-0000BE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5" name="AutoShape 1">
          <a:extLst>
            <a:ext uri="{FF2B5EF4-FFF2-40B4-BE49-F238E27FC236}">
              <a16:creationId xmlns:a16="http://schemas.microsoft.com/office/drawing/2014/main" id="{00000000-0008-0000-0F00-0000BF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6" name="AutoShape 1">
          <a:extLst>
            <a:ext uri="{FF2B5EF4-FFF2-40B4-BE49-F238E27FC236}">
              <a16:creationId xmlns:a16="http://schemas.microsoft.com/office/drawing/2014/main" id="{00000000-0008-0000-0F00-0000C0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7" name="AutoShape 1">
          <a:extLst>
            <a:ext uri="{FF2B5EF4-FFF2-40B4-BE49-F238E27FC236}">
              <a16:creationId xmlns:a16="http://schemas.microsoft.com/office/drawing/2014/main" id="{00000000-0008-0000-0F00-0000C1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8" name="AutoShape 1">
          <a:extLst>
            <a:ext uri="{FF2B5EF4-FFF2-40B4-BE49-F238E27FC236}">
              <a16:creationId xmlns:a16="http://schemas.microsoft.com/office/drawing/2014/main" id="{00000000-0008-0000-0F00-0000C2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59" name="AutoShape 1">
          <a:extLst>
            <a:ext uri="{FF2B5EF4-FFF2-40B4-BE49-F238E27FC236}">
              <a16:creationId xmlns:a16="http://schemas.microsoft.com/office/drawing/2014/main" id="{00000000-0008-0000-0F00-0000C3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0" name="AutoShape 1">
          <a:extLst>
            <a:ext uri="{FF2B5EF4-FFF2-40B4-BE49-F238E27FC236}">
              <a16:creationId xmlns:a16="http://schemas.microsoft.com/office/drawing/2014/main" id="{00000000-0008-0000-0F00-0000C4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1" name="AutoShape 1">
          <a:extLst>
            <a:ext uri="{FF2B5EF4-FFF2-40B4-BE49-F238E27FC236}">
              <a16:creationId xmlns:a16="http://schemas.microsoft.com/office/drawing/2014/main" id="{00000000-0008-0000-0F00-0000C5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2" name="AutoShape 1">
          <a:extLst>
            <a:ext uri="{FF2B5EF4-FFF2-40B4-BE49-F238E27FC236}">
              <a16:creationId xmlns:a16="http://schemas.microsoft.com/office/drawing/2014/main" id="{00000000-0008-0000-0F00-0000C6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3" name="AutoShape 1">
          <a:extLst>
            <a:ext uri="{FF2B5EF4-FFF2-40B4-BE49-F238E27FC236}">
              <a16:creationId xmlns:a16="http://schemas.microsoft.com/office/drawing/2014/main" id="{00000000-0008-0000-0F00-0000C7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4" name="AutoShape 1">
          <a:extLst>
            <a:ext uri="{FF2B5EF4-FFF2-40B4-BE49-F238E27FC236}">
              <a16:creationId xmlns:a16="http://schemas.microsoft.com/office/drawing/2014/main" id="{00000000-0008-0000-0F00-0000C8130000}"/>
            </a:ext>
          </a:extLst>
        </xdr:cNvPr>
        <xdr:cNvSpPr>
          <a:spLocks noChangeAspect="1" noChangeArrowheads="1"/>
        </xdr:cNvSpPr>
      </xdr:nvSpPr>
      <xdr:spPr bwMode="auto">
        <a:xfrm>
          <a:off x="97790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6" name="AutoShape 1">
          <a:extLst>
            <a:ext uri="{FF2B5EF4-FFF2-40B4-BE49-F238E27FC236}">
              <a16:creationId xmlns:a16="http://schemas.microsoft.com/office/drawing/2014/main" id="{00000000-0008-0000-0F00-0000CA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7" name="AutoShape 1">
          <a:extLst>
            <a:ext uri="{FF2B5EF4-FFF2-40B4-BE49-F238E27FC236}">
              <a16:creationId xmlns:a16="http://schemas.microsoft.com/office/drawing/2014/main" id="{00000000-0008-0000-0F00-0000CB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8" name="AutoShape 1">
          <a:extLst>
            <a:ext uri="{FF2B5EF4-FFF2-40B4-BE49-F238E27FC236}">
              <a16:creationId xmlns:a16="http://schemas.microsoft.com/office/drawing/2014/main" id="{00000000-0008-0000-0F00-0000CC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69" name="AutoShape 1">
          <a:extLst>
            <a:ext uri="{FF2B5EF4-FFF2-40B4-BE49-F238E27FC236}">
              <a16:creationId xmlns:a16="http://schemas.microsoft.com/office/drawing/2014/main" id="{00000000-0008-0000-0F00-0000CD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0" name="AutoShape 1">
          <a:extLst>
            <a:ext uri="{FF2B5EF4-FFF2-40B4-BE49-F238E27FC236}">
              <a16:creationId xmlns:a16="http://schemas.microsoft.com/office/drawing/2014/main" id="{00000000-0008-0000-0F00-0000CE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1" name="AutoShape 1">
          <a:extLst>
            <a:ext uri="{FF2B5EF4-FFF2-40B4-BE49-F238E27FC236}">
              <a16:creationId xmlns:a16="http://schemas.microsoft.com/office/drawing/2014/main" id="{00000000-0008-0000-0F00-0000CF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2" name="AutoShape 1">
          <a:extLst>
            <a:ext uri="{FF2B5EF4-FFF2-40B4-BE49-F238E27FC236}">
              <a16:creationId xmlns:a16="http://schemas.microsoft.com/office/drawing/2014/main" id="{00000000-0008-0000-0F00-0000D0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3" name="AutoShape 1">
          <a:extLst>
            <a:ext uri="{FF2B5EF4-FFF2-40B4-BE49-F238E27FC236}">
              <a16:creationId xmlns:a16="http://schemas.microsoft.com/office/drawing/2014/main" id="{00000000-0008-0000-0F00-0000D1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4" name="AutoShape 1">
          <a:extLst>
            <a:ext uri="{FF2B5EF4-FFF2-40B4-BE49-F238E27FC236}">
              <a16:creationId xmlns:a16="http://schemas.microsoft.com/office/drawing/2014/main" id="{00000000-0008-0000-0F00-0000D2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5" name="AutoShape 1">
          <a:extLst>
            <a:ext uri="{FF2B5EF4-FFF2-40B4-BE49-F238E27FC236}">
              <a16:creationId xmlns:a16="http://schemas.microsoft.com/office/drawing/2014/main" id="{00000000-0008-0000-0F00-0000D3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6" name="AutoShape 1">
          <a:extLst>
            <a:ext uri="{FF2B5EF4-FFF2-40B4-BE49-F238E27FC236}">
              <a16:creationId xmlns:a16="http://schemas.microsoft.com/office/drawing/2014/main" id="{00000000-0008-0000-0F00-0000D4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7" name="AutoShape 1">
          <a:extLst>
            <a:ext uri="{FF2B5EF4-FFF2-40B4-BE49-F238E27FC236}">
              <a16:creationId xmlns:a16="http://schemas.microsoft.com/office/drawing/2014/main" id="{00000000-0008-0000-0F00-0000D5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8" name="AutoShape 1">
          <a:extLst>
            <a:ext uri="{FF2B5EF4-FFF2-40B4-BE49-F238E27FC236}">
              <a16:creationId xmlns:a16="http://schemas.microsoft.com/office/drawing/2014/main" id="{00000000-0008-0000-0F00-0000D6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79" name="AutoShape 1">
          <a:extLst>
            <a:ext uri="{FF2B5EF4-FFF2-40B4-BE49-F238E27FC236}">
              <a16:creationId xmlns:a16="http://schemas.microsoft.com/office/drawing/2014/main" id="{00000000-0008-0000-0F00-0000D7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0" name="AutoShape 1">
          <a:extLst>
            <a:ext uri="{FF2B5EF4-FFF2-40B4-BE49-F238E27FC236}">
              <a16:creationId xmlns:a16="http://schemas.microsoft.com/office/drawing/2014/main" id="{00000000-0008-0000-0F00-0000D8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1" name="AutoShape 1">
          <a:extLst>
            <a:ext uri="{FF2B5EF4-FFF2-40B4-BE49-F238E27FC236}">
              <a16:creationId xmlns:a16="http://schemas.microsoft.com/office/drawing/2014/main" id="{00000000-0008-0000-0F00-0000D9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2" name="AutoShape 1">
          <a:extLst>
            <a:ext uri="{FF2B5EF4-FFF2-40B4-BE49-F238E27FC236}">
              <a16:creationId xmlns:a16="http://schemas.microsoft.com/office/drawing/2014/main" id="{00000000-0008-0000-0F00-0000DA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3" name="AutoShape 1">
          <a:extLst>
            <a:ext uri="{FF2B5EF4-FFF2-40B4-BE49-F238E27FC236}">
              <a16:creationId xmlns:a16="http://schemas.microsoft.com/office/drawing/2014/main" id="{00000000-0008-0000-0F00-0000DB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4" name="AutoShape 1">
          <a:extLst>
            <a:ext uri="{FF2B5EF4-FFF2-40B4-BE49-F238E27FC236}">
              <a16:creationId xmlns:a16="http://schemas.microsoft.com/office/drawing/2014/main" id="{00000000-0008-0000-0F00-0000DC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5" name="AutoShape 1">
          <a:extLst>
            <a:ext uri="{FF2B5EF4-FFF2-40B4-BE49-F238E27FC236}">
              <a16:creationId xmlns:a16="http://schemas.microsoft.com/office/drawing/2014/main" id="{00000000-0008-0000-0F00-0000DD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6" name="AutoShape 1">
          <a:extLst>
            <a:ext uri="{FF2B5EF4-FFF2-40B4-BE49-F238E27FC236}">
              <a16:creationId xmlns:a16="http://schemas.microsoft.com/office/drawing/2014/main" id="{00000000-0008-0000-0F00-0000DE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7" name="AutoShape 1">
          <a:extLst>
            <a:ext uri="{FF2B5EF4-FFF2-40B4-BE49-F238E27FC236}">
              <a16:creationId xmlns:a16="http://schemas.microsoft.com/office/drawing/2014/main" id="{00000000-0008-0000-0F00-0000DF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8" name="AutoShape 1">
          <a:extLst>
            <a:ext uri="{FF2B5EF4-FFF2-40B4-BE49-F238E27FC236}">
              <a16:creationId xmlns:a16="http://schemas.microsoft.com/office/drawing/2014/main" id="{00000000-0008-0000-0F00-0000E0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89" name="AutoShape 1">
          <a:extLst>
            <a:ext uri="{FF2B5EF4-FFF2-40B4-BE49-F238E27FC236}">
              <a16:creationId xmlns:a16="http://schemas.microsoft.com/office/drawing/2014/main" id="{00000000-0008-0000-0F00-0000E1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0" name="AutoShape 1">
          <a:extLst>
            <a:ext uri="{FF2B5EF4-FFF2-40B4-BE49-F238E27FC236}">
              <a16:creationId xmlns:a16="http://schemas.microsoft.com/office/drawing/2014/main" id="{00000000-0008-0000-0F00-0000E2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1" name="AutoShape 1">
          <a:extLst>
            <a:ext uri="{FF2B5EF4-FFF2-40B4-BE49-F238E27FC236}">
              <a16:creationId xmlns:a16="http://schemas.microsoft.com/office/drawing/2014/main" id="{00000000-0008-0000-0F00-0000E3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2" name="AutoShape 1">
          <a:extLst>
            <a:ext uri="{FF2B5EF4-FFF2-40B4-BE49-F238E27FC236}">
              <a16:creationId xmlns:a16="http://schemas.microsoft.com/office/drawing/2014/main" id="{00000000-0008-0000-0F00-0000E4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3" name="AutoShape 1">
          <a:extLst>
            <a:ext uri="{FF2B5EF4-FFF2-40B4-BE49-F238E27FC236}">
              <a16:creationId xmlns:a16="http://schemas.microsoft.com/office/drawing/2014/main" id="{00000000-0008-0000-0F00-0000E5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4" name="AutoShape 1">
          <a:extLst>
            <a:ext uri="{FF2B5EF4-FFF2-40B4-BE49-F238E27FC236}">
              <a16:creationId xmlns:a16="http://schemas.microsoft.com/office/drawing/2014/main" id="{00000000-0008-0000-0F00-0000E6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5" name="AutoShape 1">
          <a:extLst>
            <a:ext uri="{FF2B5EF4-FFF2-40B4-BE49-F238E27FC236}">
              <a16:creationId xmlns:a16="http://schemas.microsoft.com/office/drawing/2014/main" id="{00000000-0008-0000-0F00-0000E7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6" name="AutoShape 1">
          <a:extLst>
            <a:ext uri="{FF2B5EF4-FFF2-40B4-BE49-F238E27FC236}">
              <a16:creationId xmlns:a16="http://schemas.microsoft.com/office/drawing/2014/main" id="{00000000-0008-0000-0F00-0000E8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7" name="AutoShape 1">
          <a:extLst>
            <a:ext uri="{FF2B5EF4-FFF2-40B4-BE49-F238E27FC236}">
              <a16:creationId xmlns:a16="http://schemas.microsoft.com/office/drawing/2014/main" id="{00000000-0008-0000-0F00-0000E9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8" name="AutoShape 1">
          <a:extLst>
            <a:ext uri="{FF2B5EF4-FFF2-40B4-BE49-F238E27FC236}">
              <a16:creationId xmlns:a16="http://schemas.microsoft.com/office/drawing/2014/main" id="{00000000-0008-0000-0F00-0000EA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099" name="AutoShape 1">
          <a:extLst>
            <a:ext uri="{FF2B5EF4-FFF2-40B4-BE49-F238E27FC236}">
              <a16:creationId xmlns:a16="http://schemas.microsoft.com/office/drawing/2014/main" id="{00000000-0008-0000-0F00-0000EB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0" name="AutoShape 1">
          <a:extLst>
            <a:ext uri="{FF2B5EF4-FFF2-40B4-BE49-F238E27FC236}">
              <a16:creationId xmlns:a16="http://schemas.microsoft.com/office/drawing/2014/main" id="{00000000-0008-0000-0F00-0000EC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1" name="AutoShape 1">
          <a:extLst>
            <a:ext uri="{FF2B5EF4-FFF2-40B4-BE49-F238E27FC236}">
              <a16:creationId xmlns:a16="http://schemas.microsoft.com/office/drawing/2014/main" id="{00000000-0008-0000-0F00-0000ED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2" name="AutoShape 1">
          <a:extLst>
            <a:ext uri="{FF2B5EF4-FFF2-40B4-BE49-F238E27FC236}">
              <a16:creationId xmlns:a16="http://schemas.microsoft.com/office/drawing/2014/main" id="{00000000-0008-0000-0F00-0000EE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3" name="AutoShape 1">
          <a:extLst>
            <a:ext uri="{FF2B5EF4-FFF2-40B4-BE49-F238E27FC236}">
              <a16:creationId xmlns:a16="http://schemas.microsoft.com/office/drawing/2014/main" id="{00000000-0008-0000-0F00-0000EF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4" name="AutoShape 1">
          <a:extLst>
            <a:ext uri="{FF2B5EF4-FFF2-40B4-BE49-F238E27FC236}">
              <a16:creationId xmlns:a16="http://schemas.microsoft.com/office/drawing/2014/main" id="{00000000-0008-0000-0F00-0000F0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5" name="AutoShape 1">
          <a:extLst>
            <a:ext uri="{FF2B5EF4-FFF2-40B4-BE49-F238E27FC236}">
              <a16:creationId xmlns:a16="http://schemas.microsoft.com/office/drawing/2014/main" id="{00000000-0008-0000-0F00-0000F1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6" name="AutoShape 1">
          <a:extLst>
            <a:ext uri="{FF2B5EF4-FFF2-40B4-BE49-F238E27FC236}">
              <a16:creationId xmlns:a16="http://schemas.microsoft.com/office/drawing/2014/main" id="{00000000-0008-0000-0F00-0000F2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7" name="AutoShape 1">
          <a:extLst>
            <a:ext uri="{FF2B5EF4-FFF2-40B4-BE49-F238E27FC236}">
              <a16:creationId xmlns:a16="http://schemas.microsoft.com/office/drawing/2014/main" id="{00000000-0008-0000-0F00-0000F3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8" name="AutoShape 1">
          <a:extLst>
            <a:ext uri="{FF2B5EF4-FFF2-40B4-BE49-F238E27FC236}">
              <a16:creationId xmlns:a16="http://schemas.microsoft.com/office/drawing/2014/main" id="{00000000-0008-0000-0F00-0000F4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09" name="AutoShape 1">
          <a:extLst>
            <a:ext uri="{FF2B5EF4-FFF2-40B4-BE49-F238E27FC236}">
              <a16:creationId xmlns:a16="http://schemas.microsoft.com/office/drawing/2014/main" id="{00000000-0008-0000-0F00-0000F5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0" name="AutoShape 1">
          <a:extLst>
            <a:ext uri="{FF2B5EF4-FFF2-40B4-BE49-F238E27FC236}">
              <a16:creationId xmlns:a16="http://schemas.microsoft.com/office/drawing/2014/main" id="{00000000-0008-0000-0F00-0000F6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1" name="AutoShape 1">
          <a:extLst>
            <a:ext uri="{FF2B5EF4-FFF2-40B4-BE49-F238E27FC236}">
              <a16:creationId xmlns:a16="http://schemas.microsoft.com/office/drawing/2014/main" id="{00000000-0008-0000-0F00-0000F7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2" name="AutoShape 1">
          <a:extLst>
            <a:ext uri="{FF2B5EF4-FFF2-40B4-BE49-F238E27FC236}">
              <a16:creationId xmlns:a16="http://schemas.microsoft.com/office/drawing/2014/main" id="{00000000-0008-0000-0F00-0000F8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3" name="AutoShape 1">
          <a:extLst>
            <a:ext uri="{FF2B5EF4-FFF2-40B4-BE49-F238E27FC236}">
              <a16:creationId xmlns:a16="http://schemas.microsoft.com/office/drawing/2014/main" id="{00000000-0008-0000-0F00-0000F9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4" name="AutoShape 1">
          <a:extLst>
            <a:ext uri="{FF2B5EF4-FFF2-40B4-BE49-F238E27FC236}">
              <a16:creationId xmlns:a16="http://schemas.microsoft.com/office/drawing/2014/main" id="{00000000-0008-0000-0F00-0000FA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5" name="AutoShape 1">
          <a:extLst>
            <a:ext uri="{FF2B5EF4-FFF2-40B4-BE49-F238E27FC236}">
              <a16:creationId xmlns:a16="http://schemas.microsoft.com/office/drawing/2014/main" id="{00000000-0008-0000-0F00-0000FB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6" name="AutoShape 1">
          <a:extLst>
            <a:ext uri="{FF2B5EF4-FFF2-40B4-BE49-F238E27FC236}">
              <a16:creationId xmlns:a16="http://schemas.microsoft.com/office/drawing/2014/main" id="{00000000-0008-0000-0F00-0000FC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7" name="AutoShape 1">
          <a:extLst>
            <a:ext uri="{FF2B5EF4-FFF2-40B4-BE49-F238E27FC236}">
              <a16:creationId xmlns:a16="http://schemas.microsoft.com/office/drawing/2014/main" id="{00000000-0008-0000-0F00-0000FD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8" name="AutoShape 1">
          <a:extLst>
            <a:ext uri="{FF2B5EF4-FFF2-40B4-BE49-F238E27FC236}">
              <a16:creationId xmlns:a16="http://schemas.microsoft.com/office/drawing/2014/main" id="{00000000-0008-0000-0F00-0000FE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19" name="AutoShape 1">
          <a:extLst>
            <a:ext uri="{FF2B5EF4-FFF2-40B4-BE49-F238E27FC236}">
              <a16:creationId xmlns:a16="http://schemas.microsoft.com/office/drawing/2014/main" id="{00000000-0008-0000-0F00-0000FF13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0" name="AutoShape 1">
          <a:extLst>
            <a:ext uri="{FF2B5EF4-FFF2-40B4-BE49-F238E27FC236}">
              <a16:creationId xmlns:a16="http://schemas.microsoft.com/office/drawing/2014/main" id="{00000000-0008-0000-0F00-00000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1" name="AutoShape 1">
          <a:extLst>
            <a:ext uri="{FF2B5EF4-FFF2-40B4-BE49-F238E27FC236}">
              <a16:creationId xmlns:a16="http://schemas.microsoft.com/office/drawing/2014/main" id="{00000000-0008-0000-0F00-00000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2" name="AutoShape 1">
          <a:extLst>
            <a:ext uri="{FF2B5EF4-FFF2-40B4-BE49-F238E27FC236}">
              <a16:creationId xmlns:a16="http://schemas.microsoft.com/office/drawing/2014/main" id="{00000000-0008-0000-0F00-00000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3" name="AutoShape 1">
          <a:extLst>
            <a:ext uri="{FF2B5EF4-FFF2-40B4-BE49-F238E27FC236}">
              <a16:creationId xmlns:a16="http://schemas.microsoft.com/office/drawing/2014/main" id="{00000000-0008-0000-0F00-00000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4" name="AutoShape 1">
          <a:extLst>
            <a:ext uri="{FF2B5EF4-FFF2-40B4-BE49-F238E27FC236}">
              <a16:creationId xmlns:a16="http://schemas.microsoft.com/office/drawing/2014/main" id="{00000000-0008-0000-0F00-00000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5" name="AutoShape 1">
          <a:extLst>
            <a:ext uri="{FF2B5EF4-FFF2-40B4-BE49-F238E27FC236}">
              <a16:creationId xmlns:a16="http://schemas.microsoft.com/office/drawing/2014/main" id="{00000000-0008-0000-0F00-00000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6" name="AutoShape 1">
          <a:extLst>
            <a:ext uri="{FF2B5EF4-FFF2-40B4-BE49-F238E27FC236}">
              <a16:creationId xmlns:a16="http://schemas.microsoft.com/office/drawing/2014/main" id="{00000000-0008-0000-0F00-00000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7" name="AutoShape 1">
          <a:extLst>
            <a:ext uri="{FF2B5EF4-FFF2-40B4-BE49-F238E27FC236}">
              <a16:creationId xmlns:a16="http://schemas.microsoft.com/office/drawing/2014/main" id="{00000000-0008-0000-0F00-00000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8" name="AutoShape 1">
          <a:extLst>
            <a:ext uri="{FF2B5EF4-FFF2-40B4-BE49-F238E27FC236}">
              <a16:creationId xmlns:a16="http://schemas.microsoft.com/office/drawing/2014/main" id="{00000000-0008-0000-0F00-00000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29" name="AutoShape 1">
          <a:extLst>
            <a:ext uri="{FF2B5EF4-FFF2-40B4-BE49-F238E27FC236}">
              <a16:creationId xmlns:a16="http://schemas.microsoft.com/office/drawing/2014/main" id="{00000000-0008-0000-0F00-00000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0" name="AutoShape 1">
          <a:extLst>
            <a:ext uri="{FF2B5EF4-FFF2-40B4-BE49-F238E27FC236}">
              <a16:creationId xmlns:a16="http://schemas.microsoft.com/office/drawing/2014/main" id="{00000000-0008-0000-0F00-00000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1" name="AutoShape 1">
          <a:extLst>
            <a:ext uri="{FF2B5EF4-FFF2-40B4-BE49-F238E27FC236}">
              <a16:creationId xmlns:a16="http://schemas.microsoft.com/office/drawing/2014/main" id="{00000000-0008-0000-0F00-00000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2" name="AutoShape 1">
          <a:extLst>
            <a:ext uri="{FF2B5EF4-FFF2-40B4-BE49-F238E27FC236}">
              <a16:creationId xmlns:a16="http://schemas.microsoft.com/office/drawing/2014/main" id="{00000000-0008-0000-0F00-00000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3" name="AutoShape 1">
          <a:extLst>
            <a:ext uri="{FF2B5EF4-FFF2-40B4-BE49-F238E27FC236}">
              <a16:creationId xmlns:a16="http://schemas.microsoft.com/office/drawing/2014/main" id="{00000000-0008-0000-0F00-00000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4" name="AutoShape 1">
          <a:extLst>
            <a:ext uri="{FF2B5EF4-FFF2-40B4-BE49-F238E27FC236}">
              <a16:creationId xmlns:a16="http://schemas.microsoft.com/office/drawing/2014/main" id="{00000000-0008-0000-0F00-00000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5" name="AutoShape 1">
          <a:extLst>
            <a:ext uri="{FF2B5EF4-FFF2-40B4-BE49-F238E27FC236}">
              <a16:creationId xmlns:a16="http://schemas.microsoft.com/office/drawing/2014/main" id="{00000000-0008-0000-0F00-00000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6" name="AutoShape 1">
          <a:extLst>
            <a:ext uri="{FF2B5EF4-FFF2-40B4-BE49-F238E27FC236}">
              <a16:creationId xmlns:a16="http://schemas.microsoft.com/office/drawing/2014/main" id="{00000000-0008-0000-0F00-00001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7" name="AutoShape 1">
          <a:extLst>
            <a:ext uri="{FF2B5EF4-FFF2-40B4-BE49-F238E27FC236}">
              <a16:creationId xmlns:a16="http://schemas.microsoft.com/office/drawing/2014/main" id="{00000000-0008-0000-0F00-00001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8" name="AutoShape 1">
          <a:extLst>
            <a:ext uri="{FF2B5EF4-FFF2-40B4-BE49-F238E27FC236}">
              <a16:creationId xmlns:a16="http://schemas.microsoft.com/office/drawing/2014/main" id="{00000000-0008-0000-0F00-00001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39" name="AutoShape 1">
          <a:extLst>
            <a:ext uri="{FF2B5EF4-FFF2-40B4-BE49-F238E27FC236}">
              <a16:creationId xmlns:a16="http://schemas.microsoft.com/office/drawing/2014/main" id="{00000000-0008-0000-0F00-00001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0" name="AutoShape 1">
          <a:extLst>
            <a:ext uri="{FF2B5EF4-FFF2-40B4-BE49-F238E27FC236}">
              <a16:creationId xmlns:a16="http://schemas.microsoft.com/office/drawing/2014/main" id="{00000000-0008-0000-0F00-00001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1" name="AutoShape 1">
          <a:extLst>
            <a:ext uri="{FF2B5EF4-FFF2-40B4-BE49-F238E27FC236}">
              <a16:creationId xmlns:a16="http://schemas.microsoft.com/office/drawing/2014/main" id="{00000000-0008-0000-0F00-00001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2" name="AutoShape 1">
          <a:extLst>
            <a:ext uri="{FF2B5EF4-FFF2-40B4-BE49-F238E27FC236}">
              <a16:creationId xmlns:a16="http://schemas.microsoft.com/office/drawing/2014/main" id="{00000000-0008-0000-0F00-00001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3" name="AutoShape 1">
          <a:extLst>
            <a:ext uri="{FF2B5EF4-FFF2-40B4-BE49-F238E27FC236}">
              <a16:creationId xmlns:a16="http://schemas.microsoft.com/office/drawing/2014/main" id="{00000000-0008-0000-0F00-00001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4" name="AutoShape 1">
          <a:extLst>
            <a:ext uri="{FF2B5EF4-FFF2-40B4-BE49-F238E27FC236}">
              <a16:creationId xmlns:a16="http://schemas.microsoft.com/office/drawing/2014/main" id="{00000000-0008-0000-0F00-00001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5" name="AutoShape 1">
          <a:extLst>
            <a:ext uri="{FF2B5EF4-FFF2-40B4-BE49-F238E27FC236}">
              <a16:creationId xmlns:a16="http://schemas.microsoft.com/office/drawing/2014/main" id="{00000000-0008-0000-0F00-00001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6" name="AutoShape 1">
          <a:extLst>
            <a:ext uri="{FF2B5EF4-FFF2-40B4-BE49-F238E27FC236}">
              <a16:creationId xmlns:a16="http://schemas.microsoft.com/office/drawing/2014/main" id="{00000000-0008-0000-0F00-00001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7" name="AutoShape 1">
          <a:extLst>
            <a:ext uri="{FF2B5EF4-FFF2-40B4-BE49-F238E27FC236}">
              <a16:creationId xmlns:a16="http://schemas.microsoft.com/office/drawing/2014/main" id="{00000000-0008-0000-0F00-00001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8" name="AutoShape 1">
          <a:extLst>
            <a:ext uri="{FF2B5EF4-FFF2-40B4-BE49-F238E27FC236}">
              <a16:creationId xmlns:a16="http://schemas.microsoft.com/office/drawing/2014/main" id="{00000000-0008-0000-0F00-00001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49" name="AutoShape 1">
          <a:extLst>
            <a:ext uri="{FF2B5EF4-FFF2-40B4-BE49-F238E27FC236}">
              <a16:creationId xmlns:a16="http://schemas.microsoft.com/office/drawing/2014/main" id="{00000000-0008-0000-0F00-00001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0" name="AutoShape 1">
          <a:extLst>
            <a:ext uri="{FF2B5EF4-FFF2-40B4-BE49-F238E27FC236}">
              <a16:creationId xmlns:a16="http://schemas.microsoft.com/office/drawing/2014/main" id="{00000000-0008-0000-0F00-00001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1" name="AutoShape 1">
          <a:extLst>
            <a:ext uri="{FF2B5EF4-FFF2-40B4-BE49-F238E27FC236}">
              <a16:creationId xmlns:a16="http://schemas.microsoft.com/office/drawing/2014/main" id="{00000000-0008-0000-0F00-00001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2" name="AutoShape 1">
          <a:extLst>
            <a:ext uri="{FF2B5EF4-FFF2-40B4-BE49-F238E27FC236}">
              <a16:creationId xmlns:a16="http://schemas.microsoft.com/office/drawing/2014/main" id="{00000000-0008-0000-0F00-00002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3" name="AutoShape 1">
          <a:extLst>
            <a:ext uri="{FF2B5EF4-FFF2-40B4-BE49-F238E27FC236}">
              <a16:creationId xmlns:a16="http://schemas.microsoft.com/office/drawing/2014/main" id="{00000000-0008-0000-0F00-00002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4" name="AutoShape 1">
          <a:extLst>
            <a:ext uri="{FF2B5EF4-FFF2-40B4-BE49-F238E27FC236}">
              <a16:creationId xmlns:a16="http://schemas.microsoft.com/office/drawing/2014/main" id="{00000000-0008-0000-0F00-00002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5" name="AutoShape 1">
          <a:extLst>
            <a:ext uri="{FF2B5EF4-FFF2-40B4-BE49-F238E27FC236}">
              <a16:creationId xmlns:a16="http://schemas.microsoft.com/office/drawing/2014/main" id="{00000000-0008-0000-0F00-00002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6" name="AutoShape 1">
          <a:extLst>
            <a:ext uri="{FF2B5EF4-FFF2-40B4-BE49-F238E27FC236}">
              <a16:creationId xmlns:a16="http://schemas.microsoft.com/office/drawing/2014/main" id="{00000000-0008-0000-0F00-00002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7" name="AutoShape 1">
          <a:extLst>
            <a:ext uri="{FF2B5EF4-FFF2-40B4-BE49-F238E27FC236}">
              <a16:creationId xmlns:a16="http://schemas.microsoft.com/office/drawing/2014/main" id="{00000000-0008-0000-0F00-00002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8" name="AutoShape 1">
          <a:extLst>
            <a:ext uri="{FF2B5EF4-FFF2-40B4-BE49-F238E27FC236}">
              <a16:creationId xmlns:a16="http://schemas.microsoft.com/office/drawing/2014/main" id="{00000000-0008-0000-0F00-00002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59" name="AutoShape 1">
          <a:extLst>
            <a:ext uri="{FF2B5EF4-FFF2-40B4-BE49-F238E27FC236}">
              <a16:creationId xmlns:a16="http://schemas.microsoft.com/office/drawing/2014/main" id="{00000000-0008-0000-0F00-00002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0" name="AutoShape 1">
          <a:extLst>
            <a:ext uri="{FF2B5EF4-FFF2-40B4-BE49-F238E27FC236}">
              <a16:creationId xmlns:a16="http://schemas.microsoft.com/office/drawing/2014/main" id="{00000000-0008-0000-0F00-00002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1" name="AutoShape 1">
          <a:extLst>
            <a:ext uri="{FF2B5EF4-FFF2-40B4-BE49-F238E27FC236}">
              <a16:creationId xmlns:a16="http://schemas.microsoft.com/office/drawing/2014/main" id="{00000000-0008-0000-0F00-00002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2" name="AutoShape 1">
          <a:extLst>
            <a:ext uri="{FF2B5EF4-FFF2-40B4-BE49-F238E27FC236}">
              <a16:creationId xmlns:a16="http://schemas.microsoft.com/office/drawing/2014/main" id="{00000000-0008-0000-0F00-00002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3" name="AutoShape 1">
          <a:extLst>
            <a:ext uri="{FF2B5EF4-FFF2-40B4-BE49-F238E27FC236}">
              <a16:creationId xmlns:a16="http://schemas.microsoft.com/office/drawing/2014/main" id="{00000000-0008-0000-0F00-00002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4" name="AutoShape 1">
          <a:extLst>
            <a:ext uri="{FF2B5EF4-FFF2-40B4-BE49-F238E27FC236}">
              <a16:creationId xmlns:a16="http://schemas.microsoft.com/office/drawing/2014/main" id="{00000000-0008-0000-0F00-00002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5" name="AutoShape 1">
          <a:extLst>
            <a:ext uri="{FF2B5EF4-FFF2-40B4-BE49-F238E27FC236}">
              <a16:creationId xmlns:a16="http://schemas.microsoft.com/office/drawing/2014/main" id="{00000000-0008-0000-0F00-00002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6" name="AutoShape 1">
          <a:extLst>
            <a:ext uri="{FF2B5EF4-FFF2-40B4-BE49-F238E27FC236}">
              <a16:creationId xmlns:a16="http://schemas.microsoft.com/office/drawing/2014/main" id="{00000000-0008-0000-0F00-00002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7" name="AutoShape 1">
          <a:extLst>
            <a:ext uri="{FF2B5EF4-FFF2-40B4-BE49-F238E27FC236}">
              <a16:creationId xmlns:a16="http://schemas.microsoft.com/office/drawing/2014/main" id="{00000000-0008-0000-0F00-00002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8" name="AutoShape 1">
          <a:extLst>
            <a:ext uri="{FF2B5EF4-FFF2-40B4-BE49-F238E27FC236}">
              <a16:creationId xmlns:a16="http://schemas.microsoft.com/office/drawing/2014/main" id="{00000000-0008-0000-0F00-00003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69" name="AutoShape 1">
          <a:extLst>
            <a:ext uri="{FF2B5EF4-FFF2-40B4-BE49-F238E27FC236}">
              <a16:creationId xmlns:a16="http://schemas.microsoft.com/office/drawing/2014/main" id="{00000000-0008-0000-0F00-00003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0" name="AutoShape 1">
          <a:extLst>
            <a:ext uri="{FF2B5EF4-FFF2-40B4-BE49-F238E27FC236}">
              <a16:creationId xmlns:a16="http://schemas.microsoft.com/office/drawing/2014/main" id="{00000000-0008-0000-0F00-00003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1" name="AutoShape 1">
          <a:extLst>
            <a:ext uri="{FF2B5EF4-FFF2-40B4-BE49-F238E27FC236}">
              <a16:creationId xmlns:a16="http://schemas.microsoft.com/office/drawing/2014/main" id="{00000000-0008-0000-0F00-00003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2" name="AutoShape 1">
          <a:extLst>
            <a:ext uri="{FF2B5EF4-FFF2-40B4-BE49-F238E27FC236}">
              <a16:creationId xmlns:a16="http://schemas.microsoft.com/office/drawing/2014/main" id="{00000000-0008-0000-0F00-00003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3" name="AutoShape 1">
          <a:extLst>
            <a:ext uri="{FF2B5EF4-FFF2-40B4-BE49-F238E27FC236}">
              <a16:creationId xmlns:a16="http://schemas.microsoft.com/office/drawing/2014/main" id="{00000000-0008-0000-0F00-00003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4" name="AutoShape 1">
          <a:extLst>
            <a:ext uri="{FF2B5EF4-FFF2-40B4-BE49-F238E27FC236}">
              <a16:creationId xmlns:a16="http://schemas.microsoft.com/office/drawing/2014/main" id="{00000000-0008-0000-0F00-00003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5" name="AutoShape 1">
          <a:extLst>
            <a:ext uri="{FF2B5EF4-FFF2-40B4-BE49-F238E27FC236}">
              <a16:creationId xmlns:a16="http://schemas.microsoft.com/office/drawing/2014/main" id="{00000000-0008-0000-0F00-00003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6" name="AutoShape 1">
          <a:extLst>
            <a:ext uri="{FF2B5EF4-FFF2-40B4-BE49-F238E27FC236}">
              <a16:creationId xmlns:a16="http://schemas.microsoft.com/office/drawing/2014/main" id="{00000000-0008-0000-0F00-00003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7" name="AutoShape 1">
          <a:extLst>
            <a:ext uri="{FF2B5EF4-FFF2-40B4-BE49-F238E27FC236}">
              <a16:creationId xmlns:a16="http://schemas.microsoft.com/office/drawing/2014/main" id="{00000000-0008-0000-0F00-00003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8" name="AutoShape 1">
          <a:extLst>
            <a:ext uri="{FF2B5EF4-FFF2-40B4-BE49-F238E27FC236}">
              <a16:creationId xmlns:a16="http://schemas.microsoft.com/office/drawing/2014/main" id="{00000000-0008-0000-0F00-00003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79" name="AutoShape 1">
          <a:extLst>
            <a:ext uri="{FF2B5EF4-FFF2-40B4-BE49-F238E27FC236}">
              <a16:creationId xmlns:a16="http://schemas.microsoft.com/office/drawing/2014/main" id="{00000000-0008-0000-0F00-00003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0" name="AutoShape 1">
          <a:extLst>
            <a:ext uri="{FF2B5EF4-FFF2-40B4-BE49-F238E27FC236}">
              <a16:creationId xmlns:a16="http://schemas.microsoft.com/office/drawing/2014/main" id="{00000000-0008-0000-0F00-00003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1" name="AutoShape 1">
          <a:extLst>
            <a:ext uri="{FF2B5EF4-FFF2-40B4-BE49-F238E27FC236}">
              <a16:creationId xmlns:a16="http://schemas.microsoft.com/office/drawing/2014/main" id="{00000000-0008-0000-0F00-00003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2" name="AutoShape 1">
          <a:extLst>
            <a:ext uri="{FF2B5EF4-FFF2-40B4-BE49-F238E27FC236}">
              <a16:creationId xmlns:a16="http://schemas.microsoft.com/office/drawing/2014/main" id="{00000000-0008-0000-0F00-00003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3" name="AutoShape 1">
          <a:extLst>
            <a:ext uri="{FF2B5EF4-FFF2-40B4-BE49-F238E27FC236}">
              <a16:creationId xmlns:a16="http://schemas.microsoft.com/office/drawing/2014/main" id="{00000000-0008-0000-0F00-00003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4" name="AutoShape 1">
          <a:extLst>
            <a:ext uri="{FF2B5EF4-FFF2-40B4-BE49-F238E27FC236}">
              <a16:creationId xmlns:a16="http://schemas.microsoft.com/office/drawing/2014/main" id="{00000000-0008-0000-0F00-00004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5" name="AutoShape 1">
          <a:extLst>
            <a:ext uri="{FF2B5EF4-FFF2-40B4-BE49-F238E27FC236}">
              <a16:creationId xmlns:a16="http://schemas.microsoft.com/office/drawing/2014/main" id="{00000000-0008-0000-0F00-00004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6" name="AutoShape 1">
          <a:extLst>
            <a:ext uri="{FF2B5EF4-FFF2-40B4-BE49-F238E27FC236}">
              <a16:creationId xmlns:a16="http://schemas.microsoft.com/office/drawing/2014/main" id="{00000000-0008-0000-0F00-00004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7" name="AutoShape 1">
          <a:extLst>
            <a:ext uri="{FF2B5EF4-FFF2-40B4-BE49-F238E27FC236}">
              <a16:creationId xmlns:a16="http://schemas.microsoft.com/office/drawing/2014/main" id="{00000000-0008-0000-0F00-00004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8" name="AutoShape 1">
          <a:extLst>
            <a:ext uri="{FF2B5EF4-FFF2-40B4-BE49-F238E27FC236}">
              <a16:creationId xmlns:a16="http://schemas.microsoft.com/office/drawing/2014/main" id="{00000000-0008-0000-0F00-00004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89" name="AutoShape 1">
          <a:extLst>
            <a:ext uri="{FF2B5EF4-FFF2-40B4-BE49-F238E27FC236}">
              <a16:creationId xmlns:a16="http://schemas.microsoft.com/office/drawing/2014/main" id="{00000000-0008-0000-0F00-00004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0" name="AutoShape 1">
          <a:extLst>
            <a:ext uri="{FF2B5EF4-FFF2-40B4-BE49-F238E27FC236}">
              <a16:creationId xmlns:a16="http://schemas.microsoft.com/office/drawing/2014/main" id="{00000000-0008-0000-0F00-00004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1" name="AutoShape 1">
          <a:extLst>
            <a:ext uri="{FF2B5EF4-FFF2-40B4-BE49-F238E27FC236}">
              <a16:creationId xmlns:a16="http://schemas.microsoft.com/office/drawing/2014/main" id="{00000000-0008-0000-0F00-00004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2" name="AutoShape 1">
          <a:extLst>
            <a:ext uri="{FF2B5EF4-FFF2-40B4-BE49-F238E27FC236}">
              <a16:creationId xmlns:a16="http://schemas.microsoft.com/office/drawing/2014/main" id="{00000000-0008-0000-0F00-00004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3" name="AutoShape 1">
          <a:extLst>
            <a:ext uri="{FF2B5EF4-FFF2-40B4-BE49-F238E27FC236}">
              <a16:creationId xmlns:a16="http://schemas.microsoft.com/office/drawing/2014/main" id="{00000000-0008-0000-0F00-00004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4" name="AutoShape 1">
          <a:extLst>
            <a:ext uri="{FF2B5EF4-FFF2-40B4-BE49-F238E27FC236}">
              <a16:creationId xmlns:a16="http://schemas.microsoft.com/office/drawing/2014/main" id="{00000000-0008-0000-0F00-00004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5" name="AutoShape 1">
          <a:extLst>
            <a:ext uri="{FF2B5EF4-FFF2-40B4-BE49-F238E27FC236}">
              <a16:creationId xmlns:a16="http://schemas.microsoft.com/office/drawing/2014/main" id="{00000000-0008-0000-0F00-00004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6" name="AutoShape 1">
          <a:extLst>
            <a:ext uri="{FF2B5EF4-FFF2-40B4-BE49-F238E27FC236}">
              <a16:creationId xmlns:a16="http://schemas.microsoft.com/office/drawing/2014/main" id="{00000000-0008-0000-0F00-00004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7" name="AutoShape 1">
          <a:extLst>
            <a:ext uri="{FF2B5EF4-FFF2-40B4-BE49-F238E27FC236}">
              <a16:creationId xmlns:a16="http://schemas.microsoft.com/office/drawing/2014/main" id="{00000000-0008-0000-0F00-00004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8" name="AutoShape 1">
          <a:extLst>
            <a:ext uri="{FF2B5EF4-FFF2-40B4-BE49-F238E27FC236}">
              <a16:creationId xmlns:a16="http://schemas.microsoft.com/office/drawing/2014/main" id="{00000000-0008-0000-0F00-00004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199" name="AutoShape 1">
          <a:extLst>
            <a:ext uri="{FF2B5EF4-FFF2-40B4-BE49-F238E27FC236}">
              <a16:creationId xmlns:a16="http://schemas.microsoft.com/office/drawing/2014/main" id="{00000000-0008-0000-0F00-00004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0" name="AutoShape 1">
          <a:extLst>
            <a:ext uri="{FF2B5EF4-FFF2-40B4-BE49-F238E27FC236}">
              <a16:creationId xmlns:a16="http://schemas.microsoft.com/office/drawing/2014/main" id="{00000000-0008-0000-0F00-00005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1" name="AutoShape 1">
          <a:extLst>
            <a:ext uri="{FF2B5EF4-FFF2-40B4-BE49-F238E27FC236}">
              <a16:creationId xmlns:a16="http://schemas.microsoft.com/office/drawing/2014/main" id="{00000000-0008-0000-0F00-00005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2" name="AutoShape 1">
          <a:extLst>
            <a:ext uri="{FF2B5EF4-FFF2-40B4-BE49-F238E27FC236}">
              <a16:creationId xmlns:a16="http://schemas.microsoft.com/office/drawing/2014/main" id="{00000000-0008-0000-0F00-00005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3" name="AutoShape 1">
          <a:extLst>
            <a:ext uri="{FF2B5EF4-FFF2-40B4-BE49-F238E27FC236}">
              <a16:creationId xmlns:a16="http://schemas.microsoft.com/office/drawing/2014/main" id="{00000000-0008-0000-0F00-00005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4" name="AutoShape 1">
          <a:extLst>
            <a:ext uri="{FF2B5EF4-FFF2-40B4-BE49-F238E27FC236}">
              <a16:creationId xmlns:a16="http://schemas.microsoft.com/office/drawing/2014/main" id="{00000000-0008-0000-0F00-00005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5" name="AutoShape 1">
          <a:extLst>
            <a:ext uri="{FF2B5EF4-FFF2-40B4-BE49-F238E27FC236}">
              <a16:creationId xmlns:a16="http://schemas.microsoft.com/office/drawing/2014/main" id="{00000000-0008-0000-0F00-00005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6" name="AutoShape 1">
          <a:extLst>
            <a:ext uri="{FF2B5EF4-FFF2-40B4-BE49-F238E27FC236}">
              <a16:creationId xmlns:a16="http://schemas.microsoft.com/office/drawing/2014/main" id="{00000000-0008-0000-0F00-00005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7" name="AutoShape 1">
          <a:extLst>
            <a:ext uri="{FF2B5EF4-FFF2-40B4-BE49-F238E27FC236}">
              <a16:creationId xmlns:a16="http://schemas.microsoft.com/office/drawing/2014/main" id="{00000000-0008-0000-0F00-00005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8" name="AutoShape 1">
          <a:extLst>
            <a:ext uri="{FF2B5EF4-FFF2-40B4-BE49-F238E27FC236}">
              <a16:creationId xmlns:a16="http://schemas.microsoft.com/office/drawing/2014/main" id="{00000000-0008-0000-0F00-00005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09" name="AutoShape 1">
          <a:extLst>
            <a:ext uri="{FF2B5EF4-FFF2-40B4-BE49-F238E27FC236}">
              <a16:creationId xmlns:a16="http://schemas.microsoft.com/office/drawing/2014/main" id="{00000000-0008-0000-0F00-00005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0" name="AutoShape 1">
          <a:extLst>
            <a:ext uri="{FF2B5EF4-FFF2-40B4-BE49-F238E27FC236}">
              <a16:creationId xmlns:a16="http://schemas.microsoft.com/office/drawing/2014/main" id="{00000000-0008-0000-0F00-00005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1" name="AutoShape 1">
          <a:extLst>
            <a:ext uri="{FF2B5EF4-FFF2-40B4-BE49-F238E27FC236}">
              <a16:creationId xmlns:a16="http://schemas.microsoft.com/office/drawing/2014/main" id="{00000000-0008-0000-0F00-00005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2" name="AutoShape 1">
          <a:extLst>
            <a:ext uri="{FF2B5EF4-FFF2-40B4-BE49-F238E27FC236}">
              <a16:creationId xmlns:a16="http://schemas.microsoft.com/office/drawing/2014/main" id="{00000000-0008-0000-0F00-00005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3" name="AutoShape 1">
          <a:extLst>
            <a:ext uri="{FF2B5EF4-FFF2-40B4-BE49-F238E27FC236}">
              <a16:creationId xmlns:a16="http://schemas.microsoft.com/office/drawing/2014/main" id="{00000000-0008-0000-0F00-00005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4" name="AutoShape 1">
          <a:extLst>
            <a:ext uri="{FF2B5EF4-FFF2-40B4-BE49-F238E27FC236}">
              <a16:creationId xmlns:a16="http://schemas.microsoft.com/office/drawing/2014/main" id="{00000000-0008-0000-0F00-00005E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5" name="AutoShape 1">
          <a:extLst>
            <a:ext uri="{FF2B5EF4-FFF2-40B4-BE49-F238E27FC236}">
              <a16:creationId xmlns:a16="http://schemas.microsoft.com/office/drawing/2014/main" id="{00000000-0008-0000-0F00-00005F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6" name="AutoShape 1">
          <a:extLst>
            <a:ext uri="{FF2B5EF4-FFF2-40B4-BE49-F238E27FC236}">
              <a16:creationId xmlns:a16="http://schemas.microsoft.com/office/drawing/2014/main" id="{00000000-0008-0000-0F00-00006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7" name="AutoShape 1">
          <a:extLst>
            <a:ext uri="{FF2B5EF4-FFF2-40B4-BE49-F238E27FC236}">
              <a16:creationId xmlns:a16="http://schemas.microsoft.com/office/drawing/2014/main" id="{00000000-0008-0000-0F00-00006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8" name="AutoShape 1">
          <a:extLst>
            <a:ext uri="{FF2B5EF4-FFF2-40B4-BE49-F238E27FC236}">
              <a16:creationId xmlns:a16="http://schemas.microsoft.com/office/drawing/2014/main" id="{00000000-0008-0000-0F00-00006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19" name="AutoShape 1">
          <a:extLst>
            <a:ext uri="{FF2B5EF4-FFF2-40B4-BE49-F238E27FC236}">
              <a16:creationId xmlns:a16="http://schemas.microsoft.com/office/drawing/2014/main" id="{00000000-0008-0000-0F00-00006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0" name="AutoShape 1">
          <a:extLst>
            <a:ext uri="{FF2B5EF4-FFF2-40B4-BE49-F238E27FC236}">
              <a16:creationId xmlns:a16="http://schemas.microsoft.com/office/drawing/2014/main" id="{00000000-0008-0000-0F00-000064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1" name="AutoShape 1">
          <a:extLst>
            <a:ext uri="{FF2B5EF4-FFF2-40B4-BE49-F238E27FC236}">
              <a16:creationId xmlns:a16="http://schemas.microsoft.com/office/drawing/2014/main" id="{00000000-0008-0000-0F00-000065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2" name="AutoShape 1">
          <a:extLst>
            <a:ext uri="{FF2B5EF4-FFF2-40B4-BE49-F238E27FC236}">
              <a16:creationId xmlns:a16="http://schemas.microsoft.com/office/drawing/2014/main" id="{00000000-0008-0000-0F00-000066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3" name="AutoShape 1">
          <a:extLst>
            <a:ext uri="{FF2B5EF4-FFF2-40B4-BE49-F238E27FC236}">
              <a16:creationId xmlns:a16="http://schemas.microsoft.com/office/drawing/2014/main" id="{00000000-0008-0000-0F00-000067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4" name="AutoShape 1">
          <a:extLst>
            <a:ext uri="{FF2B5EF4-FFF2-40B4-BE49-F238E27FC236}">
              <a16:creationId xmlns:a16="http://schemas.microsoft.com/office/drawing/2014/main" id="{00000000-0008-0000-0F00-000068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5" name="AutoShape 1">
          <a:extLst>
            <a:ext uri="{FF2B5EF4-FFF2-40B4-BE49-F238E27FC236}">
              <a16:creationId xmlns:a16="http://schemas.microsoft.com/office/drawing/2014/main" id="{00000000-0008-0000-0F00-000069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6" name="AutoShape 1">
          <a:extLst>
            <a:ext uri="{FF2B5EF4-FFF2-40B4-BE49-F238E27FC236}">
              <a16:creationId xmlns:a16="http://schemas.microsoft.com/office/drawing/2014/main" id="{00000000-0008-0000-0F00-00006A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7" name="AutoShape 1">
          <a:extLst>
            <a:ext uri="{FF2B5EF4-FFF2-40B4-BE49-F238E27FC236}">
              <a16:creationId xmlns:a16="http://schemas.microsoft.com/office/drawing/2014/main" id="{00000000-0008-0000-0F00-00006B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8" name="AutoShape 1">
          <a:extLst>
            <a:ext uri="{FF2B5EF4-FFF2-40B4-BE49-F238E27FC236}">
              <a16:creationId xmlns:a16="http://schemas.microsoft.com/office/drawing/2014/main" id="{00000000-0008-0000-0F00-00006C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29" name="AutoShape 1">
          <a:extLst>
            <a:ext uri="{FF2B5EF4-FFF2-40B4-BE49-F238E27FC236}">
              <a16:creationId xmlns:a16="http://schemas.microsoft.com/office/drawing/2014/main" id="{00000000-0008-0000-0F00-00006D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0" name="AutoShape 1">
          <a:extLst>
            <a:ext uri="{FF2B5EF4-FFF2-40B4-BE49-F238E27FC236}">
              <a16:creationId xmlns:a16="http://schemas.microsoft.com/office/drawing/2014/main" id="{00000000-0008-0000-0F00-00006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1" name="AutoShape 1">
          <a:extLst>
            <a:ext uri="{FF2B5EF4-FFF2-40B4-BE49-F238E27FC236}">
              <a16:creationId xmlns:a16="http://schemas.microsoft.com/office/drawing/2014/main" id="{00000000-0008-0000-0F00-00006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2" name="AutoShape 1">
          <a:extLst>
            <a:ext uri="{FF2B5EF4-FFF2-40B4-BE49-F238E27FC236}">
              <a16:creationId xmlns:a16="http://schemas.microsoft.com/office/drawing/2014/main" id="{00000000-0008-0000-0F00-00007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3" name="AutoShape 1">
          <a:extLst>
            <a:ext uri="{FF2B5EF4-FFF2-40B4-BE49-F238E27FC236}">
              <a16:creationId xmlns:a16="http://schemas.microsoft.com/office/drawing/2014/main" id="{00000000-0008-0000-0F00-00007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4" name="AutoShape 1">
          <a:extLst>
            <a:ext uri="{FF2B5EF4-FFF2-40B4-BE49-F238E27FC236}">
              <a16:creationId xmlns:a16="http://schemas.microsoft.com/office/drawing/2014/main" id="{00000000-0008-0000-0F00-00007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5" name="AutoShape 1">
          <a:extLst>
            <a:ext uri="{FF2B5EF4-FFF2-40B4-BE49-F238E27FC236}">
              <a16:creationId xmlns:a16="http://schemas.microsoft.com/office/drawing/2014/main" id="{00000000-0008-0000-0F00-00007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6" name="AutoShape 1">
          <a:extLst>
            <a:ext uri="{FF2B5EF4-FFF2-40B4-BE49-F238E27FC236}">
              <a16:creationId xmlns:a16="http://schemas.microsoft.com/office/drawing/2014/main" id="{00000000-0008-0000-0F00-00007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7" name="AutoShape 1">
          <a:extLst>
            <a:ext uri="{FF2B5EF4-FFF2-40B4-BE49-F238E27FC236}">
              <a16:creationId xmlns:a16="http://schemas.microsoft.com/office/drawing/2014/main" id="{00000000-0008-0000-0F00-00007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8" name="AutoShape 1">
          <a:extLst>
            <a:ext uri="{FF2B5EF4-FFF2-40B4-BE49-F238E27FC236}">
              <a16:creationId xmlns:a16="http://schemas.microsoft.com/office/drawing/2014/main" id="{00000000-0008-0000-0F00-00007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39" name="AutoShape 1">
          <a:extLst>
            <a:ext uri="{FF2B5EF4-FFF2-40B4-BE49-F238E27FC236}">
              <a16:creationId xmlns:a16="http://schemas.microsoft.com/office/drawing/2014/main" id="{00000000-0008-0000-0F00-00007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0" name="AutoShape 1">
          <a:extLst>
            <a:ext uri="{FF2B5EF4-FFF2-40B4-BE49-F238E27FC236}">
              <a16:creationId xmlns:a16="http://schemas.microsoft.com/office/drawing/2014/main" id="{00000000-0008-0000-0F00-00007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1" name="AutoShape 1">
          <a:extLst>
            <a:ext uri="{FF2B5EF4-FFF2-40B4-BE49-F238E27FC236}">
              <a16:creationId xmlns:a16="http://schemas.microsoft.com/office/drawing/2014/main" id="{00000000-0008-0000-0F00-00007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2" name="AutoShape 1">
          <a:extLst>
            <a:ext uri="{FF2B5EF4-FFF2-40B4-BE49-F238E27FC236}">
              <a16:creationId xmlns:a16="http://schemas.microsoft.com/office/drawing/2014/main" id="{00000000-0008-0000-0F00-00007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3" name="AutoShape 1">
          <a:extLst>
            <a:ext uri="{FF2B5EF4-FFF2-40B4-BE49-F238E27FC236}">
              <a16:creationId xmlns:a16="http://schemas.microsoft.com/office/drawing/2014/main" id="{00000000-0008-0000-0F00-00007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4" name="AutoShape 1">
          <a:extLst>
            <a:ext uri="{FF2B5EF4-FFF2-40B4-BE49-F238E27FC236}">
              <a16:creationId xmlns:a16="http://schemas.microsoft.com/office/drawing/2014/main" id="{00000000-0008-0000-0F00-00007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5" name="AutoShape 1">
          <a:extLst>
            <a:ext uri="{FF2B5EF4-FFF2-40B4-BE49-F238E27FC236}">
              <a16:creationId xmlns:a16="http://schemas.microsoft.com/office/drawing/2014/main" id="{00000000-0008-0000-0F00-00007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6" name="AutoShape 1">
          <a:extLst>
            <a:ext uri="{FF2B5EF4-FFF2-40B4-BE49-F238E27FC236}">
              <a16:creationId xmlns:a16="http://schemas.microsoft.com/office/drawing/2014/main" id="{00000000-0008-0000-0F00-00007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7" name="AutoShape 1">
          <a:extLst>
            <a:ext uri="{FF2B5EF4-FFF2-40B4-BE49-F238E27FC236}">
              <a16:creationId xmlns:a16="http://schemas.microsoft.com/office/drawing/2014/main" id="{00000000-0008-0000-0F00-00007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8" name="AutoShape 1">
          <a:extLst>
            <a:ext uri="{FF2B5EF4-FFF2-40B4-BE49-F238E27FC236}">
              <a16:creationId xmlns:a16="http://schemas.microsoft.com/office/drawing/2014/main" id="{00000000-0008-0000-0F00-00008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49" name="AutoShape 1">
          <a:extLst>
            <a:ext uri="{FF2B5EF4-FFF2-40B4-BE49-F238E27FC236}">
              <a16:creationId xmlns:a16="http://schemas.microsoft.com/office/drawing/2014/main" id="{00000000-0008-0000-0F00-00008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0" name="AutoShape 1">
          <a:extLst>
            <a:ext uri="{FF2B5EF4-FFF2-40B4-BE49-F238E27FC236}">
              <a16:creationId xmlns:a16="http://schemas.microsoft.com/office/drawing/2014/main" id="{00000000-0008-0000-0F00-00008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1" name="AutoShape 1">
          <a:extLst>
            <a:ext uri="{FF2B5EF4-FFF2-40B4-BE49-F238E27FC236}">
              <a16:creationId xmlns:a16="http://schemas.microsoft.com/office/drawing/2014/main" id="{00000000-0008-0000-0F00-00008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2" name="AutoShape 1">
          <a:extLst>
            <a:ext uri="{FF2B5EF4-FFF2-40B4-BE49-F238E27FC236}">
              <a16:creationId xmlns:a16="http://schemas.microsoft.com/office/drawing/2014/main" id="{00000000-0008-0000-0F00-00008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3" name="AutoShape 1">
          <a:extLst>
            <a:ext uri="{FF2B5EF4-FFF2-40B4-BE49-F238E27FC236}">
              <a16:creationId xmlns:a16="http://schemas.microsoft.com/office/drawing/2014/main" id="{00000000-0008-0000-0F00-00008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4" name="AutoShape 1">
          <a:extLst>
            <a:ext uri="{FF2B5EF4-FFF2-40B4-BE49-F238E27FC236}">
              <a16:creationId xmlns:a16="http://schemas.microsoft.com/office/drawing/2014/main" id="{00000000-0008-0000-0F00-00008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5" name="AutoShape 1">
          <a:extLst>
            <a:ext uri="{FF2B5EF4-FFF2-40B4-BE49-F238E27FC236}">
              <a16:creationId xmlns:a16="http://schemas.microsoft.com/office/drawing/2014/main" id="{00000000-0008-0000-0F00-00008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6" name="AutoShape 1">
          <a:extLst>
            <a:ext uri="{FF2B5EF4-FFF2-40B4-BE49-F238E27FC236}">
              <a16:creationId xmlns:a16="http://schemas.microsoft.com/office/drawing/2014/main" id="{00000000-0008-0000-0F00-00008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7" name="AutoShape 1">
          <a:extLst>
            <a:ext uri="{FF2B5EF4-FFF2-40B4-BE49-F238E27FC236}">
              <a16:creationId xmlns:a16="http://schemas.microsoft.com/office/drawing/2014/main" id="{00000000-0008-0000-0F00-00008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8" name="AutoShape 1">
          <a:extLst>
            <a:ext uri="{FF2B5EF4-FFF2-40B4-BE49-F238E27FC236}">
              <a16:creationId xmlns:a16="http://schemas.microsoft.com/office/drawing/2014/main" id="{00000000-0008-0000-0F00-00008A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59" name="AutoShape 1">
          <a:extLst>
            <a:ext uri="{FF2B5EF4-FFF2-40B4-BE49-F238E27FC236}">
              <a16:creationId xmlns:a16="http://schemas.microsoft.com/office/drawing/2014/main" id="{00000000-0008-0000-0F00-00008B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0" name="AutoShape 1">
          <a:extLst>
            <a:ext uri="{FF2B5EF4-FFF2-40B4-BE49-F238E27FC236}">
              <a16:creationId xmlns:a16="http://schemas.microsoft.com/office/drawing/2014/main" id="{00000000-0008-0000-0F00-00008C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1" name="AutoShape 1">
          <a:extLst>
            <a:ext uri="{FF2B5EF4-FFF2-40B4-BE49-F238E27FC236}">
              <a16:creationId xmlns:a16="http://schemas.microsoft.com/office/drawing/2014/main" id="{00000000-0008-0000-0F00-00008D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2" name="AutoShape 1">
          <a:extLst>
            <a:ext uri="{FF2B5EF4-FFF2-40B4-BE49-F238E27FC236}">
              <a16:creationId xmlns:a16="http://schemas.microsoft.com/office/drawing/2014/main" id="{00000000-0008-0000-0F00-00008E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3" name="AutoShape 1">
          <a:extLst>
            <a:ext uri="{FF2B5EF4-FFF2-40B4-BE49-F238E27FC236}">
              <a16:creationId xmlns:a16="http://schemas.microsoft.com/office/drawing/2014/main" id="{00000000-0008-0000-0F00-00008F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4" name="AutoShape 1">
          <a:extLst>
            <a:ext uri="{FF2B5EF4-FFF2-40B4-BE49-F238E27FC236}">
              <a16:creationId xmlns:a16="http://schemas.microsoft.com/office/drawing/2014/main" id="{00000000-0008-0000-0F00-000090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5" name="AutoShape 1">
          <a:extLst>
            <a:ext uri="{FF2B5EF4-FFF2-40B4-BE49-F238E27FC236}">
              <a16:creationId xmlns:a16="http://schemas.microsoft.com/office/drawing/2014/main" id="{00000000-0008-0000-0F00-000091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6" name="AutoShape 1">
          <a:extLst>
            <a:ext uri="{FF2B5EF4-FFF2-40B4-BE49-F238E27FC236}">
              <a16:creationId xmlns:a16="http://schemas.microsoft.com/office/drawing/2014/main" id="{00000000-0008-0000-0F00-000092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7" name="AutoShape 1">
          <a:extLst>
            <a:ext uri="{FF2B5EF4-FFF2-40B4-BE49-F238E27FC236}">
              <a16:creationId xmlns:a16="http://schemas.microsoft.com/office/drawing/2014/main" id="{00000000-0008-0000-0F00-000093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8" name="AutoShape 1">
          <a:extLst>
            <a:ext uri="{FF2B5EF4-FFF2-40B4-BE49-F238E27FC236}">
              <a16:creationId xmlns:a16="http://schemas.microsoft.com/office/drawing/2014/main" id="{00000000-0008-0000-0F00-000094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69" name="AutoShape 1">
          <a:extLst>
            <a:ext uri="{FF2B5EF4-FFF2-40B4-BE49-F238E27FC236}">
              <a16:creationId xmlns:a16="http://schemas.microsoft.com/office/drawing/2014/main" id="{00000000-0008-0000-0F00-000095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0" name="AutoShape 1">
          <a:extLst>
            <a:ext uri="{FF2B5EF4-FFF2-40B4-BE49-F238E27FC236}">
              <a16:creationId xmlns:a16="http://schemas.microsoft.com/office/drawing/2014/main" id="{00000000-0008-0000-0F00-000096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1" name="AutoShape 1">
          <a:extLst>
            <a:ext uri="{FF2B5EF4-FFF2-40B4-BE49-F238E27FC236}">
              <a16:creationId xmlns:a16="http://schemas.microsoft.com/office/drawing/2014/main" id="{00000000-0008-0000-0F00-000097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2" name="AutoShape 1">
          <a:extLst>
            <a:ext uri="{FF2B5EF4-FFF2-40B4-BE49-F238E27FC236}">
              <a16:creationId xmlns:a16="http://schemas.microsoft.com/office/drawing/2014/main" id="{00000000-0008-0000-0F00-000098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3" name="AutoShape 1">
          <a:extLst>
            <a:ext uri="{FF2B5EF4-FFF2-40B4-BE49-F238E27FC236}">
              <a16:creationId xmlns:a16="http://schemas.microsoft.com/office/drawing/2014/main" id="{00000000-0008-0000-0F00-000099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4" name="AutoShape 1">
          <a:extLst>
            <a:ext uri="{FF2B5EF4-FFF2-40B4-BE49-F238E27FC236}">
              <a16:creationId xmlns:a16="http://schemas.microsoft.com/office/drawing/2014/main" id="{00000000-0008-0000-0F00-00009A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5" name="AutoShape 1">
          <a:extLst>
            <a:ext uri="{FF2B5EF4-FFF2-40B4-BE49-F238E27FC236}">
              <a16:creationId xmlns:a16="http://schemas.microsoft.com/office/drawing/2014/main" id="{00000000-0008-0000-0F00-00009B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6" name="AutoShape 1">
          <a:extLst>
            <a:ext uri="{FF2B5EF4-FFF2-40B4-BE49-F238E27FC236}">
              <a16:creationId xmlns:a16="http://schemas.microsoft.com/office/drawing/2014/main" id="{00000000-0008-0000-0F00-00009C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7" name="AutoShape 1">
          <a:extLst>
            <a:ext uri="{FF2B5EF4-FFF2-40B4-BE49-F238E27FC236}">
              <a16:creationId xmlns:a16="http://schemas.microsoft.com/office/drawing/2014/main" id="{00000000-0008-0000-0F00-00009D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8" name="AutoShape 1">
          <a:extLst>
            <a:ext uri="{FF2B5EF4-FFF2-40B4-BE49-F238E27FC236}">
              <a16:creationId xmlns:a16="http://schemas.microsoft.com/office/drawing/2014/main" id="{00000000-0008-0000-0F00-00009E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79" name="AutoShape 1">
          <a:extLst>
            <a:ext uri="{FF2B5EF4-FFF2-40B4-BE49-F238E27FC236}">
              <a16:creationId xmlns:a16="http://schemas.microsoft.com/office/drawing/2014/main" id="{00000000-0008-0000-0F00-00009F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0" name="AutoShape 1">
          <a:extLst>
            <a:ext uri="{FF2B5EF4-FFF2-40B4-BE49-F238E27FC236}">
              <a16:creationId xmlns:a16="http://schemas.microsoft.com/office/drawing/2014/main" id="{00000000-0008-0000-0F00-0000A0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1" name="AutoShape 1">
          <a:extLst>
            <a:ext uri="{FF2B5EF4-FFF2-40B4-BE49-F238E27FC236}">
              <a16:creationId xmlns:a16="http://schemas.microsoft.com/office/drawing/2014/main" id="{00000000-0008-0000-0F00-0000A1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2" name="AutoShape 1">
          <a:extLst>
            <a:ext uri="{FF2B5EF4-FFF2-40B4-BE49-F238E27FC236}">
              <a16:creationId xmlns:a16="http://schemas.microsoft.com/office/drawing/2014/main" id="{00000000-0008-0000-0F00-0000A2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3" name="AutoShape 1">
          <a:extLst>
            <a:ext uri="{FF2B5EF4-FFF2-40B4-BE49-F238E27FC236}">
              <a16:creationId xmlns:a16="http://schemas.microsoft.com/office/drawing/2014/main" id="{00000000-0008-0000-0F00-0000A3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4" name="AutoShape 1">
          <a:extLst>
            <a:ext uri="{FF2B5EF4-FFF2-40B4-BE49-F238E27FC236}">
              <a16:creationId xmlns:a16="http://schemas.microsoft.com/office/drawing/2014/main" id="{00000000-0008-0000-0F00-0000A4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5" name="AutoShape 1">
          <a:extLst>
            <a:ext uri="{FF2B5EF4-FFF2-40B4-BE49-F238E27FC236}">
              <a16:creationId xmlns:a16="http://schemas.microsoft.com/office/drawing/2014/main" id="{00000000-0008-0000-0F00-0000A5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6" name="AutoShape 1">
          <a:extLst>
            <a:ext uri="{FF2B5EF4-FFF2-40B4-BE49-F238E27FC236}">
              <a16:creationId xmlns:a16="http://schemas.microsoft.com/office/drawing/2014/main" id="{00000000-0008-0000-0F00-0000A6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7" name="AutoShape 1">
          <a:extLst>
            <a:ext uri="{FF2B5EF4-FFF2-40B4-BE49-F238E27FC236}">
              <a16:creationId xmlns:a16="http://schemas.microsoft.com/office/drawing/2014/main" id="{00000000-0008-0000-0F00-0000A7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8" name="AutoShape 1">
          <a:extLst>
            <a:ext uri="{FF2B5EF4-FFF2-40B4-BE49-F238E27FC236}">
              <a16:creationId xmlns:a16="http://schemas.microsoft.com/office/drawing/2014/main" id="{00000000-0008-0000-0F00-0000A8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89" name="AutoShape 1">
          <a:extLst>
            <a:ext uri="{FF2B5EF4-FFF2-40B4-BE49-F238E27FC236}">
              <a16:creationId xmlns:a16="http://schemas.microsoft.com/office/drawing/2014/main" id="{00000000-0008-0000-0F00-0000A9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0" name="AutoShape 1">
          <a:extLst>
            <a:ext uri="{FF2B5EF4-FFF2-40B4-BE49-F238E27FC236}">
              <a16:creationId xmlns:a16="http://schemas.microsoft.com/office/drawing/2014/main" id="{00000000-0008-0000-0F00-0000AA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1" name="AutoShape 1">
          <a:extLst>
            <a:ext uri="{FF2B5EF4-FFF2-40B4-BE49-F238E27FC236}">
              <a16:creationId xmlns:a16="http://schemas.microsoft.com/office/drawing/2014/main" id="{00000000-0008-0000-0F00-0000AB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2" name="AutoShape 1">
          <a:extLst>
            <a:ext uri="{FF2B5EF4-FFF2-40B4-BE49-F238E27FC236}">
              <a16:creationId xmlns:a16="http://schemas.microsoft.com/office/drawing/2014/main" id="{00000000-0008-0000-0F00-0000AC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3" name="AutoShape 1">
          <a:extLst>
            <a:ext uri="{FF2B5EF4-FFF2-40B4-BE49-F238E27FC236}">
              <a16:creationId xmlns:a16="http://schemas.microsoft.com/office/drawing/2014/main" id="{00000000-0008-0000-0F00-0000AD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4" name="AutoShape 1">
          <a:extLst>
            <a:ext uri="{FF2B5EF4-FFF2-40B4-BE49-F238E27FC236}">
              <a16:creationId xmlns:a16="http://schemas.microsoft.com/office/drawing/2014/main" id="{00000000-0008-0000-0F00-0000AE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5" name="AutoShape 1">
          <a:extLst>
            <a:ext uri="{FF2B5EF4-FFF2-40B4-BE49-F238E27FC236}">
              <a16:creationId xmlns:a16="http://schemas.microsoft.com/office/drawing/2014/main" id="{00000000-0008-0000-0F00-0000AF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6" name="AutoShape 1">
          <a:extLst>
            <a:ext uri="{FF2B5EF4-FFF2-40B4-BE49-F238E27FC236}">
              <a16:creationId xmlns:a16="http://schemas.microsoft.com/office/drawing/2014/main" id="{00000000-0008-0000-0F00-0000B014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7" name="AutoShape 1">
          <a:extLst>
            <a:ext uri="{FF2B5EF4-FFF2-40B4-BE49-F238E27FC236}">
              <a16:creationId xmlns:a16="http://schemas.microsoft.com/office/drawing/2014/main" id="{00000000-0008-0000-0F00-0000B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8" name="AutoShape 1">
          <a:extLst>
            <a:ext uri="{FF2B5EF4-FFF2-40B4-BE49-F238E27FC236}">
              <a16:creationId xmlns:a16="http://schemas.microsoft.com/office/drawing/2014/main" id="{00000000-0008-0000-0F00-0000B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299" name="AutoShape 1">
          <a:extLst>
            <a:ext uri="{FF2B5EF4-FFF2-40B4-BE49-F238E27FC236}">
              <a16:creationId xmlns:a16="http://schemas.microsoft.com/office/drawing/2014/main" id="{00000000-0008-0000-0F00-0000B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0" name="AutoShape 1">
          <a:extLst>
            <a:ext uri="{FF2B5EF4-FFF2-40B4-BE49-F238E27FC236}">
              <a16:creationId xmlns:a16="http://schemas.microsoft.com/office/drawing/2014/main" id="{00000000-0008-0000-0F00-0000B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1" name="AutoShape 1">
          <a:extLst>
            <a:ext uri="{FF2B5EF4-FFF2-40B4-BE49-F238E27FC236}">
              <a16:creationId xmlns:a16="http://schemas.microsoft.com/office/drawing/2014/main" id="{00000000-0008-0000-0F00-0000B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2" name="AutoShape 1">
          <a:extLst>
            <a:ext uri="{FF2B5EF4-FFF2-40B4-BE49-F238E27FC236}">
              <a16:creationId xmlns:a16="http://schemas.microsoft.com/office/drawing/2014/main" id="{00000000-0008-0000-0F00-0000B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3" name="AutoShape 1">
          <a:extLst>
            <a:ext uri="{FF2B5EF4-FFF2-40B4-BE49-F238E27FC236}">
              <a16:creationId xmlns:a16="http://schemas.microsoft.com/office/drawing/2014/main" id="{00000000-0008-0000-0F00-0000B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4" name="AutoShape 1">
          <a:extLst>
            <a:ext uri="{FF2B5EF4-FFF2-40B4-BE49-F238E27FC236}">
              <a16:creationId xmlns:a16="http://schemas.microsoft.com/office/drawing/2014/main" id="{00000000-0008-0000-0F00-0000B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5" name="AutoShape 1">
          <a:extLst>
            <a:ext uri="{FF2B5EF4-FFF2-40B4-BE49-F238E27FC236}">
              <a16:creationId xmlns:a16="http://schemas.microsoft.com/office/drawing/2014/main" id="{00000000-0008-0000-0F00-0000B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6" name="AutoShape 1">
          <a:extLst>
            <a:ext uri="{FF2B5EF4-FFF2-40B4-BE49-F238E27FC236}">
              <a16:creationId xmlns:a16="http://schemas.microsoft.com/office/drawing/2014/main" id="{00000000-0008-0000-0F00-0000B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7" name="AutoShape 1">
          <a:extLst>
            <a:ext uri="{FF2B5EF4-FFF2-40B4-BE49-F238E27FC236}">
              <a16:creationId xmlns:a16="http://schemas.microsoft.com/office/drawing/2014/main" id="{00000000-0008-0000-0F00-0000B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8" name="AutoShape 1">
          <a:extLst>
            <a:ext uri="{FF2B5EF4-FFF2-40B4-BE49-F238E27FC236}">
              <a16:creationId xmlns:a16="http://schemas.microsoft.com/office/drawing/2014/main" id="{00000000-0008-0000-0F00-0000B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09" name="AutoShape 1">
          <a:extLst>
            <a:ext uri="{FF2B5EF4-FFF2-40B4-BE49-F238E27FC236}">
              <a16:creationId xmlns:a16="http://schemas.microsoft.com/office/drawing/2014/main" id="{00000000-0008-0000-0F00-0000B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0" name="AutoShape 1">
          <a:extLst>
            <a:ext uri="{FF2B5EF4-FFF2-40B4-BE49-F238E27FC236}">
              <a16:creationId xmlns:a16="http://schemas.microsoft.com/office/drawing/2014/main" id="{00000000-0008-0000-0F00-0000B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1" name="AutoShape 1">
          <a:extLst>
            <a:ext uri="{FF2B5EF4-FFF2-40B4-BE49-F238E27FC236}">
              <a16:creationId xmlns:a16="http://schemas.microsoft.com/office/drawing/2014/main" id="{00000000-0008-0000-0F00-0000B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2" name="AutoShape 1">
          <a:extLst>
            <a:ext uri="{FF2B5EF4-FFF2-40B4-BE49-F238E27FC236}">
              <a16:creationId xmlns:a16="http://schemas.microsoft.com/office/drawing/2014/main" id="{00000000-0008-0000-0F00-0000C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3" name="AutoShape 1">
          <a:extLst>
            <a:ext uri="{FF2B5EF4-FFF2-40B4-BE49-F238E27FC236}">
              <a16:creationId xmlns:a16="http://schemas.microsoft.com/office/drawing/2014/main" id="{00000000-0008-0000-0F00-0000C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4" name="AutoShape 1">
          <a:extLst>
            <a:ext uri="{FF2B5EF4-FFF2-40B4-BE49-F238E27FC236}">
              <a16:creationId xmlns:a16="http://schemas.microsoft.com/office/drawing/2014/main" id="{00000000-0008-0000-0F00-0000C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5" name="AutoShape 1">
          <a:extLst>
            <a:ext uri="{FF2B5EF4-FFF2-40B4-BE49-F238E27FC236}">
              <a16:creationId xmlns:a16="http://schemas.microsoft.com/office/drawing/2014/main" id="{00000000-0008-0000-0F00-0000C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6" name="AutoShape 1">
          <a:extLst>
            <a:ext uri="{FF2B5EF4-FFF2-40B4-BE49-F238E27FC236}">
              <a16:creationId xmlns:a16="http://schemas.microsoft.com/office/drawing/2014/main" id="{00000000-0008-0000-0F00-0000C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7" name="AutoShape 1">
          <a:extLst>
            <a:ext uri="{FF2B5EF4-FFF2-40B4-BE49-F238E27FC236}">
              <a16:creationId xmlns:a16="http://schemas.microsoft.com/office/drawing/2014/main" id="{00000000-0008-0000-0F00-0000C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8" name="AutoShape 1">
          <a:extLst>
            <a:ext uri="{FF2B5EF4-FFF2-40B4-BE49-F238E27FC236}">
              <a16:creationId xmlns:a16="http://schemas.microsoft.com/office/drawing/2014/main" id="{00000000-0008-0000-0F00-0000C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19" name="AutoShape 1">
          <a:extLst>
            <a:ext uri="{FF2B5EF4-FFF2-40B4-BE49-F238E27FC236}">
              <a16:creationId xmlns:a16="http://schemas.microsoft.com/office/drawing/2014/main" id="{00000000-0008-0000-0F00-0000C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0" name="AutoShape 1">
          <a:extLst>
            <a:ext uri="{FF2B5EF4-FFF2-40B4-BE49-F238E27FC236}">
              <a16:creationId xmlns:a16="http://schemas.microsoft.com/office/drawing/2014/main" id="{00000000-0008-0000-0F00-0000C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1" name="AutoShape 1">
          <a:extLst>
            <a:ext uri="{FF2B5EF4-FFF2-40B4-BE49-F238E27FC236}">
              <a16:creationId xmlns:a16="http://schemas.microsoft.com/office/drawing/2014/main" id="{00000000-0008-0000-0F00-0000C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2" name="AutoShape 1">
          <a:extLst>
            <a:ext uri="{FF2B5EF4-FFF2-40B4-BE49-F238E27FC236}">
              <a16:creationId xmlns:a16="http://schemas.microsoft.com/office/drawing/2014/main" id="{00000000-0008-0000-0F00-0000C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3" name="AutoShape 1">
          <a:extLst>
            <a:ext uri="{FF2B5EF4-FFF2-40B4-BE49-F238E27FC236}">
              <a16:creationId xmlns:a16="http://schemas.microsoft.com/office/drawing/2014/main" id="{00000000-0008-0000-0F00-0000C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4" name="AutoShape 1">
          <a:extLst>
            <a:ext uri="{FF2B5EF4-FFF2-40B4-BE49-F238E27FC236}">
              <a16:creationId xmlns:a16="http://schemas.microsoft.com/office/drawing/2014/main" id="{00000000-0008-0000-0F00-0000C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5" name="AutoShape 1">
          <a:extLst>
            <a:ext uri="{FF2B5EF4-FFF2-40B4-BE49-F238E27FC236}">
              <a16:creationId xmlns:a16="http://schemas.microsoft.com/office/drawing/2014/main" id="{00000000-0008-0000-0F00-0000C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6" name="AutoShape 1">
          <a:extLst>
            <a:ext uri="{FF2B5EF4-FFF2-40B4-BE49-F238E27FC236}">
              <a16:creationId xmlns:a16="http://schemas.microsoft.com/office/drawing/2014/main" id="{00000000-0008-0000-0F00-0000C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7" name="AutoShape 1">
          <a:extLst>
            <a:ext uri="{FF2B5EF4-FFF2-40B4-BE49-F238E27FC236}">
              <a16:creationId xmlns:a16="http://schemas.microsoft.com/office/drawing/2014/main" id="{00000000-0008-0000-0F00-0000C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8" name="AutoShape 1">
          <a:extLst>
            <a:ext uri="{FF2B5EF4-FFF2-40B4-BE49-F238E27FC236}">
              <a16:creationId xmlns:a16="http://schemas.microsoft.com/office/drawing/2014/main" id="{00000000-0008-0000-0F00-0000D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29" name="AutoShape 1">
          <a:extLst>
            <a:ext uri="{FF2B5EF4-FFF2-40B4-BE49-F238E27FC236}">
              <a16:creationId xmlns:a16="http://schemas.microsoft.com/office/drawing/2014/main" id="{00000000-0008-0000-0F00-0000D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0" name="AutoShape 1">
          <a:extLst>
            <a:ext uri="{FF2B5EF4-FFF2-40B4-BE49-F238E27FC236}">
              <a16:creationId xmlns:a16="http://schemas.microsoft.com/office/drawing/2014/main" id="{00000000-0008-0000-0F00-0000D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1" name="AutoShape 1">
          <a:extLst>
            <a:ext uri="{FF2B5EF4-FFF2-40B4-BE49-F238E27FC236}">
              <a16:creationId xmlns:a16="http://schemas.microsoft.com/office/drawing/2014/main" id="{00000000-0008-0000-0F00-0000D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2" name="AutoShape 1">
          <a:extLst>
            <a:ext uri="{FF2B5EF4-FFF2-40B4-BE49-F238E27FC236}">
              <a16:creationId xmlns:a16="http://schemas.microsoft.com/office/drawing/2014/main" id="{00000000-0008-0000-0F00-0000D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3" name="AutoShape 1">
          <a:extLst>
            <a:ext uri="{FF2B5EF4-FFF2-40B4-BE49-F238E27FC236}">
              <a16:creationId xmlns:a16="http://schemas.microsoft.com/office/drawing/2014/main" id="{00000000-0008-0000-0F00-0000D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4" name="AutoShape 1">
          <a:extLst>
            <a:ext uri="{FF2B5EF4-FFF2-40B4-BE49-F238E27FC236}">
              <a16:creationId xmlns:a16="http://schemas.microsoft.com/office/drawing/2014/main" id="{00000000-0008-0000-0F00-0000D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5" name="AutoShape 1">
          <a:extLst>
            <a:ext uri="{FF2B5EF4-FFF2-40B4-BE49-F238E27FC236}">
              <a16:creationId xmlns:a16="http://schemas.microsoft.com/office/drawing/2014/main" id="{00000000-0008-0000-0F00-0000D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6" name="AutoShape 1">
          <a:extLst>
            <a:ext uri="{FF2B5EF4-FFF2-40B4-BE49-F238E27FC236}">
              <a16:creationId xmlns:a16="http://schemas.microsoft.com/office/drawing/2014/main" id="{00000000-0008-0000-0F00-0000D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7" name="AutoShape 1">
          <a:extLst>
            <a:ext uri="{FF2B5EF4-FFF2-40B4-BE49-F238E27FC236}">
              <a16:creationId xmlns:a16="http://schemas.microsoft.com/office/drawing/2014/main" id="{00000000-0008-0000-0F00-0000D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8" name="AutoShape 1">
          <a:extLst>
            <a:ext uri="{FF2B5EF4-FFF2-40B4-BE49-F238E27FC236}">
              <a16:creationId xmlns:a16="http://schemas.microsoft.com/office/drawing/2014/main" id="{00000000-0008-0000-0F00-0000D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39" name="AutoShape 1">
          <a:extLst>
            <a:ext uri="{FF2B5EF4-FFF2-40B4-BE49-F238E27FC236}">
              <a16:creationId xmlns:a16="http://schemas.microsoft.com/office/drawing/2014/main" id="{00000000-0008-0000-0F00-0000D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0" name="AutoShape 1">
          <a:extLst>
            <a:ext uri="{FF2B5EF4-FFF2-40B4-BE49-F238E27FC236}">
              <a16:creationId xmlns:a16="http://schemas.microsoft.com/office/drawing/2014/main" id="{00000000-0008-0000-0F00-0000D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1" name="AutoShape 1">
          <a:extLst>
            <a:ext uri="{FF2B5EF4-FFF2-40B4-BE49-F238E27FC236}">
              <a16:creationId xmlns:a16="http://schemas.microsoft.com/office/drawing/2014/main" id="{00000000-0008-0000-0F00-0000D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2" name="AutoShape 1">
          <a:extLst>
            <a:ext uri="{FF2B5EF4-FFF2-40B4-BE49-F238E27FC236}">
              <a16:creationId xmlns:a16="http://schemas.microsoft.com/office/drawing/2014/main" id="{00000000-0008-0000-0F00-0000D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3" name="AutoShape 1">
          <a:extLst>
            <a:ext uri="{FF2B5EF4-FFF2-40B4-BE49-F238E27FC236}">
              <a16:creationId xmlns:a16="http://schemas.microsoft.com/office/drawing/2014/main" id="{00000000-0008-0000-0F00-0000D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4" name="AutoShape 1">
          <a:extLst>
            <a:ext uri="{FF2B5EF4-FFF2-40B4-BE49-F238E27FC236}">
              <a16:creationId xmlns:a16="http://schemas.microsoft.com/office/drawing/2014/main" id="{00000000-0008-0000-0F00-0000E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5" name="AutoShape 1">
          <a:extLst>
            <a:ext uri="{FF2B5EF4-FFF2-40B4-BE49-F238E27FC236}">
              <a16:creationId xmlns:a16="http://schemas.microsoft.com/office/drawing/2014/main" id="{00000000-0008-0000-0F00-0000E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6" name="AutoShape 1">
          <a:extLst>
            <a:ext uri="{FF2B5EF4-FFF2-40B4-BE49-F238E27FC236}">
              <a16:creationId xmlns:a16="http://schemas.microsoft.com/office/drawing/2014/main" id="{00000000-0008-0000-0F00-0000E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7" name="AutoShape 1">
          <a:extLst>
            <a:ext uri="{FF2B5EF4-FFF2-40B4-BE49-F238E27FC236}">
              <a16:creationId xmlns:a16="http://schemas.microsoft.com/office/drawing/2014/main" id="{00000000-0008-0000-0F00-0000E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8" name="AutoShape 1">
          <a:extLst>
            <a:ext uri="{FF2B5EF4-FFF2-40B4-BE49-F238E27FC236}">
              <a16:creationId xmlns:a16="http://schemas.microsoft.com/office/drawing/2014/main" id="{00000000-0008-0000-0F00-0000E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49" name="AutoShape 1">
          <a:extLst>
            <a:ext uri="{FF2B5EF4-FFF2-40B4-BE49-F238E27FC236}">
              <a16:creationId xmlns:a16="http://schemas.microsoft.com/office/drawing/2014/main" id="{00000000-0008-0000-0F00-0000E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0" name="AutoShape 1">
          <a:extLst>
            <a:ext uri="{FF2B5EF4-FFF2-40B4-BE49-F238E27FC236}">
              <a16:creationId xmlns:a16="http://schemas.microsoft.com/office/drawing/2014/main" id="{00000000-0008-0000-0F00-0000E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1" name="AutoShape 1">
          <a:extLst>
            <a:ext uri="{FF2B5EF4-FFF2-40B4-BE49-F238E27FC236}">
              <a16:creationId xmlns:a16="http://schemas.microsoft.com/office/drawing/2014/main" id="{00000000-0008-0000-0F00-0000E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2" name="AutoShape 1">
          <a:extLst>
            <a:ext uri="{FF2B5EF4-FFF2-40B4-BE49-F238E27FC236}">
              <a16:creationId xmlns:a16="http://schemas.microsoft.com/office/drawing/2014/main" id="{00000000-0008-0000-0F00-0000E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3" name="AutoShape 1">
          <a:extLst>
            <a:ext uri="{FF2B5EF4-FFF2-40B4-BE49-F238E27FC236}">
              <a16:creationId xmlns:a16="http://schemas.microsoft.com/office/drawing/2014/main" id="{00000000-0008-0000-0F00-0000E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4" name="AutoShape 1">
          <a:extLst>
            <a:ext uri="{FF2B5EF4-FFF2-40B4-BE49-F238E27FC236}">
              <a16:creationId xmlns:a16="http://schemas.microsoft.com/office/drawing/2014/main" id="{00000000-0008-0000-0F00-0000E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5" name="AutoShape 1">
          <a:extLst>
            <a:ext uri="{FF2B5EF4-FFF2-40B4-BE49-F238E27FC236}">
              <a16:creationId xmlns:a16="http://schemas.microsoft.com/office/drawing/2014/main" id="{00000000-0008-0000-0F00-0000E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6" name="AutoShape 1">
          <a:extLst>
            <a:ext uri="{FF2B5EF4-FFF2-40B4-BE49-F238E27FC236}">
              <a16:creationId xmlns:a16="http://schemas.microsoft.com/office/drawing/2014/main" id="{00000000-0008-0000-0F00-0000E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7" name="AutoShape 1">
          <a:extLst>
            <a:ext uri="{FF2B5EF4-FFF2-40B4-BE49-F238E27FC236}">
              <a16:creationId xmlns:a16="http://schemas.microsoft.com/office/drawing/2014/main" id="{00000000-0008-0000-0F00-0000E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8" name="AutoShape 1">
          <a:extLst>
            <a:ext uri="{FF2B5EF4-FFF2-40B4-BE49-F238E27FC236}">
              <a16:creationId xmlns:a16="http://schemas.microsoft.com/office/drawing/2014/main" id="{00000000-0008-0000-0F00-0000E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59" name="AutoShape 1">
          <a:extLst>
            <a:ext uri="{FF2B5EF4-FFF2-40B4-BE49-F238E27FC236}">
              <a16:creationId xmlns:a16="http://schemas.microsoft.com/office/drawing/2014/main" id="{00000000-0008-0000-0F00-0000E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0" name="AutoShape 1">
          <a:extLst>
            <a:ext uri="{FF2B5EF4-FFF2-40B4-BE49-F238E27FC236}">
              <a16:creationId xmlns:a16="http://schemas.microsoft.com/office/drawing/2014/main" id="{00000000-0008-0000-0F00-0000F0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1" name="AutoShape 1">
          <a:extLst>
            <a:ext uri="{FF2B5EF4-FFF2-40B4-BE49-F238E27FC236}">
              <a16:creationId xmlns:a16="http://schemas.microsoft.com/office/drawing/2014/main" id="{00000000-0008-0000-0F00-0000F1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2" name="AutoShape 1">
          <a:extLst>
            <a:ext uri="{FF2B5EF4-FFF2-40B4-BE49-F238E27FC236}">
              <a16:creationId xmlns:a16="http://schemas.microsoft.com/office/drawing/2014/main" id="{00000000-0008-0000-0F00-0000F2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3" name="AutoShape 1">
          <a:extLst>
            <a:ext uri="{FF2B5EF4-FFF2-40B4-BE49-F238E27FC236}">
              <a16:creationId xmlns:a16="http://schemas.microsoft.com/office/drawing/2014/main" id="{00000000-0008-0000-0F00-0000F3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4" name="AutoShape 1">
          <a:extLst>
            <a:ext uri="{FF2B5EF4-FFF2-40B4-BE49-F238E27FC236}">
              <a16:creationId xmlns:a16="http://schemas.microsoft.com/office/drawing/2014/main" id="{00000000-0008-0000-0F00-0000F4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5" name="AutoShape 1">
          <a:extLst>
            <a:ext uri="{FF2B5EF4-FFF2-40B4-BE49-F238E27FC236}">
              <a16:creationId xmlns:a16="http://schemas.microsoft.com/office/drawing/2014/main" id="{00000000-0008-0000-0F00-0000F5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6" name="AutoShape 1">
          <a:extLst>
            <a:ext uri="{FF2B5EF4-FFF2-40B4-BE49-F238E27FC236}">
              <a16:creationId xmlns:a16="http://schemas.microsoft.com/office/drawing/2014/main" id="{00000000-0008-0000-0F00-0000F6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7" name="AutoShape 1">
          <a:extLst>
            <a:ext uri="{FF2B5EF4-FFF2-40B4-BE49-F238E27FC236}">
              <a16:creationId xmlns:a16="http://schemas.microsoft.com/office/drawing/2014/main" id="{00000000-0008-0000-0F00-0000F7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8" name="AutoShape 1">
          <a:extLst>
            <a:ext uri="{FF2B5EF4-FFF2-40B4-BE49-F238E27FC236}">
              <a16:creationId xmlns:a16="http://schemas.microsoft.com/office/drawing/2014/main" id="{00000000-0008-0000-0F00-0000F8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69" name="AutoShape 1">
          <a:extLst>
            <a:ext uri="{FF2B5EF4-FFF2-40B4-BE49-F238E27FC236}">
              <a16:creationId xmlns:a16="http://schemas.microsoft.com/office/drawing/2014/main" id="{00000000-0008-0000-0F00-0000F9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0" name="AutoShape 1">
          <a:extLst>
            <a:ext uri="{FF2B5EF4-FFF2-40B4-BE49-F238E27FC236}">
              <a16:creationId xmlns:a16="http://schemas.microsoft.com/office/drawing/2014/main" id="{00000000-0008-0000-0F00-0000FA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1" name="AutoShape 1">
          <a:extLst>
            <a:ext uri="{FF2B5EF4-FFF2-40B4-BE49-F238E27FC236}">
              <a16:creationId xmlns:a16="http://schemas.microsoft.com/office/drawing/2014/main" id="{00000000-0008-0000-0F00-0000FB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2" name="AutoShape 1">
          <a:extLst>
            <a:ext uri="{FF2B5EF4-FFF2-40B4-BE49-F238E27FC236}">
              <a16:creationId xmlns:a16="http://schemas.microsoft.com/office/drawing/2014/main" id="{00000000-0008-0000-0F00-0000FC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3" name="AutoShape 1">
          <a:extLst>
            <a:ext uri="{FF2B5EF4-FFF2-40B4-BE49-F238E27FC236}">
              <a16:creationId xmlns:a16="http://schemas.microsoft.com/office/drawing/2014/main" id="{00000000-0008-0000-0F00-0000FD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4" name="AutoShape 1">
          <a:extLst>
            <a:ext uri="{FF2B5EF4-FFF2-40B4-BE49-F238E27FC236}">
              <a16:creationId xmlns:a16="http://schemas.microsoft.com/office/drawing/2014/main" id="{00000000-0008-0000-0F00-0000FE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5" name="AutoShape 1">
          <a:extLst>
            <a:ext uri="{FF2B5EF4-FFF2-40B4-BE49-F238E27FC236}">
              <a16:creationId xmlns:a16="http://schemas.microsoft.com/office/drawing/2014/main" id="{00000000-0008-0000-0F00-0000FF14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6" name="AutoShape 1">
          <a:extLst>
            <a:ext uri="{FF2B5EF4-FFF2-40B4-BE49-F238E27FC236}">
              <a16:creationId xmlns:a16="http://schemas.microsoft.com/office/drawing/2014/main" id="{00000000-0008-0000-0F00-00000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7" name="AutoShape 1">
          <a:extLst>
            <a:ext uri="{FF2B5EF4-FFF2-40B4-BE49-F238E27FC236}">
              <a16:creationId xmlns:a16="http://schemas.microsoft.com/office/drawing/2014/main" id="{00000000-0008-0000-0F00-00000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8" name="AutoShape 1">
          <a:extLst>
            <a:ext uri="{FF2B5EF4-FFF2-40B4-BE49-F238E27FC236}">
              <a16:creationId xmlns:a16="http://schemas.microsoft.com/office/drawing/2014/main" id="{00000000-0008-0000-0F00-00000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79" name="AutoShape 1">
          <a:extLst>
            <a:ext uri="{FF2B5EF4-FFF2-40B4-BE49-F238E27FC236}">
              <a16:creationId xmlns:a16="http://schemas.microsoft.com/office/drawing/2014/main" id="{00000000-0008-0000-0F00-00000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0" name="AutoShape 1">
          <a:extLst>
            <a:ext uri="{FF2B5EF4-FFF2-40B4-BE49-F238E27FC236}">
              <a16:creationId xmlns:a16="http://schemas.microsoft.com/office/drawing/2014/main" id="{00000000-0008-0000-0F00-00000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1" name="AutoShape 1">
          <a:extLst>
            <a:ext uri="{FF2B5EF4-FFF2-40B4-BE49-F238E27FC236}">
              <a16:creationId xmlns:a16="http://schemas.microsoft.com/office/drawing/2014/main" id="{00000000-0008-0000-0F00-00000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2" name="AutoShape 1">
          <a:extLst>
            <a:ext uri="{FF2B5EF4-FFF2-40B4-BE49-F238E27FC236}">
              <a16:creationId xmlns:a16="http://schemas.microsoft.com/office/drawing/2014/main" id="{00000000-0008-0000-0F00-00000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3" name="AutoShape 1">
          <a:extLst>
            <a:ext uri="{FF2B5EF4-FFF2-40B4-BE49-F238E27FC236}">
              <a16:creationId xmlns:a16="http://schemas.microsoft.com/office/drawing/2014/main" id="{00000000-0008-0000-0F00-00000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4" name="AutoShape 1">
          <a:extLst>
            <a:ext uri="{FF2B5EF4-FFF2-40B4-BE49-F238E27FC236}">
              <a16:creationId xmlns:a16="http://schemas.microsoft.com/office/drawing/2014/main" id="{00000000-0008-0000-0F00-00000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5" name="AutoShape 1">
          <a:extLst>
            <a:ext uri="{FF2B5EF4-FFF2-40B4-BE49-F238E27FC236}">
              <a16:creationId xmlns:a16="http://schemas.microsoft.com/office/drawing/2014/main" id="{00000000-0008-0000-0F00-00000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6" name="AutoShape 1">
          <a:extLst>
            <a:ext uri="{FF2B5EF4-FFF2-40B4-BE49-F238E27FC236}">
              <a16:creationId xmlns:a16="http://schemas.microsoft.com/office/drawing/2014/main" id="{00000000-0008-0000-0F00-00000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7" name="AutoShape 1">
          <a:extLst>
            <a:ext uri="{FF2B5EF4-FFF2-40B4-BE49-F238E27FC236}">
              <a16:creationId xmlns:a16="http://schemas.microsoft.com/office/drawing/2014/main" id="{00000000-0008-0000-0F00-00000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8" name="AutoShape 1">
          <a:extLst>
            <a:ext uri="{FF2B5EF4-FFF2-40B4-BE49-F238E27FC236}">
              <a16:creationId xmlns:a16="http://schemas.microsoft.com/office/drawing/2014/main" id="{00000000-0008-0000-0F00-00000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89" name="AutoShape 1">
          <a:extLst>
            <a:ext uri="{FF2B5EF4-FFF2-40B4-BE49-F238E27FC236}">
              <a16:creationId xmlns:a16="http://schemas.microsoft.com/office/drawing/2014/main" id="{00000000-0008-0000-0F00-00000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0" name="AutoShape 1">
          <a:extLst>
            <a:ext uri="{FF2B5EF4-FFF2-40B4-BE49-F238E27FC236}">
              <a16:creationId xmlns:a16="http://schemas.microsoft.com/office/drawing/2014/main" id="{00000000-0008-0000-0F00-00000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1" name="AutoShape 1">
          <a:extLst>
            <a:ext uri="{FF2B5EF4-FFF2-40B4-BE49-F238E27FC236}">
              <a16:creationId xmlns:a16="http://schemas.microsoft.com/office/drawing/2014/main" id="{00000000-0008-0000-0F00-00000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2" name="AutoShape 1">
          <a:extLst>
            <a:ext uri="{FF2B5EF4-FFF2-40B4-BE49-F238E27FC236}">
              <a16:creationId xmlns:a16="http://schemas.microsoft.com/office/drawing/2014/main" id="{00000000-0008-0000-0F00-00001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3" name="AutoShape 1">
          <a:extLst>
            <a:ext uri="{FF2B5EF4-FFF2-40B4-BE49-F238E27FC236}">
              <a16:creationId xmlns:a16="http://schemas.microsoft.com/office/drawing/2014/main" id="{00000000-0008-0000-0F00-00001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4" name="AutoShape 1">
          <a:extLst>
            <a:ext uri="{FF2B5EF4-FFF2-40B4-BE49-F238E27FC236}">
              <a16:creationId xmlns:a16="http://schemas.microsoft.com/office/drawing/2014/main" id="{00000000-0008-0000-0F00-00001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5" name="AutoShape 1">
          <a:extLst>
            <a:ext uri="{FF2B5EF4-FFF2-40B4-BE49-F238E27FC236}">
              <a16:creationId xmlns:a16="http://schemas.microsoft.com/office/drawing/2014/main" id="{00000000-0008-0000-0F00-00001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6" name="AutoShape 1">
          <a:extLst>
            <a:ext uri="{FF2B5EF4-FFF2-40B4-BE49-F238E27FC236}">
              <a16:creationId xmlns:a16="http://schemas.microsoft.com/office/drawing/2014/main" id="{00000000-0008-0000-0F00-00001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7" name="AutoShape 1">
          <a:extLst>
            <a:ext uri="{FF2B5EF4-FFF2-40B4-BE49-F238E27FC236}">
              <a16:creationId xmlns:a16="http://schemas.microsoft.com/office/drawing/2014/main" id="{00000000-0008-0000-0F00-00001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8" name="AutoShape 1">
          <a:extLst>
            <a:ext uri="{FF2B5EF4-FFF2-40B4-BE49-F238E27FC236}">
              <a16:creationId xmlns:a16="http://schemas.microsoft.com/office/drawing/2014/main" id="{00000000-0008-0000-0F00-00001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399" name="AutoShape 1">
          <a:extLst>
            <a:ext uri="{FF2B5EF4-FFF2-40B4-BE49-F238E27FC236}">
              <a16:creationId xmlns:a16="http://schemas.microsoft.com/office/drawing/2014/main" id="{00000000-0008-0000-0F00-00001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0" name="AutoShape 1">
          <a:extLst>
            <a:ext uri="{FF2B5EF4-FFF2-40B4-BE49-F238E27FC236}">
              <a16:creationId xmlns:a16="http://schemas.microsoft.com/office/drawing/2014/main" id="{00000000-0008-0000-0F00-00001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1" name="AutoShape 1">
          <a:extLst>
            <a:ext uri="{FF2B5EF4-FFF2-40B4-BE49-F238E27FC236}">
              <a16:creationId xmlns:a16="http://schemas.microsoft.com/office/drawing/2014/main" id="{00000000-0008-0000-0F00-00001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2" name="AutoShape 1">
          <a:extLst>
            <a:ext uri="{FF2B5EF4-FFF2-40B4-BE49-F238E27FC236}">
              <a16:creationId xmlns:a16="http://schemas.microsoft.com/office/drawing/2014/main" id="{00000000-0008-0000-0F00-00001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3" name="AutoShape 1">
          <a:extLst>
            <a:ext uri="{FF2B5EF4-FFF2-40B4-BE49-F238E27FC236}">
              <a16:creationId xmlns:a16="http://schemas.microsoft.com/office/drawing/2014/main" id="{00000000-0008-0000-0F00-00001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4" name="AutoShape 1">
          <a:extLst>
            <a:ext uri="{FF2B5EF4-FFF2-40B4-BE49-F238E27FC236}">
              <a16:creationId xmlns:a16="http://schemas.microsoft.com/office/drawing/2014/main" id="{00000000-0008-0000-0F00-00001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5" name="AutoShape 1">
          <a:extLst>
            <a:ext uri="{FF2B5EF4-FFF2-40B4-BE49-F238E27FC236}">
              <a16:creationId xmlns:a16="http://schemas.microsoft.com/office/drawing/2014/main" id="{00000000-0008-0000-0F00-00001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6" name="AutoShape 1">
          <a:extLst>
            <a:ext uri="{FF2B5EF4-FFF2-40B4-BE49-F238E27FC236}">
              <a16:creationId xmlns:a16="http://schemas.microsoft.com/office/drawing/2014/main" id="{00000000-0008-0000-0F00-00001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7" name="AutoShape 1">
          <a:extLst>
            <a:ext uri="{FF2B5EF4-FFF2-40B4-BE49-F238E27FC236}">
              <a16:creationId xmlns:a16="http://schemas.microsoft.com/office/drawing/2014/main" id="{00000000-0008-0000-0F00-00001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8" name="AutoShape 1">
          <a:extLst>
            <a:ext uri="{FF2B5EF4-FFF2-40B4-BE49-F238E27FC236}">
              <a16:creationId xmlns:a16="http://schemas.microsoft.com/office/drawing/2014/main" id="{00000000-0008-0000-0F00-00002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09" name="AutoShape 1">
          <a:extLst>
            <a:ext uri="{FF2B5EF4-FFF2-40B4-BE49-F238E27FC236}">
              <a16:creationId xmlns:a16="http://schemas.microsoft.com/office/drawing/2014/main" id="{00000000-0008-0000-0F00-00002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0" name="AutoShape 1">
          <a:extLst>
            <a:ext uri="{FF2B5EF4-FFF2-40B4-BE49-F238E27FC236}">
              <a16:creationId xmlns:a16="http://schemas.microsoft.com/office/drawing/2014/main" id="{00000000-0008-0000-0F00-00002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1" name="AutoShape 1">
          <a:extLst>
            <a:ext uri="{FF2B5EF4-FFF2-40B4-BE49-F238E27FC236}">
              <a16:creationId xmlns:a16="http://schemas.microsoft.com/office/drawing/2014/main" id="{00000000-0008-0000-0F00-00002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2" name="AutoShape 1">
          <a:extLst>
            <a:ext uri="{FF2B5EF4-FFF2-40B4-BE49-F238E27FC236}">
              <a16:creationId xmlns:a16="http://schemas.microsoft.com/office/drawing/2014/main" id="{00000000-0008-0000-0F00-00002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3" name="AutoShape 1">
          <a:extLst>
            <a:ext uri="{FF2B5EF4-FFF2-40B4-BE49-F238E27FC236}">
              <a16:creationId xmlns:a16="http://schemas.microsoft.com/office/drawing/2014/main" id="{00000000-0008-0000-0F00-00002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4" name="AutoShape 1">
          <a:extLst>
            <a:ext uri="{FF2B5EF4-FFF2-40B4-BE49-F238E27FC236}">
              <a16:creationId xmlns:a16="http://schemas.microsoft.com/office/drawing/2014/main" id="{00000000-0008-0000-0F00-00002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5" name="AutoShape 1">
          <a:extLst>
            <a:ext uri="{FF2B5EF4-FFF2-40B4-BE49-F238E27FC236}">
              <a16:creationId xmlns:a16="http://schemas.microsoft.com/office/drawing/2014/main" id="{00000000-0008-0000-0F00-00002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6" name="AutoShape 1">
          <a:extLst>
            <a:ext uri="{FF2B5EF4-FFF2-40B4-BE49-F238E27FC236}">
              <a16:creationId xmlns:a16="http://schemas.microsoft.com/office/drawing/2014/main" id="{00000000-0008-0000-0F00-00002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7" name="AutoShape 1">
          <a:extLst>
            <a:ext uri="{FF2B5EF4-FFF2-40B4-BE49-F238E27FC236}">
              <a16:creationId xmlns:a16="http://schemas.microsoft.com/office/drawing/2014/main" id="{00000000-0008-0000-0F00-00002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8" name="AutoShape 1">
          <a:extLst>
            <a:ext uri="{FF2B5EF4-FFF2-40B4-BE49-F238E27FC236}">
              <a16:creationId xmlns:a16="http://schemas.microsoft.com/office/drawing/2014/main" id="{00000000-0008-0000-0F00-00002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19" name="AutoShape 1">
          <a:extLst>
            <a:ext uri="{FF2B5EF4-FFF2-40B4-BE49-F238E27FC236}">
              <a16:creationId xmlns:a16="http://schemas.microsoft.com/office/drawing/2014/main" id="{00000000-0008-0000-0F00-00002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0" name="AutoShape 1">
          <a:extLst>
            <a:ext uri="{FF2B5EF4-FFF2-40B4-BE49-F238E27FC236}">
              <a16:creationId xmlns:a16="http://schemas.microsoft.com/office/drawing/2014/main" id="{00000000-0008-0000-0F00-00002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1" name="AutoShape 1">
          <a:extLst>
            <a:ext uri="{FF2B5EF4-FFF2-40B4-BE49-F238E27FC236}">
              <a16:creationId xmlns:a16="http://schemas.microsoft.com/office/drawing/2014/main" id="{00000000-0008-0000-0F00-00002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2" name="AutoShape 1">
          <a:extLst>
            <a:ext uri="{FF2B5EF4-FFF2-40B4-BE49-F238E27FC236}">
              <a16:creationId xmlns:a16="http://schemas.microsoft.com/office/drawing/2014/main" id="{00000000-0008-0000-0F00-00002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3" name="AutoShape 1">
          <a:extLst>
            <a:ext uri="{FF2B5EF4-FFF2-40B4-BE49-F238E27FC236}">
              <a16:creationId xmlns:a16="http://schemas.microsoft.com/office/drawing/2014/main" id="{00000000-0008-0000-0F00-00002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4" name="AutoShape 1">
          <a:extLst>
            <a:ext uri="{FF2B5EF4-FFF2-40B4-BE49-F238E27FC236}">
              <a16:creationId xmlns:a16="http://schemas.microsoft.com/office/drawing/2014/main" id="{00000000-0008-0000-0F00-00003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5" name="AutoShape 1">
          <a:extLst>
            <a:ext uri="{FF2B5EF4-FFF2-40B4-BE49-F238E27FC236}">
              <a16:creationId xmlns:a16="http://schemas.microsoft.com/office/drawing/2014/main" id="{00000000-0008-0000-0F00-00003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6" name="AutoShape 1">
          <a:extLst>
            <a:ext uri="{FF2B5EF4-FFF2-40B4-BE49-F238E27FC236}">
              <a16:creationId xmlns:a16="http://schemas.microsoft.com/office/drawing/2014/main" id="{00000000-0008-0000-0F00-00003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7" name="AutoShape 1">
          <a:extLst>
            <a:ext uri="{FF2B5EF4-FFF2-40B4-BE49-F238E27FC236}">
              <a16:creationId xmlns:a16="http://schemas.microsoft.com/office/drawing/2014/main" id="{00000000-0008-0000-0F00-00003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8" name="AutoShape 1">
          <a:extLst>
            <a:ext uri="{FF2B5EF4-FFF2-40B4-BE49-F238E27FC236}">
              <a16:creationId xmlns:a16="http://schemas.microsoft.com/office/drawing/2014/main" id="{00000000-0008-0000-0F00-00003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29" name="AutoShape 1">
          <a:extLst>
            <a:ext uri="{FF2B5EF4-FFF2-40B4-BE49-F238E27FC236}">
              <a16:creationId xmlns:a16="http://schemas.microsoft.com/office/drawing/2014/main" id="{00000000-0008-0000-0F00-00003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0" name="AutoShape 1">
          <a:extLst>
            <a:ext uri="{FF2B5EF4-FFF2-40B4-BE49-F238E27FC236}">
              <a16:creationId xmlns:a16="http://schemas.microsoft.com/office/drawing/2014/main" id="{00000000-0008-0000-0F00-00003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1" name="AutoShape 1">
          <a:extLst>
            <a:ext uri="{FF2B5EF4-FFF2-40B4-BE49-F238E27FC236}">
              <a16:creationId xmlns:a16="http://schemas.microsoft.com/office/drawing/2014/main" id="{00000000-0008-0000-0F00-00003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2" name="AutoShape 1">
          <a:extLst>
            <a:ext uri="{FF2B5EF4-FFF2-40B4-BE49-F238E27FC236}">
              <a16:creationId xmlns:a16="http://schemas.microsoft.com/office/drawing/2014/main" id="{00000000-0008-0000-0F00-00003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3" name="AutoShape 1">
          <a:extLst>
            <a:ext uri="{FF2B5EF4-FFF2-40B4-BE49-F238E27FC236}">
              <a16:creationId xmlns:a16="http://schemas.microsoft.com/office/drawing/2014/main" id="{00000000-0008-0000-0F00-00003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4" name="AutoShape 1">
          <a:extLst>
            <a:ext uri="{FF2B5EF4-FFF2-40B4-BE49-F238E27FC236}">
              <a16:creationId xmlns:a16="http://schemas.microsoft.com/office/drawing/2014/main" id="{00000000-0008-0000-0F00-00003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5" name="AutoShape 1">
          <a:extLst>
            <a:ext uri="{FF2B5EF4-FFF2-40B4-BE49-F238E27FC236}">
              <a16:creationId xmlns:a16="http://schemas.microsoft.com/office/drawing/2014/main" id="{00000000-0008-0000-0F00-00003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6" name="AutoShape 1">
          <a:extLst>
            <a:ext uri="{FF2B5EF4-FFF2-40B4-BE49-F238E27FC236}">
              <a16:creationId xmlns:a16="http://schemas.microsoft.com/office/drawing/2014/main" id="{00000000-0008-0000-0F00-00003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7" name="AutoShape 1">
          <a:extLst>
            <a:ext uri="{FF2B5EF4-FFF2-40B4-BE49-F238E27FC236}">
              <a16:creationId xmlns:a16="http://schemas.microsoft.com/office/drawing/2014/main" id="{00000000-0008-0000-0F00-00003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8" name="AutoShape 1">
          <a:extLst>
            <a:ext uri="{FF2B5EF4-FFF2-40B4-BE49-F238E27FC236}">
              <a16:creationId xmlns:a16="http://schemas.microsoft.com/office/drawing/2014/main" id="{00000000-0008-0000-0F00-00003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39" name="AutoShape 1">
          <a:extLst>
            <a:ext uri="{FF2B5EF4-FFF2-40B4-BE49-F238E27FC236}">
              <a16:creationId xmlns:a16="http://schemas.microsoft.com/office/drawing/2014/main" id="{00000000-0008-0000-0F00-00003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0" name="AutoShape 1">
          <a:extLst>
            <a:ext uri="{FF2B5EF4-FFF2-40B4-BE49-F238E27FC236}">
              <a16:creationId xmlns:a16="http://schemas.microsoft.com/office/drawing/2014/main" id="{00000000-0008-0000-0F00-00004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1" name="AutoShape 1">
          <a:extLst>
            <a:ext uri="{FF2B5EF4-FFF2-40B4-BE49-F238E27FC236}">
              <a16:creationId xmlns:a16="http://schemas.microsoft.com/office/drawing/2014/main" id="{00000000-0008-0000-0F00-00004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2" name="AutoShape 1">
          <a:extLst>
            <a:ext uri="{FF2B5EF4-FFF2-40B4-BE49-F238E27FC236}">
              <a16:creationId xmlns:a16="http://schemas.microsoft.com/office/drawing/2014/main" id="{00000000-0008-0000-0F00-00004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3" name="AutoShape 1">
          <a:extLst>
            <a:ext uri="{FF2B5EF4-FFF2-40B4-BE49-F238E27FC236}">
              <a16:creationId xmlns:a16="http://schemas.microsoft.com/office/drawing/2014/main" id="{00000000-0008-0000-0F00-00004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4" name="AutoShape 1">
          <a:extLst>
            <a:ext uri="{FF2B5EF4-FFF2-40B4-BE49-F238E27FC236}">
              <a16:creationId xmlns:a16="http://schemas.microsoft.com/office/drawing/2014/main" id="{00000000-0008-0000-0F00-00004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5" name="AutoShape 1">
          <a:extLst>
            <a:ext uri="{FF2B5EF4-FFF2-40B4-BE49-F238E27FC236}">
              <a16:creationId xmlns:a16="http://schemas.microsoft.com/office/drawing/2014/main" id="{00000000-0008-0000-0F00-00004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6" name="AutoShape 1">
          <a:extLst>
            <a:ext uri="{FF2B5EF4-FFF2-40B4-BE49-F238E27FC236}">
              <a16:creationId xmlns:a16="http://schemas.microsoft.com/office/drawing/2014/main" id="{00000000-0008-0000-0F00-00004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7" name="AutoShape 1">
          <a:extLst>
            <a:ext uri="{FF2B5EF4-FFF2-40B4-BE49-F238E27FC236}">
              <a16:creationId xmlns:a16="http://schemas.microsoft.com/office/drawing/2014/main" id="{00000000-0008-0000-0F00-00004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8" name="AutoShape 1">
          <a:extLst>
            <a:ext uri="{FF2B5EF4-FFF2-40B4-BE49-F238E27FC236}">
              <a16:creationId xmlns:a16="http://schemas.microsoft.com/office/drawing/2014/main" id="{00000000-0008-0000-0F00-00004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49" name="AutoShape 1">
          <a:extLst>
            <a:ext uri="{FF2B5EF4-FFF2-40B4-BE49-F238E27FC236}">
              <a16:creationId xmlns:a16="http://schemas.microsoft.com/office/drawing/2014/main" id="{00000000-0008-0000-0F00-00004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0" name="AutoShape 1">
          <a:extLst>
            <a:ext uri="{FF2B5EF4-FFF2-40B4-BE49-F238E27FC236}">
              <a16:creationId xmlns:a16="http://schemas.microsoft.com/office/drawing/2014/main" id="{00000000-0008-0000-0F00-00004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1" name="AutoShape 1">
          <a:extLst>
            <a:ext uri="{FF2B5EF4-FFF2-40B4-BE49-F238E27FC236}">
              <a16:creationId xmlns:a16="http://schemas.microsoft.com/office/drawing/2014/main" id="{00000000-0008-0000-0F00-00004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2" name="AutoShape 1">
          <a:extLst>
            <a:ext uri="{FF2B5EF4-FFF2-40B4-BE49-F238E27FC236}">
              <a16:creationId xmlns:a16="http://schemas.microsoft.com/office/drawing/2014/main" id="{00000000-0008-0000-0F00-00004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3" name="AutoShape 1">
          <a:extLst>
            <a:ext uri="{FF2B5EF4-FFF2-40B4-BE49-F238E27FC236}">
              <a16:creationId xmlns:a16="http://schemas.microsoft.com/office/drawing/2014/main" id="{00000000-0008-0000-0F00-00004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4" name="AutoShape 1">
          <a:extLst>
            <a:ext uri="{FF2B5EF4-FFF2-40B4-BE49-F238E27FC236}">
              <a16:creationId xmlns:a16="http://schemas.microsoft.com/office/drawing/2014/main" id="{00000000-0008-0000-0F00-00004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5" name="AutoShape 1">
          <a:extLst>
            <a:ext uri="{FF2B5EF4-FFF2-40B4-BE49-F238E27FC236}">
              <a16:creationId xmlns:a16="http://schemas.microsoft.com/office/drawing/2014/main" id="{00000000-0008-0000-0F00-00004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6" name="AutoShape 1">
          <a:extLst>
            <a:ext uri="{FF2B5EF4-FFF2-40B4-BE49-F238E27FC236}">
              <a16:creationId xmlns:a16="http://schemas.microsoft.com/office/drawing/2014/main" id="{00000000-0008-0000-0F00-00005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7" name="AutoShape 1">
          <a:extLst>
            <a:ext uri="{FF2B5EF4-FFF2-40B4-BE49-F238E27FC236}">
              <a16:creationId xmlns:a16="http://schemas.microsoft.com/office/drawing/2014/main" id="{00000000-0008-0000-0F00-00005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8" name="AutoShape 1">
          <a:extLst>
            <a:ext uri="{FF2B5EF4-FFF2-40B4-BE49-F238E27FC236}">
              <a16:creationId xmlns:a16="http://schemas.microsoft.com/office/drawing/2014/main" id="{00000000-0008-0000-0F00-00005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59" name="AutoShape 1">
          <a:extLst>
            <a:ext uri="{FF2B5EF4-FFF2-40B4-BE49-F238E27FC236}">
              <a16:creationId xmlns:a16="http://schemas.microsoft.com/office/drawing/2014/main" id="{00000000-0008-0000-0F00-00005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0" name="AutoShape 1">
          <a:extLst>
            <a:ext uri="{FF2B5EF4-FFF2-40B4-BE49-F238E27FC236}">
              <a16:creationId xmlns:a16="http://schemas.microsoft.com/office/drawing/2014/main" id="{00000000-0008-0000-0F00-00005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1" name="AutoShape 1">
          <a:extLst>
            <a:ext uri="{FF2B5EF4-FFF2-40B4-BE49-F238E27FC236}">
              <a16:creationId xmlns:a16="http://schemas.microsoft.com/office/drawing/2014/main" id="{00000000-0008-0000-0F00-00005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2" name="AutoShape 1">
          <a:extLst>
            <a:ext uri="{FF2B5EF4-FFF2-40B4-BE49-F238E27FC236}">
              <a16:creationId xmlns:a16="http://schemas.microsoft.com/office/drawing/2014/main" id="{00000000-0008-0000-0F00-00005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3" name="AutoShape 1">
          <a:extLst>
            <a:ext uri="{FF2B5EF4-FFF2-40B4-BE49-F238E27FC236}">
              <a16:creationId xmlns:a16="http://schemas.microsoft.com/office/drawing/2014/main" id="{00000000-0008-0000-0F00-00005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4" name="AutoShape 1">
          <a:extLst>
            <a:ext uri="{FF2B5EF4-FFF2-40B4-BE49-F238E27FC236}">
              <a16:creationId xmlns:a16="http://schemas.microsoft.com/office/drawing/2014/main" id="{00000000-0008-0000-0F00-00005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5" name="AutoShape 1">
          <a:extLst>
            <a:ext uri="{FF2B5EF4-FFF2-40B4-BE49-F238E27FC236}">
              <a16:creationId xmlns:a16="http://schemas.microsoft.com/office/drawing/2014/main" id="{00000000-0008-0000-0F00-00005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6" name="AutoShape 1">
          <a:extLst>
            <a:ext uri="{FF2B5EF4-FFF2-40B4-BE49-F238E27FC236}">
              <a16:creationId xmlns:a16="http://schemas.microsoft.com/office/drawing/2014/main" id="{00000000-0008-0000-0F00-00005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7" name="AutoShape 1">
          <a:extLst>
            <a:ext uri="{FF2B5EF4-FFF2-40B4-BE49-F238E27FC236}">
              <a16:creationId xmlns:a16="http://schemas.microsoft.com/office/drawing/2014/main" id="{00000000-0008-0000-0F00-00005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8" name="AutoShape 1">
          <a:extLst>
            <a:ext uri="{FF2B5EF4-FFF2-40B4-BE49-F238E27FC236}">
              <a16:creationId xmlns:a16="http://schemas.microsoft.com/office/drawing/2014/main" id="{00000000-0008-0000-0F00-00005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69" name="AutoShape 1">
          <a:extLst>
            <a:ext uri="{FF2B5EF4-FFF2-40B4-BE49-F238E27FC236}">
              <a16:creationId xmlns:a16="http://schemas.microsoft.com/office/drawing/2014/main" id="{00000000-0008-0000-0F00-00005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0" name="AutoShape 1">
          <a:extLst>
            <a:ext uri="{FF2B5EF4-FFF2-40B4-BE49-F238E27FC236}">
              <a16:creationId xmlns:a16="http://schemas.microsoft.com/office/drawing/2014/main" id="{00000000-0008-0000-0F00-00005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1" name="AutoShape 1">
          <a:extLst>
            <a:ext uri="{FF2B5EF4-FFF2-40B4-BE49-F238E27FC236}">
              <a16:creationId xmlns:a16="http://schemas.microsoft.com/office/drawing/2014/main" id="{00000000-0008-0000-0F00-00005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2" name="AutoShape 1">
          <a:extLst>
            <a:ext uri="{FF2B5EF4-FFF2-40B4-BE49-F238E27FC236}">
              <a16:creationId xmlns:a16="http://schemas.microsoft.com/office/drawing/2014/main" id="{00000000-0008-0000-0F00-00006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3" name="AutoShape 1">
          <a:extLst>
            <a:ext uri="{FF2B5EF4-FFF2-40B4-BE49-F238E27FC236}">
              <a16:creationId xmlns:a16="http://schemas.microsoft.com/office/drawing/2014/main" id="{00000000-0008-0000-0F00-00006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4" name="AutoShape 1">
          <a:extLst>
            <a:ext uri="{FF2B5EF4-FFF2-40B4-BE49-F238E27FC236}">
              <a16:creationId xmlns:a16="http://schemas.microsoft.com/office/drawing/2014/main" id="{00000000-0008-0000-0F00-00006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5" name="AutoShape 1">
          <a:extLst>
            <a:ext uri="{FF2B5EF4-FFF2-40B4-BE49-F238E27FC236}">
              <a16:creationId xmlns:a16="http://schemas.microsoft.com/office/drawing/2014/main" id="{00000000-0008-0000-0F00-00006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6" name="AutoShape 1">
          <a:extLst>
            <a:ext uri="{FF2B5EF4-FFF2-40B4-BE49-F238E27FC236}">
              <a16:creationId xmlns:a16="http://schemas.microsoft.com/office/drawing/2014/main" id="{00000000-0008-0000-0F00-00006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7" name="AutoShape 1">
          <a:extLst>
            <a:ext uri="{FF2B5EF4-FFF2-40B4-BE49-F238E27FC236}">
              <a16:creationId xmlns:a16="http://schemas.microsoft.com/office/drawing/2014/main" id="{00000000-0008-0000-0F00-00006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8" name="AutoShape 1">
          <a:extLst>
            <a:ext uri="{FF2B5EF4-FFF2-40B4-BE49-F238E27FC236}">
              <a16:creationId xmlns:a16="http://schemas.microsoft.com/office/drawing/2014/main" id="{00000000-0008-0000-0F00-00006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79" name="AutoShape 1">
          <a:extLst>
            <a:ext uri="{FF2B5EF4-FFF2-40B4-BE49-F238E27FC236}">
              <a16:creationId xmlns:a16="http://schemas.microsoft.com/office/drawing/2014/main" id="{00000000-0008-0000-0F00-00006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0" name="AutoShape 1">
          <a:extLst>
            <a:ext uri="{FF2B5EF4-FFF2-40B4-BE49-F238E27FC236}">
              <a16:creationId xmlns:a16="http://schemas.microsoft.com/office/drawing/2014/main" id="{00000000-0008-0000-0F00-00006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1" name="AutoShape 1">
          <a:extLst>
            <a:ext uri="{FF2B5EF4-FFF2-40B4-BE49-F238E27FC236}">
              <a16:creationId xmlns:a16="http://schemas.microsoft.com/office/drawing/2014/main" id="{00000000-0008-0000-0F00-00006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2" name="AutoShape 1">
          <a:extLst>
            <a:ext uri="{FF2B5EF4-FFF2-40B4-BE49-F238E27FC236}">
              <a16:creationId xmlns:a16="http://schemas.microsoft.com/office/drawing/2014/main" id="{00000000-0008-0000-0F00-00006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3" name="AutoShape 1">
          <a:extLst>
            <a:ext uri="{FF2B5EF4-FFF2-40B4-BE49-F238E27FC236}">
              <a16:creationId xmlns:a16="http://schemas.microsoft.com/office/drawing/2014/main" id="{00000000-0008-0000-0F00-00006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4" name="AutoShape 1">
          <a:extLst>
            <a:ext uri="{FF2B5EF4-FFF2-40B4-BE49-F238E27FC236}">
              <a16:creationId xmlns:a16="http://schemas.microsoft.com/office/drawing/2014/main" id="{00000000-0008-0000-0F00-00006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5" name="AutoShape 1">
          <a:extLst>
            <a:ext uri="{FF2B5EF4-FFF2-40B4-BE49-F238E27FC236}">
              <a16:creationId xmlns:a16="http://schemas.microsoft.com/office/drawing/2014/main" id="{00000000-0008-0000-0F00-00006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6" name="AutoShape 1">
          <a:extLst>
            <a:ext uri="{FF2B5EF4-FFF2-40B4-BE49-F238E27FC236}">
              <a16:creationId xmlns:a16="http://schemas.microsoft.com/office/drawing/2014/main" id="{00000000-0008-0000-0F00-00006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7" name="AutoShape 1">
          <a:extLst>
            <a:ext uri="{FF2B5EF4-FFF2-40B4-BE49-F238E27FC236}">
              <a16:creationId xmlns:a16="http://schemas.microsoft.com/office/drawing/2014/main" id="{00000000-0008-0000-0F00-00006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8" name="AutoShape 1">
          <a:extLst>
            <a:ext uri="{FF2B5EF4-FFF2-40B4-BE49-F238E27FC236}">
              <a16:creationId xmlns:a16="http://schemas.microsoft.com/office/drawing/2014/main" id="{00000000-0008-0000-0F00-00007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89" name="AutoShape 1">
          <a:extLst>
            <a:ext uri="{FF2B5EF4-FFF2-40B4-BE49-F238E27FC236}">
              <a16:creationId xmlns:a16="http://schemas.microsoft.com/office/drawing/2014/main" id="{00000000-0008-0000-0F00-00007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0" name="AutoShape 1">
          <a:extLst>
            <a:ext uri="{FF2B5EF4-FFF2-40B4-BE49-F238E27FC236}">
              <a16:creationId xmlns:a16="http://schemas.microsoft.com/office/drawing/2014/main" id="{00000000-0008-0000-0F00-00007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1" name="AutoShape 1">
          <a:extLst>
            <a:ext uri="{FF2B5EF4-FFF2-40B4-BE49-F238E27FC236}">
              <a16:creationId xmlns:a16="http://schemas.microsoft.com/office/drawing/2014/main" id="{00000000-0008-0000-0F00-00007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2" name="AutoShape 1">
          <a:extLst>
            <a:ext uri="{FF2B5EF4-FFF2-40B4-BE49-F238E27FC236}">
              <a16:creationId xmlns:a16="http://schemas.microsoft.com/office/drawing/2014/main" id="{00000000-0008-0000-0F00-00007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3" name="AutoShape 1">
          <a:extLst>
            <a:ext uri="{FF2B5EF4-FFF2-40B4-BE49-F238E27FC236}">
              <a16:creationId xmlns:a16="http://schemas.microsoft.com/office/drawing/2014/main" id="{00000000-0008-0000-0F00-00007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4" name="AutoShape 1">
          <a:extLst>
            <a:ext uri="{FF2B5EF4-FFF2-40B4-BE49-F238E27FC236}">
              <a16:creationId xmlns:a16="http://schemas.microsoft.com/office/drawing/2014/main" id="{00000000-0008-0000-0F00-00007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5" name="AutoShape 1">
          <a:extLst>
            <a:ext uri="{FF2B5EF4-FFF2-40B4-BE49-F238E27FC236}">
              <a16:creationId xmlns:a16="http://schemas.microsoft.com/office/drawing/2014/main" id="{00000000-0008-0000-0F00-00007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6" name="AutoShape 1">
          <a:extLst>
            <a:ext uri="{FF2B5EF4-FFF2-40B4-BE49-F238E27FC236}">
              <a16:creationId xmlns:a16="http://schemas.microsoft.com/office/drawing/2014/main" id="{00000000-0008-0000-0F00-00007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7" name="AutoShape 1">
          <a:extLst>
            <a:ext uri="{FF2B5EF4-FFF2-40B4-BE49-F238E27FC236}">
              <a16:creationId xmlns:a16="http://schemas.microsoft.com/office/drawing/2014/main" id="{00000000-0008-0000-0F00-00007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8" name="AutoShape 1">
          <a:extLst>
            <a:ext uri="{FF2B5EF4-FFF2-40B4-BE49-F238E27FC236}">
              <a16:creationId xmlns:a16="http://schemas.microsoft.com/office/drawing/2014/main" id="{00000000-0008-0000-0F00-00007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499" name="AutoShape 1">
          <a:extLst>
            <a:ext uri="{FF2B5EF4-FFF2-40B4-BE49-F238E27FC236}">
              <a16:creationId xmlns:a16="http://schemas.microsoft.com/office/drawing/2014/main" id="{00000000-0008-0000-0F00-00007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0" name="AutoShape 1">
          <a:extLst>
            <a:ext uri="{FF2B5EF4-FFF2-40B4-BE49-F238E27FC236}">
              <a16:creationId xmlns:a16="http://schemas.microsoft.com/office/drawing/2014/main" id="{00000000-0008-0000-0F00-00007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1" name="AutoShape 1">
          <a:extLst>
            <a:ext uri="{FF2B5EF4-FFF2-40B4-BE49-F238E27FC236}">
              <a16:creationId xmlns:a16="http://schemas.microsoft.com/office/drawing/2014/main" id="{00000000-0008-0000-0F00-00007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2" name="AutoShape 1">
          <a:extLst>
            <a:ext uri="{FF2B5EF4-FFF2-40B4-BE49-F238E27FC236}">
              <a16:creationId xmlns:a16="http://schemas.microsoft.com/office/drawing/2014/main" id="{00000000-0008-0000-0F00-00007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3" name="AutoShape 1">
          <a:extLst>
            <a:ext uri="{FF2B5EF4-FFF2-40B4-BE49-F238E27FC236}">
              <a16:creationId xmlns:a16="http://schemas.microsoft.com/office/drawing/2014/main" id="{00000000-0008-0000-0F00-00007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4" name="AutoShape 1">
          <a:extLst>
            <a:ext uri="{FF2B5EF4-FFF2-40B4-BE49-F238E27FC236}">
              <a16:creationId xmlns:a16="http://schemas.microsoft.com/office/drawing/2014/main" id="{00000000-0008-0000-0F00-00008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5" name="AutoShape 1">
          <a:extLst>
            <a:ext uri="{FF2B5EF4-FFF2-40B4-BE49-F238E27FC236}">
              <a16:creationId xmlns:a16="http://schemas.microsoft.com/office/drawing/2014/main" id="{00000000-0008-0000-0F00-00008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6" name="AutoShape 1">
          <a:extLst>
            <a:ext uri="{FF2B5EF4-FFF2-40B4-BE49-F238E27FC236}">
              <a16:creationId xmlns:a16="http://schemas.microsoft.com/office/drawing/2014/main" id="{00000000-0008-0000-0F00-00008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7" name="AutoShape 1">
          <a:extLst>
            <a:ext uri="{FF2B5EF4-FFF2-40B4-BE49-F238E27FC236}">
              <a16:creationId xmlns:a16="http://schemas.microsoft.com/office/drawing/2014/main" id="{00000000-0008-0000-0F00-00008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8" name="AutoShape 1">
          <a:extLst>
            <a:ext uri="{FF2B5EF4-FFF2-40B4-BE49-F238E27FC236}">
              <a16:creationId xmlns:a16="http://schemas.microsoft.com/office/drawing/2014/main" id="{00000000-0008-0000-0F00-00008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09" name="AutoShape 1">
          <a:extLst>
            <a:ext uri="{FF2B5EF4-FFF2-40B4-BE49-F238E27FC236}">
              <a16:creationId xmlns:a16="http://schemas.microsoft.com/office/drawing/2014/main" id="{00000000-0008-0000-0F00-00008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0" name="AutoShape 1">
          <a:extLst>
            <a:ext uri="{FF2B5EF4-FFF2-40B4-BE49-F238E27FC236}">
              <a16:creationId xmlns:a16="http://schemas.microsoft.com/office/drawing/2014/main" id="{00000000-0008-0000-0F00-00008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1" name="AutoShape 1">
          <a:extLst>
            <a:ext uri="{FF2B5EF4-FFF2-40B4-BE49-F238E27FC236}">
              <a16:creationId xmlns:a16="http://schemas.microsoft.com/office/drawing/2014/main" id="{00000000-0008-0000-0F00-00008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2" name="AutoShape 1">
          <a:extLst>
            <a:ext uri="{FF2B5EF4-FFF2-40B4-BE49-F238E27FC236}">
              <a16:creationId xmlns:a16="http://schemas.microsoft.com/office/drawing/2014/main" id="{00000000-0008-0000-0F00-00008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3" name="AutoShape 1">
          <a:extLst>
            <a:ext uri="{FF2B5EF4-FFF2-40B4-BE49-F238E27FC236}">
              <a16:creationId xmlns:a16="http://schemas.microsoft.com/office/drawing/2014/main" id="{00000000-0008-0000-0F00-00008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4" name="AutoShape 1">
          <a:extLst>
            <a:ext uri="{FF2B5EF4-FFF2-40B4-BE49-F238E27FC236}">
              <a16:creationId xmlns:a16="http://schemas.microsoft.com/office/drawing/2014/main" id="{00000000-0008-0000-0F00-00008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5" name="AutoShape 1">
          <a:extLst>
            <a:ext uri="{FF2B5EF4-FFF2-40B4-BE49-F238E27FC236}">
              <a16:creationId xmlns:a16="http://schemas.microsoft.com/office/drawing/2014/main" id="{00000000-0008-0000-0F00-00008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6" name="AutoShape 1">
          <a:extLst>
            <a:ext uri="{FF2B5EF4-FFF2-40B4-BE49-F238E27FC236}">
              <a16:creationId xmlns:a16="http://schemas.microsoft.com/office/drawing/2014/main" id="{00000000-0008-0000-0F00-00008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7" name="AutoShape 1">
          <a:extLst>
            <a:ext uri="{FF2B5EF4-FFF2-40B4-BE49-F238E27FC236}">
              <a16:creationId xmlns:a16="http://schemas.microsoft.com/office/drawing/2014/main" id="{00000000-0008-0000-0F00-00008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8" name="AutoShape 1">
          <a:extLst>
            <a:ext uri="{FF2B5EF4-FFF2-40B4-BE49-F238E27FC236}">
              <a16:creationId xmlns:a16="http://schemas.microsoft.com/office/drawing/2014/main" id="{00000000-0008-0000-0F00-00008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19" name="AutoShape 1">
          <a:extLst>
            <a:ext uri="{FF2B5EF4-FFF2-40B4-BE49-F238E27FC236}">
              <a16:creationId xmlns:a16="http://schemas.microsoft.com/office/drawing/2014/main" id="{00000000-0008-0000-0F00-00008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0" name="AutoShape 1">
          <a:extLst>
            <a:ext uri="{FF2B5EF4-FFF2-40B4-BE49-F238E27FC236}">
              <a16:creationId xmlns:a16="http://schemas.microsoft.com/office/drawing/2014/main" id="{00000000-0008-0000-0F00-00009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1" name="AutoShape 1">
          <a:extLst>
            <a:ext uri="{FF2B5EF4-FFF2-40B4-BE49-F238E27FC236}">
              <a16:creationId xmlns:a16="http://schemas.microsoft.com/office/drawing/2014/main" id="{00000000-0008-0000-0F00-00009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2" name="AutoShape 1">
          <a:extLst>
            <a:ext uri="{FF2B5EF4-FFF2-40B4-BE49-F238E27FC236}">
              <a16:creationId xmlns:a16="http://schemas.microsoft.com/office/drawing/2014/main" id="{00000000-0008-0000-0F00-00009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3" name="AutoShape 1">
          <a:extLst>
            <a:ext uri="{FF2B5EF4-FFF2-40B4-BE49-F238E27FC236}">
              <a16:creationId xmlns:a16="http://schemas.microsoft.com/office/drawing/2014/main" id="{00000000-0008-0000-0F00-00009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4" name="AutoShape 1">
          <a:extLst>
            <a:ext uri="{FF2B5EF4-FFF2-40B4-BE49-F238E27FC236}">
              <a16:creationId xmlns:a16="http://schemas.microsoft.com/office/drawing/2014/main" id="{00000000-0008-0000-0F00-00009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5" name="AutoShape 1">
          <a:extLst>
            <a:ext uri="{FF2B5EF4-FFF2-40B4-BE49-F238E27FC236}">
              <a16:creationId xmlns:a16="http://schemas.microsoft.com/office/drawing/2014/main" id="{00000000-0008-0000-0F00-00009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6" name="AutoShape 1">
          <a:extLst>
            <a:ext uri="{FF2B5EF4-FFF2-40B4-BE49-F238E27FC236}">
              <a16:creationId xmlns:a16="http://schemas.microsoft.com/office/drawing/2014/main" id="{00000000-0008-0000-0F00-00009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7" name="AutoShape 1">
          <a:extLst>
            <a:ext uri="{FF2B5EF4-FFF2-40B4-BE49-F238E27FC236}">
              <a16:creationId xmlns:a16="http://schemas.microsoft.com/office/drawing/2014/main" id="{00000000-0008-0000-0F00-00009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8" name="AutoShape 1">
          <a:extLst>
            <a:ext uri="{FF2B5EF4-FFF2-40B4-BE49-F238E27FC236}">
              <a16:creationId xmlns:a16="http://schemas.microsoft.com/office/drawing/2014/main" id="{00000000-0008-0000-0F00-00009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29" name="AutoShape 1">
          <a:extLst>
            <a:ext uri="{FF2B5EF4-FFF2-40B4-BE49-F238E27FC236}">
              <a16:creationId xmlns:a16="http://schemas.microsoft.com/office/drawing/2014/main" id="{00000000-0008-0000-0F00-00009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0" name="AutoShape 1">
          <a:extLst>
            <a:ext uri="{FF2B5EF4-FFF2-40B4-BE49-F238E27FC236}">
              <a16:creationId xmlns:a16="http://schemas.microsoft.com/office/drawing/2014/main" id="{00000000-0008-0000-0F00-00009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1" name="AutoShape 1">
          <a:extLst>
            <a:ext uri="{FF2B5EF4-FFF2-40B4-BE49-F238E27FC236}">
              <a16:creationId xmlns:a16="http://schemas.microsoft.com/office/drawing/2014/main" id="{00000000-0008-0000-0F00-00009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2" name="AutoShape 1">
          <a:extLst>
            <a:ext uri="{FF2B5EF4-FFF2-40B4-BE49-F238E27FC236}">
              <a16:creationId xmlns:a16="http://schemas.microsoft.com/office/drawing/2014/main" id="{00000000-0008-0000-0F00-00009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3" name="AutoShape 1">
          <a:extLst>
            <a:ext uri="{FF2B5EF4-FFF2-40B4-BE49-F238E27FC236}">
              <a16:creationId xmlns:a16="http://schemas.microsoft.com/office/drawing/2014/main" id="{00000000-0008-0000-0F00-00009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4" name="AutoShape 1">
          <a:extLst>
            <a:ext uri="{FF2B5EF4-FFF2-40B4-BE49-F238E27FC236}">
              <a16:creationId xmlns:a16="http://schemas.microsoft.com/office/drawing/2014/main" id="{00000000-0008-0000-0F00-00009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5" name="AutoShape 1">
          <a:extLst>
            <a:ext uri="{FF2B5EF4-FFF2-40B4-BE49-F238E27FC236}">
              <a16:creationId xmlns:a16="http://schemas.microsoft.com/office/drawing/2014/main" id="{00000000-0008-0000-0F00-00009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6" name="AutoShape 1">
          <a:extLst>
            <a:ext uri="{FF2B5EF4-FFF2-40B4-BE49-F238E27FC236}">
              <a16:creationId xmlns:a16="http://schemas.microsoft.com/office/drawing/2014/main" id="{00000000-0008-0000-0F00-0000A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7" name="AutoShape 1">
          <a:extLst>
            <a:ext uri="{FF2B5EF4-FFF2-40B4-BE49-F238E27FC236}">
              <a16:creationId xmlns:a16="http://schemas.microsoft.com/office/drawing/2014/main" id="{00000000-0008-0000-0F00-0000A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8" name="AutoShape 1">
          <a:extLst>
            <a:ext uri="{FF2B5EF4-FFF2-40B4-BE49-F238E27FC236}">
              <a16:creationId xmlns:a16="http://schemas.microsoft.com/office/drawing/2014/main" id="{00000000-0008-0000-0F00-0000A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39" name="AutoShape 1">
          <a:extLst>
            <a:ext uri="{FF2B5EF4-FFF2-40B4-BE49-F238E27FC236}">
              <a16:creationId xmlns:a16="http://schemas.microsoft.com/office/drawing/2014/main" id="{00000000-0008-0000-0F00-0000A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0" name="AutoShape 1">
          <a:extLst>
            <a:ext uri="{FF2B5EF4-FFF2-40B4-BE49-F238E27FC236}">
              <a16:creationId xmlns:a16="http://schemas.microsoft.com/office/drawing/2014/main" id="{00000000-0008-0000-0F00-0000A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1" name="AutoShape 1">
          <a:extLst>
            <a:ext uri="{FF2B5EF4-FFF2-40B4-BE49-F238E27FC236}">
              <a16:creationId xmlns:a16="http://schemas.microsoft.com/office/drawing/2014/main" id="{00000000-0008-0000-0F00-0000A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2" name="AutoShape 1">
          <a:extLst>
            <a:ext uri="{FF2B5EF4-FFF2-40B4-BE49-F238E27FC236}">
              <a16:creationId xmlns:a16="http://schemas.microsoft.com/office/drawing/2014/main" id="{00000000-0008-0000-0F00-0000A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3" name="AutoShape 1">
          <a:extLst>
            <a:ext uri="{FF2B5EF4-FFF2-40B4-BE49-F238E27FC236}">
              <a16:creationId xmlns:a16="http://schemas.microsoft.com/office/drawing/2014/main" id="{00000000-0008-0000-0F00-0000A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4" name="AutoShape 1">
          <a:extLst>
            <a:ext uri="{FF2B5EF4-FFF2-40B4-BE49-F238E27FC236}">
              <a16:creationId xmlns:a16="http://schemas.microsoft.com/office/drawing/2014/main" id="{00000000-0008-0000-0F00-0000A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5" name="AutoShape 1">
          <a:extLst>
            <a:ext uri="{FF2B5EF4-FFF2-40B4-BE49-F238E27FC236}">
              <a16:creationId xmlns:a16="http://schemas.microsoft.com/office/drawing/2014/main" id="{00000000-0008-0000-0F00-0000A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6" name="AutoShape 1">
          <a:extLst>
            <a:ext uri="{FF2B5EF4-FFF2-40B4-BE49-F238E27FC236}">
              <a16:creationId xmlns:a16="http://schemas.microsoft.com/office/drawing/2014/main" id="{00000000-0008-0000-0F00-0000A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7" name="AutoShape 1">
          <a:extLst>
            <a:ext uri="{FF2B5EF4-FFF2-40B4-BE49-F238E27FC236}">
              <a16:creationId xmlns:a16="http://schemas.microsoft.com/office/drawing/2014/main" id="{00000000-0008-0000-0F00-0000A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8" name="AutoShape 1">
          <a:extLst>
            <a:ext uri="{FF2B5EF4-FFF2-40B4-BE49-F238E27FC236}">
              <a16:creationId xmlns:a16="http://schemas.microsoft.com/office/drawing/2014/main" id="{00000000-0008-0000-0F00-0000A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49" name="AutoShape 1">
          <a:extLst>
            <a:ext uri="{FF2B5EF4-FFF2-40B4-BE49-F238E27FC236}">
              <a16:creationId xmlns:a16="http://schemas.microsoft.com/office/drawing/2014/main" id="{00000000-0008-0000-0F00-0000A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0" name="AutoShape 1">
          <a:extLst>
            <a:ext uri="{FF2B5EF4-FFF2-40B4-BE49-F238E27FC236}">
              <a16:creationId xmlns:a16="http://schemas.microsoft.com/office/drawing/2014/main" id="{00000000-0008-0000-0F00-0000A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1" name="AutoShape 1">
          <a:extLst>
            <a:ext uri="{FF2B5EF4-FFF2-40B4-BE49-F238E27FC236}">
              <a16:creationId xmlns:a16="http://schemas.microsoft.com/office/drawing/2014/main" id="{00000000-0008-0000-0F00-0000A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2" name="AutoShape 1">
          <a:extLst>
            <a:ext uri="{FF2B5EF4-FFF2-40B4-BE49-F238E27FC236}">
              <a16:creationId xmlns:a16="http://schemas.microsoft.com/office/drawing/2014/main" id="{00000000-0008-0000-0F00-0000B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3" name="AutoShape 1">
          <a:extLst>
            <a:ext uri="{FF2B5EF4-FFF2-40B4-BE49-F238E27FC236}">
              <a16:creationId xmlns:a16="http://schemas.microsoft.com/office/drawing/2014/main" id="{00000000-0008-0000-0F00-0000B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4" name="AutoShape 1">
          <a:extLst>
            <a:ext uri="{FF2B5EF4-FFF2-40B4-BE49-F238E27FC236}">
              <a16:creationId xmlns:a16="http://schemas.microsoft.com/office/drawing/2014/main" id="{00000000-0008-0000-0F00-0000B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5" name="AutoShape 1">
          <a:extLst>
            <a:ext uri="{FF2B5EF4-FFF2-40B4-BE49-F238E27FC236}">
              <a16:creationId xmlns:a16="http://schemas.microsoft.com/office/drawing/2014/main" id="{00000000-0008-0000-0F00-0000B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6" name="AutoShape 1">
          <a:extLst>
            <a:ext uri="{FF2B5EF4-FFF2-40B4-BE49-F238E27FC236}">
              <a16:creationId xmlns:a16="http://schemas.microsoft.com/office/drawing/2014/main" id="{00000000-0008-0000-0F00-0000B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7" name="AutoShape 1">
          <a:extLst>
            <a:ext uri="{FF2B5EF4-FFF2-40B4-BE49-F238E27FC236}">
              <a16:creationId xmlns:a16="http://schemas.microsoft.com/office/drawing/2014/main" id="{00000000-0008-0000-0F00-0000B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8" name="AutoShape 1">
          <a:extLst>
            <a:ext uri="{FF2B5EF4-FFF2-40B4-BE49-F238E27FC236}">
              <a16:creationId xmlns:a16="http://schemas.microsoft.com/office/drawing/2014/main" id="{00000000-0008-0000-0F00-0000B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59" name="AutoShape 1">
          <a:extLst>
            <a:ext uri="{FF2B5EF4-FFF2-40B4-BE49-F238E27FC236}">
              <a16:creationId xmlns:a16="http://schemas.microsoft.com/office/drawing/2014/main" id="{00000000-0008-0000-0F00-0000B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0" name="AutoShape 1">
          <a:extLst>
            <a:ext uri="{FF2B5EF4-FFF2-40B4-BE49-F238E27FC236}">
              <a16:creationId xmlns:a16="http://schemas.microsoft.com/office/drawing/2014/main" id="{00000000-0008-0000-0F00-0000B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1" name="AutoShape 1">
          <a:extLst>
            <a:ext uri="{FF2B5EF4-FFF2-40B4-BE49-F238E27FC236}">
              <a16:creationId xmlns:a16="http://schemas.microsoft.com/office/drawing/2014/main" id="{00000000-0008-0000-0F00-0000B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2" name="AutoShape 1">
          <a:extLst>
            <a:ext uri="{FF2B5EF4-FFF2-40B4-BE49-F238E27FC236}">
              <a16:creationId xmlns:a16="http://schemas.microsoft.com/office/drawing/2014/main" id="{00000000-0008-0000-0F00-0000B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3" name="AutoShape 1">
          <a:extLst>
            <a:ext uri="{FF2B5EF4-FFF2-40B4-BE49-F238E27FC236}">
              <a16:creationId xmlns:a16="http://schemas.microsoft.com/office/drawing/2014/main" id="{00000000-0008-0000-0F00-0000B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4" name="AutoShape 1">
          <a:extLst>
            <a:ext uri="{FF2B5EF4-FFF2-40B4-BE49-F238E27FC236}">
              <a16:creationId xmlns:a16="http://schemas.microsoft.com/office/drawing/2014/main" id="{00000000-0008-0000-0F00-0000B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5" name="AutoShape 1">
          <a:extLst>
            <a:ext uri="{FF2B5EF4-FFF2-40B4-BE49-F238E27FC236}">
              <a16:creationId xmlns:a16="http://schemas.microsoft.com/office/drawing/2014/main" id="{00000000-0008-0000-0F00-0000B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6" name="AutoShape 1">
          <a:extLst>
            <a:ext uri="{FF2B5EF4-FFF2-40B4-BE49-F238E27FC236}">
              <a16:creationId xmlns:a16="http://schemas.microsoft.com/office/drawing/2014/main" id="{00000000-0008-0000-0F00-0000B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7" name="AutoShape 1">
          <a:extLst>
            <a:ext uri="{FF2B5EF4-FFF2-40B4-BE49-F238E27FC236}">
              <a16:creationId xmlns:a16="http://schemas.microsoft.com/office/drawing/2014/main" id="{00000000-0008-0000-0F00-0000B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8" name="AutoShape 1">
          <a:extLst>
            <a:ext uri="{FF2B5EF4-FFF2-40B4-BE49-F238E27FC236}">
              <a16:creationId xmlns:a16="http://schemas.microsoft.com/office/drawing/2014/main" id="{00000000-0008-0000-0F00-0000C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69" name="AutoShape 1">
          <a:extLst>
            <a:ext uri="{FF2B5EF4-FFF2-40B4-BE49-F238E27FC236}">
              <a16:creationId xmlns:a16="http://schemas.microsoft.com/office/drawing/2014/main" id="{00000000-0008-0000-0F00-0000C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0" name="AutoShape 1">
          <a:extLst>
            <a:ext uri="{FF2B5EF4-FFF2-40B4-BE49-F238E27FC236}">
              <a16:creationId xmlns:a16="http://schemas.microsoft.com/office/drawing/2014/main" id="{00000000-0008-0000-0F00-0000C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1" name="AutoShape 1">
          <a:extLst>
            <a:ext uri="{FF2B5EF4-FFF2-40B4-BE49-F238E27FC236}">
              <a16:creationId xmlns:a16="http://schemas.microsoft.com/office/drawing/2014/main" id="{00000000-0008-0000-0F00-0000C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2" name="AutoShape 1">
          <a:extLst>
            <a:ext uri="{FF2B5EF4-FFF2-40B4-BE49-F238E27FC236}">
              <a16:creationId xmlns:a16="http://schemas.microsoft.com/office/drawing/2014/main" id="{00000000-0008-0000-0F00-0000C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3" name="AutoShape 1">
          <a:extLst>
            <a:ext uri="{FF2B5EF4-FFF2-40B4-BE49-F238E27FC236}">
              <a16:creationId xmlns:a16="http://schemas.microsoft.com/office/drawing/2014/main" id="{00000000-0008-0000-0F00-0000C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4" name="AutoShape 1">
          <a:extLst>
            <a:ext uri="{FF2B5EF4-FFF2-40B4-BE49-F238E27FC236}">
              <a16:creationId xmlns:a16="http://schemas.microsoft.com/office/drawing/2014/main" id="{00000000-0008-0000-0F00-0000C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5" name="AutoShape 1">
          <a:extLst>
            <a:ext uri="{FF2B5EF4-FFF2-40B4-BE49-F238E27FC236}">
              <a16:creationId xmlns:a16="http://schemas.microsoft.com/office/drawing/2014/main" id="{00000000-0008-0000-0F00-0000C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6" name="AutoShape 1">
          <a:extLst>
            <a:ext uri="{FF2B5EF4-FFF2-40B4-BE49-F238E27FC236}">
              <a16:creationId xmlns:a16="http://schemas.microsoft.com/office/drawing/2014/main" id="{00000000-0008-0000-0F00-0000C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7" name="AutoShape 1">
          <a:extLst>
            <a:ext uri="{FF2B5EF4-FFF2-40B4-BE49-F238E27FC236}">
              <a16:creationId xmlns:a16="http://schemas.microsoft.com/office/drawing/2014/main" id="{00000000-0008-0000-0F00-0000C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8" name="AutoShape 1">
          <a:extLst>
            <a:ext uri="{FF2B5EF4-FFF2-40B4-BE49-F238E27FC236}">
              <a16:creationId xmlns:a16="http://schemas.microsoft.com/office/drawing/2014/main" id="{00000000-0008-0000-0F00-0000C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79" name="AutoShape 1">
          <a:extLst>
            <a:ext uri="{FF2B5EF4-FFF2-40B4-BE49-F238E27FC236}">
              <a16:creationId xmlns:a16="http://schemas.microsoft.com/office/drawing/2014/main" id="{00000000-0008-0000-0F00-0000C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0" name="AutoShape 1">
          <a:extLst>
            <a:ext uri="{FF2B5EF4-FFF2-40B4-BE49-F238E27FC236}">
              <a16:creationId xmlns:a16="http://schemas.microsoft.com/office/drawing/2014/main" id="{00000000-0008-0000-0F00-0000C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1" name="AutoShape 1">
          <a:extLst>
            <a:ext uri="{FF2B5EF4-FFF2-40B4-BE49-F238E27FC236}">
              <a16:creationId xmlns:a16="http://schemas.microsoft.com/office/drawing/2014/main" id="{00000000-0008-0000-0F00-0000C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2" name="AutoShape 1">
          <a:extLst>
            <a:ext uri="{FF2B5EF4-FFF2-40B4-BE49-F238E27FC236}">
              <a16:creationId xmlns:a16="http://schemas.microsoft.com/office/drawing/2014/main" id="{00000000-0008-0000-0F00-0000C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3" name="AutoShape 1">
          <a:extLst>
            <a:ext uri="{FF2B5EF4-FFF2-40B4-BE49-F238E27FC236}">
              <a16:creationId xmlns:a16="http://schemas.microsoft.com/office/drawing/2014/main" id="{00000000-0008-0000-0F00-0000C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4" name="AutoShape 1">
          <a:extLst>
            <a:ext uri="{FF2B5EF4-FFF2-40B4-BE49-F238E27FC236}">
              <a16:creationId xmlns:a16="http://schemas.microsoft.com/office/drawing/2014/main" id="{00000000-0008-0000-0F00-0000D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5" name="AutoShape 1">
          <a:extLst>
            <a:ext uri="{FF2B5EF4-FFF2-40B4-BE49-F238E27FC236}">
              <a16:creationId xmlns:a16="http://schemas.microsoft.com/office/drawing/2014/main" id="{00000000-0008-0000-0F00-0000D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6" name="AutoShape 1">
          <a:extLst>
            <a:ext uri="{FF2B5EF4-FFF2-40B4-BE49-F238E27FC236}">
              <a16:creationId xmlns:a16="http://schemas.microsoft.com/office/drawing/2014/main" id="{00000000-0008-0000-0F00-0000D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7" name="AutoShape 1">
          <a:extLst>
            <a:ext uri="{FF2B5EF4-FFF2-40B4-BE49-F238E27FC236}">
              <a16:creationId xmlns:a16="http://schemas.microsoft.com/office/drawing/2014/main" id="{00000000-0008-0000-0F00-0000D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8" name="AutoShape 1">
          <a:extLst>
            <a:ext uri="{FF2B5EF4-FFF2-40B4-BE49-F238E27FC236}">
              <a16:creationId xmlns:a16="http://schemas.microsoft.com/office/drawing/2014/main" id="{00000000-0008-0000-0F00-0000D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89" name="AutoShape 1">
          <a:extLst>
            <a:ext uri="{FF2B5EF4-FFF2-40B4-BE49-F238E27FC236}">
              <a16:creationId xmlns:a16="http://schemas.microsoft.com/office/drawing/2014/main" id="{00000000-0008-0000-0F00-0000D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0" name="AutoShape 1">
          <a:extLst>
            <a:ext uri="{FF2B5EF4-FFF2-40B4-BE49-F238E27FC236}">
              <a16:creationId xmlns:a16="http://schemas.microsoft.com/office/drawing/2014/main" id="{00000000-0008-0000-0F00-0000D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1" name="AutoShape 1">
          <a:extLst>
            <a:ext uri="{FF2B5EF4-FFF2-40B4-BE49-F238E27FC236}">
              <a16:creationId xmlns:a16="http://schemas.microsoft.com/office/drawing/2014/main" id="{00000000-0008-0000-0F00-0000D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2" name="AutoShape 1">
          <a:extLst>
            <a:ext uri="{FF2B5EF4-FFF2-40B4-BE49-F238E27FC236}">
              <a16:creationId xmlns:a16="http://schemas.microsoft.com/office/drawing/2014/main" id="{00000000-0008-0000-0F00-0000D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3" name="AutoShape 1">
          <a:extLst>
            <a:ext uri="{FF2B5EF4-FFF2-40B4-BE49-F238E27FC236}">
              <a16:creationId xmlns:a16="http://schemas.microsoft.com/office/drawing/2014/main" id="{00000000-0008-0000-0F00-0000D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4" name="AutoShape 1">
          <a:extLst>
            <a:ext uri="{FF2B5EF4-FFF2-40B4-BE49-F238E27FC236}">
              <a16:creationId xmlns:a16="http://schemas.microsoft.com/office/drawing/2014/main" id="{00000000-0008-0000-0F00-0000D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5" name="AutoShape 1">
          <a:extLst>
            <a:ext uri="{FF2B5EF4-FFF2-40B4-BE49-F238E27FC236}">
              <a16:creationId xmlns:a16="http://schemas.microsoft.com/office/drawing/2014/main" id="{00000000-0008-0000-0F00-0000D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6" name="AutoShape 1">
          <a:extLst>
            <a:ext uri="{FF2B5EF4-FFF2-40B4-BE49-F238E27FC236}">
              <a16:creationId xmlns:a16="http://schemas.microsoft.com/office/drawing/2014/main" id="{00000000-0008-0000-0F00-0000D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7" name="AutoShape 1">
          <a:extLst>
            <a:ext uri="{FF2B5EF4-FFF2-40B4-BE49-F238E27FC236}">
              <a16:creationId xmlns:a16="http://schemas.microsoft.com/office/drawing/2014/main" id="{00000000-0008-0000-0F00-0000D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8" name="AutoShape 1">
          <a:extLst>
            <a:ext uri="{FF2B5EF4-FFF2-40B4-BE49-F238E27FC236}">
              <a16:creationId xmlns:a16="http://schemas.microsoft.com/office/drawing/2014/main" id="{00000000-0008-0000-0F00-0000D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599" name="AutoShape 1">
          <a:extLst>
            <a:ext uri="{FF2B5EF4-FFF2-40B4-BE49-F238E27FC236}">
              <a16:creationId xmlns:a16="http://schemas.microsoft.com/office/drawing/2014/main" id="{00000000-0008-0000-0F00-0000D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0" name="AutoShape 1">
          <a:extLst>
            <a:ext uri="{FF2B5EF4-FFF2-40B4-BE49-F238E27FC236}">
              <a16:creationId xmlns:a16="http://schemas.microsoft.com/office/drawing/2014/main" id="{00000000-0008-0000-0F00-0000E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1" name="AutoShape 1">
          <a:extLst>
            <a:ext uri="{FF2B5EF4-FFF2-40B4-BE49-F238E27FC236}">
              <a16:creationId xmlns:a16="http://schemas.microsoft.com/office/drawing/2014/main" id="{00000000-0008-0000-0F00-0000E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2" name="AutoShape 1">
          <a:extLst>
            <a:ext uri="{FF2B5EF4-FFF2-40B4-BE49-F238E27FC236}">
              <a16:creationId xmlns:a16="http://schemas.microsoft.com/office/drawing/2014/main" id="{00000000-0008-0000-0F00-0000E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3" name="AutoShape 1">
          <a:extLst>
            <a:ext uri="{FF2B5EF4-FFF2-40B4-BE49-F238E27FC236}">
              <a16:creationId xmlns:a16="http://schemas.microsoft.com/office/drawing/2014/main" id="{00000000-0008-0000-0F00-0000E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4" name="AutoShape 1">
          <a:extLst>
            <a:ext uri="{FF2B5EF4-FFF2-40B4-BE49-F238E27FC236}">
              <a16:creationId xmlns:a16="http://schemas.microsoft.com/office/drawing/2014/main" id="{00000000-0008-0000-0F00-0000E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5" name="AutoShape 1">
          <a:extLst>
            <a:ext uri="{FF2B5EF4-FFF2-40B4-BE49-F238E27FC236}">
              <a16:creationId xmlns:a16="http://schemas.microsoft.com/office/drawing/2014/main" id="{00000000-0008-0000-0F00-0000E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6" name="AutoShape 1">
          <a:extLst>
            <a:ext uri="{FF2B5EF4-FFF2-40B4-BE49-F238E27FC236}">
              <a16:creationId xmlns:a16="http://schemas.microsoft.com/office/drawing/2014/main" id="{00000000-0008-0000-0F00-0000E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7" name="AutoShape 1">
          <a:extLst>
            <a:ext uri="{FF2B5EF4-FFF2-40B4-BE49-F238E27FC236}">
              <a16:creationId xmlns:a16="http://schemas.microsoft.com/office/drawing/2014/main" id="{00000000-0008-0000-0F00-0000E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8" name="AutoShape 1">
          <a:extLst>
            <a:ext uri="{FF2B5EF4-FFF2-40B4-BE49-F238E27FC236}">
              <a16:creationId xmlns:a16="http://schemas.microsoft.com/office/drawing/2014/main" id="{00000000-0008-0000-0F00-0000E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09" name="AutoShape 1">
          <a:extLst>
            <a:ext uri="{FF2B5EF4-FFF2-40B4-BE49-F238E27FC236}">
              <a16:creationId xmlns:a16="http://schemas.microsoft.com/office/drawing/2014/main" id="{00000000-0008-0000-0F00-0000E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0" name="AutoShape 1">
          <a:extLst>
            <a:ext uri="{FF2B5EF4-FFF2-40B4-BE49-F238E27FC236}">
              <a16:creationId xmlns:a16="http://schemas.microsoft.com/office/drawing/2014/main" id="{00000000-0008-0000-0F00-0000E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1" name="AutoShape 1">
          <a:extLst>
            <a:ext uri="{FF2B5EF4-FFF2-40B4-BE49-F238E27FC236}">
              <a16:creationId xmlns:a16="http://schemas.microsoft.com/office/drawing/2014/main" id="{00000000-0008-0000-0F00-0000E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2" name="AutoShape 1">
          <a:extLst>
            <a:ext uri="{FF2B5EF4-FFF2-40B4-BE49-F238E27FC236}">
              <a16:creationId xmlns:a16="http://schemas.microsoft.com/office/drawing/2014/main" id="{00000000-0008-0000-0F00-0000E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3" name="AutoShape 1">
          <a:extLst>
            <a:ext uri="{FF2B5EF4-FFF2-40B4-BE49-F238E27FC236}">
              <a16:creationId xmlns:a16="http://schemas.microsoft.com/office/drawing/2014/main" id="{00000000-0008-0000-0F00-0000E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4" name="AutoShape 1">
          <a:extLst>
            <a:ext uri="{FF2B5EF4-FFF2-40B4-BE49-F238E27FC236}">
              <a16:creationId xmlns:a16="http://schemas.microsoft.com/office/drawing/2014/main" id="{00000000-0008-0000-0F00-0000E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5" name="AutoShape 1">
          <a:extLst>
            <a:ext uri="{FF2B5EF4-FFF2-40B4-BE49-F238E27FC236}">
              <a16:creationId xmlns:a16="http://schemas.microsoft.com/office/drawing/2014/main" id="{00000000-0008-0000-0F00-0000E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6" name="AutoShape 1">
          <a:extLst>
            <a:ext uri="{FF2B5EF4-FFF2-40B4-BE49-F238E27FC236}">
              <a16:creationId xmlns:a16="http://schemas.microsoft.com/office/drawing/2014/main" id="{00000000-0008-0000-0F00-0000F0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7" name="AutoShape 1">
          <a:extLst>
            <a:ext uri="{FF2B5EF4-FFF2-40B4-BE49-F238E27FC236}">
              <a16:creationId xmlns:a16="http://schemas.microsoft.com/office/drawing/2014/main" id="{00000000-0008-0000-0F00-0000F1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8" name="AutoShape 1">
          <a:extLst>
            <a:ext uri="{FF2B5EF4-FFF2-40B4-BE49-F238E27FC236}">
              <a16:creationId xmlns:a16="http://schemas.microsoft.com/office/drawing/2014/main" id="{00000000-0008-0000-0F00-0000F2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19" name="AutoShape 1">
          <a:extLst>
            <a:ext uri="{FF2B5EF4-FFF2-40B4-BE49-F238E27FC236}">
              <a16:creationId xmlns:a16="http://schemas.microsoft.com/office/drawing/2014/main" id="{00000000-0008-0000-0F00-0000F3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0" name="AutoShape 1">
          <a:extLst>
            <a:ext uri="{FF2B5EF4-FFF2-40B4-BE49-F238E27FC236}">
              <a16:creationId xmlns:a16="http://schemas.microsoft.com/office/drawing/2014/main" id="{00000000-0008-0000-0F00-0000F4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1" name="AutoShape 1">
          <a:extLst>
            <a:ext uri="{FF2B5EF4-FFF2-40B4-BE49-F238E27FC236}">
              <a16:creationId xmlns:a16="http://schemas.microsoft.com/office/drawing/2014/main" id="{00000000-0008-0000-0F00-0000F5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2" name="AutoShape 1">
          <a:extLst>
            <a:ext uri="{FF2B5EF4-FFF2-40B4-BE49-F238E27FC236}">
              <a16:creationId xmlns:a16="http://schemas.microsoft.com/office/drawing/2014/main" id="{00000000-0008-0000-0F00-0000F6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3" name="AutoShape 1">
          <a:extLst>
            <a:ext uri="{FF2B5EF4-FFF2-40B4-BE49-F238E27FC236}">
              <a16:creationId xmlns:a16="http://schemas.microsoft.com/office/drawing/2014/main" id="{00000000-0008-0000-0F00-0000F7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4" name="AutoShape 1">
          <a:extLst>
            <a:ext uri="{FF2B5EF4-FFF2-40B4-BE49-F238E27FC236}">
              <a16:creationId xmlns:a16="http://schemas.microsoft.com/office/drawing/2014/main" id="{00000000-0008-0000-0F00-0000F8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5" name="AutoShape 1">
          <a:extLst>
            <a:ext uri="{FF2B5EF4-FFF2-40B4-BE49-F238E27FC236}">
              <a16:creationId xmlns:a16="http://schemas.microsoft.com/office/drawing/2014/main" id="{00000000-0008-0000-0F00-0000F9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6" name="AutoShape 1">
          <a:extLst>
            <a:ext uri="{FF2B5EF4-FFF2-40B4-BE49-F238E27FC236}">
              <a16:creationId xmlns:a16="http://schemas.microsoft.com/office/drawing/2014/main" id="{00000000-0008-0000-0F00-0000FA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7" name="AutoShape 1">
          <a:extLst>
            <a:ext uri="{FF2B5EF4-FFF2-40B4-BE49-F238E27FC236}">
              <a16:creationId xmlns:a16="http://schemas.microsoft.com/office/drawing/2014/main" id="{00000000-0008-0000-0F00-0000FB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8" name="AutoShape 1">
          <a:extLst>
            <a:ext uri="{FF2B5EF4-FFF2-40B4-BE49-F238E27FC236}">
              <a16:creationId xmlns:a16="http://schemas.microsoft.com/office/drawing/2014/main" id="{00000000-0008-0000-0F00-0000FC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29" name="AutoShape 1">
          <a:extLst>
            <a:ext uri="{FF2B5EF4-FFF2-40B4-BE49-F238E27FC236}">
              <a16:creationId xmlns:a16="http://schemas.microsoft.com/office/drawing/2014/main" id="{00000000-0008-0000-0F00-0000FD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0" name="AutoShape 1">
          <a:extLst>
            <a:ext uri="{FF2B5EF4-FFF2-40B4-BE49-F238E27FC236}">
              <a16:creationId xmlns:a16="http://schemas.microsoft.com/office/drawing/2014/main" id="{00000000-0008-0000-0F00-0000FE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1" name="AutoShape 1">
          <a:extLst>
            <a:ext uri="{FF2B5EF4-FFF2-40B4-BE49-F238E27FC236}">
              <a16:creationId xmlns:a16="http://schemas.microsoft.com/office/drawing/2014/main" id="{00000000-0008-0000-0F00-0000FF15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2" name="AutoShape 1">
          <a:extLst>
            <a:ext uri="{FF2B5EF4-FFF2-40B4-BE49-F238E27FC236}">
              <a16:creationId xmlns:a16="http://schemas.microsoft.com/office/drawing/2014/main" id="{00000000-0008-0000-0F00-000000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3" name="AutoShape 1">
          <a:extLst>
            <a:ext uri="{FF2B5EF4-FFF2-40B4-BE49-F238E27FC236}">
              <a16:creationId xmlns:a16="http://schemas.microsoft.com/office/drawing/2014/main" id="{00000000-0008-0000-0F00-000001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4" name="AutoShape 1">
          <a:extLst>
            <a:ext uri="{FF2B5EF4-FFF2-40B4-BE49-F238E27FC236}">
              <a16:creationId xmlns:a16="http://schemas.microsoft.com/office/drawing/2014/main" id="{00000000-0008-0000-0F00-000002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5" name="AutoShape 1">
          <a:extLst>
            <a:ext uri="{FF2B5EF4-FFF2-40B4-BE49-F238E27FC236}">
              <a16:creationId xmlns:a16="http://schemas.microsoft.com/office/drawing/2014/main" id="{00000000-0008-0000-0F00-000003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6" name="AutoShape 1">
          <a:extLst>
            <a:ext uri="{FF2B5EF4-FFF2-40B4-BE49-F238E27FC236}">
              <a16:creationId xmlns:a16="http://schemas.microsoft.com/office/drawing/2014/main" id="{00000000-0008-0000-0F00-000004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7" name="AutoShape 1">
          <a:extLst>
            <a:ext uri="{FF2B5EF4-FFF2-40B4-BE49-F238E27FC236}">
              <a16:creationId xmlns:a16="http://schemas.microsoft.com/office/drawing/2014/main" id="{00000000-0008-0000-0F00-000005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8" name="AutoShape 1">
          <a:extLst>
            <a:ext uri="{FF2B5EF4-FFF2-40B4-BE49-F238E27FC236}">
              <a16:creationId xmlns:a16="http://schemas.microsoft.com/office/drawing/2014/main" id="{00000000-0008-0000-0F00-000006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39" name="AutoShape 1">
          <a:extLst>
            <a:ext uri="{FF2B5EF4-FFF2-40B4-BE49-F238E27FC236}">
              <a16:creationId xmlns:a16="http://schemas.microsoft.com/office/drawing/2014/main" id="{00000000-0008-0000-0F00-000007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0" name="AutoShape 1">
          <a:extLst>
            <a:ext uri="{FF2B5EF4-FFF2-40B4-BE49-F238E27FC236}">
              <a16:creationId xmlns:a16="http://schemas.microsoft.com/office/drawing/2014/main" id="{00000000-0008-0000-0F00-000008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1" name="AutoShape 1">
          <a:extLst>
            <a:ext uri="{FF2B5EF4-FFF2-40B4-BE49-F238E27FC236}">
              <a16:creationId xmlns:a16="http://schemas.microsoft.com/office/drawing/2014/main" id="{00000000-0008-0000-0F00-000009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2" name="AutoShape 1">
          <a:extLst>
            <a:ext uri="{FF2B5EF4-FFF2-40B4-BE49-F238E27FC236}">
              <a16:creationId xmlns:a16="http://schemas.microsoft.com/office/drawing/2014/main" id="{00000000-0008-0000-0F00-00000A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3" name="AutoShape 1">
          <a:extLst>
            <a:ext uri="{FF2B5EF4-FFF2-40B4-BE49-F238E27FC236}">
              <a16:creationId xmlns:a16="http://schemas.microsoft.com/office/drawing/2014/main" id="{00000000-0008-0000-0F00-00000B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4" name="AutoShape 1">
          <a:extLst>
            <a:ext uri="{FF2B5EF4-FFF2-40B4-BE49-F238E27FC236}">
              <a16:creationId xmlns:a16="http://schemas.microsoft.com/office/drawing/2014/main" id="{00000000-0008-0000-0F00-00000C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5" name="AutoShape 1">
          <a:extLst>
            <a:ext uri="{FF2B5EF4-FFF2-40B4-BE49-F238E27FC236}">
              <a16:creationId xmlns:a16="http://schemas.microsoft.com/office/drawing/2014/main" id="{00000000-0008-0000-0F00-00000D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6" name="AutoShape 1">
          <a:extLst>
            <a:ext uri="{FF2B5EF4-FFF2-40B4-BE49-F238E27FC236}">
              <a16:creationId xmlns:a16="http://schemas.microsoft.com/office/drawing/2014/main" id="{00000000-0008-0000-0F00-00000E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7" name="AutoShape 1">
          <a:extLst>
            <a:ext uri="{FF2B5EF4-FFF2-40B4-BE49-F238E27FC236}">
              <a16:creationId xmlns:a16="http://schemas.microsoft.com/office/drawing/2014/main" id="{00000000-0008-0000-0F00-00000F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8" name="AutoShape 1">
          <a:extLst>
            <a:ext uri="{FF2B5EF4-FFF2-40B4-BE49-F238E27FC236}">
              <a16:creationId xmlns:a16="http://schemas.microsoft.com/office/drawing/2014/main" id="{00000000-0008-0000-0F00-000010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49" name="AutoShape 1">
          <a:extLst>
            <a:ext uri="{FF2B5EF4-FFF2-40B4-BE49-F238E27FC236}">
              <a16:creationId xmlns:a16="http://schemas.microsoft.com/office/drawing/2014/main" id="{00000000-0008-0000-0F00-000011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0" name="AutoShape 1">
          <a:extLst>
            <a:ext uri="{FF2B5EF4-FFF2-40B4-BE49-F238E27FC236}">
              <a16:creationId xmlns:a16="http://schemas.microsoft.com/office/drawing/2014/main" id="{00000000-0008-0000-0F00-000012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1" name="AutoShape 1">
          <a:extLst>
            <a:ext uri="{FF2B5EF4-FFF2-40B4-BE49-F238E27FC236}">
              <a16:creationId xmlns:a16="http://schemas.microsoft.com/office/drawing/2014/main" id="{00000000-0008-0000-0F00-000013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2" name="AutoShape 1">
          <a:extLst>
            <a:ext uri="{FF2B5EF4-FFF2-40B4-BE49-F238E27FC236}">
              <a16:creationId xmlns:a16="http://schemas.microsoft.com/office/drawing/2014/main" id="{00000000-0008-0000-0F00-000014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3" name="AutoShape 1">
          <a:extLst>
            <a:ext uri="{FF2B5EF4-FFF2-40B4-BE49-F238E27FC236}">
              <a16:creationId xmlns:a16="http://schemas.microsoft.com/office/drawing/2014/main" id="{00000000-0008-0000-0F00-000015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4" name="AutoShape 1">
          <a:extLst>
            <a:ext uri="{FF2B5EF4-FFF2-40B4-BE49-F238E27FC236}">
              <a16:creationId xmlns:a16="http://schemas.microsoft.com/office/drawing/2014/main" id="{00000000-0008-0000-0F00-000016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5" name="AutoShape 1">
          <a:extLst>
            <a:ext uri="{FF2B5EF4-FFF2-40B4-BE49-F238E27FC236}">
              <a16:creationId xmlns:a16="http://schemas.microsoft.com/office/drawing/2014/main" id="{00000000-0008-0000-0F00-000017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6" name="AutoShape 1">
          <a:extLst>
            <a:ext uri="{FF2B5EF4-FFF2-40B4-BE49-F238E27FC236}">
              <a16:creationId xmlns:a16="http://schemas.microsoft.com/office/drawing/2014/main" id="{00000000-0008-0000-0F00-000018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7" name="AutoShape 1">
          <a:extLst>
            <a:ext uri="{FF2B5EF4-FFF2-40B4-BE49-F238E27FC236}">
              <a16:creationId xmlns:a16="http://schemas.microsoft.com/office/drawing/2014/main" id="{00000000-0008-0000-0F00-000019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8" name="AutoShape 1">
          <a:extLst>
            <a:ext uri="{FF2B5EF4-FFF2-40B4-BE49-F238E27FC236}">
              <a16:creationId xmlns:a16="http://schemas.microsoft.com/office/drawing/2014/main" id="{00000000-0008-0000-0F00-00001A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59" name="AutoShape 1">
          <a:extLst>
            <a:ext uri="{FF2B5EF4-FFF2-40B4-BE49-F238E27FC236}">
              <a16:creationId xmlns:a16="http://schemas.microsoft.com/office/drawing/2014/main" id="{00000000-0008-0000-0F00-00001B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0" name="AutoShape 1">
          <a:extLst>
            <a:ext uri="{FF2B5EF4-FFF2-40B4-BE49-F238E27FC236}">
              <a16:creationId xmlns:a16="http://schemas.microsoft.com/office/drawing/2014/main" id="{00000000-0008-0000-0F00-00001C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1" name="AutoShape 1">
          <a:extLst>
            <a:ext uri="{FF2B5EF4-FFF2-40B4-BE49-F238E27FC236}">
              <a16:creationId xmlns:a16="http://schemas.microsoft.com/office/drawing/2014/main" id="{00000000-0008-0000-0F00-00001D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2" name="AutoShape 1">
          <a:extLst>
            <a:ext uri="{FF2B5EF4-FFF2-40B4-BE49-F238E27FC236}">
              <a16:creationId xmlns:a16="http://schemas.microsoft.com/office/drawing/2014/main" id="{00000000-0008-0000-0F00-00001E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3" name="AutoShape 1">
          <a:extLst>
            <a:ext uri="{FF2B5EF4-FFF2-40B4-BE49-F238E27FC236}">
              <a16:creationId xmlns:a16="http://schemas.microsoft.com/office/drawing/2014/main" id="{00000000-0008-0000-0F00-00001F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4" name="AutoShape 1">
          <a:extLst>
            <a:ext uri="{FF2B5EF4-FFF2-40B4-BE49-F238E27FC236}">
              <a16:creationId xmlns:a16="http://schemas.microsoft.com/office/drawing/2014/main" id="{00000000-0008-0000-0F00-000020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5" name="AutoShape 1">
          <a:extLst>
            <a:ext uri="{FF2B5EF4-FFF2-40B4-BE49-F238E27FC236}">
              <a16:creationId xmlns:a16="http://schemas.microsoft.com/office/drawing/2014/main" id="{00000000-0008-0000-0F00-000021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6" name="AutoShape 1">
          <a:extLst>
            <a:ext uri="{FF2B5EF4-FFF2-40B4-BE49-F238E27FC236}">
              <a16:creationId xmlns:a16="http://schemas.microsoft.com/office/drawing/2014/main" id="{00000000-0008-0000-0F00-000022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7" name="AutoShape 1">
          <a:extLst>
            <a:ext uri="{FF2B5EF4-FFF2-40B4-BE49-F238E27FC236}">
              <a16:creationId xmlns:a16="http://schemas.microsoft.com/office/drawing/2014/main" id="{00000000-0008-0000-0F00-000023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8" name="AutoShape 1">
          <a:extLst>
            <a:ext uri="{FF2B5EF4-FFF2-40B4-BE49-F238E27FC236}">
              <a16:creationId xmlns:a16="http://schemas.microsoft.com/office/drawing/2014/main" id="{00000000-0008-0000-0F00-000024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69" name="AutoShape 1">
          <a:extLst>
            <a:ext uri="{FF2B5EF4-FFF2-40B4-BE49-F238E27FC236}">
              <a16:creationId xmlns:a16="http://schemas.microsoft.com/office/drawing/2014/main" id="{00000000-0008-0000-0F00-000025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0" name="AutoShape 1">
          <a:extLst>
            <a:ext uri="{FF2B5EF4-FFF2-40B4-BE49-F238E27FC236}">
              <a16:creationId xmlns:a16="http://schemas.microsoft.com/office/drawing/2014/main" id="{00000000-0008-0000-0F00-000026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1" name="AutoShape 1">
          <a:extLst>
            <a:ext uri="{FF2B5EF4-FFF2-40B4-BE49-F238E27FC236}">
              <a16:creationId xmlns:a16="http://schemas.microsoft.com/office/drawing/2014/main" id="{00000000-0008-0000-0F00-000027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2" name="AutoShape 1">
          <a:extLst>
            <a:ext uri="{FF2B5EF4-FFF2-40B4-BE49-F238E27FC236}">
              <a16:creationId xmlns:a16="http://schemas.microsoft.com/office/drawing/2014/main" id="{00000000-0008-0000-0F00-000028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3" name="AutoShape 1">
          <a:extLst>
            <a:ext uri="{FF2B5EF4-FFF2-40B4-BE49-F238E27FC236}">
              <a16:creationId xmlns:a16="http://schemas.microsoft.com/office/drawing/2014/main" id="{00000000-0008-0000-0F00-000029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4" name="AutoShape 1">
          <a:extLst>
            <a:ext uri="{FF2B5EF4-FFF2-40B4-BE49-F238E27FC236}">
              <a16:creationId xmlns:a16="http://schemas.microsoft.com/office/drawing/2014/main" id="{00000000-0008-0000-0F00-00002A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5" name="AutoShape 1">
          <a:extLst>
            <a:ext uri="{FF2B5EF4-FFF2-40B4-BE49-F238E27FC236}">
              <a16:creationId xmlns:a16="http://schemas.microsoft.com/office/drawing/2014/main" id="{00000000-0008-0000-0F00-00002B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6" name="AutoShape 1">
          <a:extLst>
            <a:ext uri="{FF2B5EF4-FFF2-40B4-BE49-F238E27FC236}">
              <a16:creationId xmlns:a16="http://schemas.microsoft.com/office/drawing/2014/main" id="{00000000-0008-0000-0F00-00002C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7" name="AutoShape 1">
          <a:extLst>
            <a:ext uri="{FF2B5EF4-FFF2-40B4-BE49-F238E27FC236}">
              <a16:creationId xmlns:a16="http://schemas.microsoft.com/office/drawing/2014/main" id="{00000000-0008-0000-0F00-00002D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8" name="AutoShape 1">
          <a:extLst>
            <a:ext uri="{FF2B5EF4-FFF2-40B4-BE49-F238E27FC236}">
              <a16:creationId xmlns:a16="http://schemas.microsoft.com/office/drawing/2014/main" id="{00000000-0008-0000-0F00-00002E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79" name="AutoShape 1">
          <a:extLst>
            <a:ext uri="{FF2B5EF4-FFF2-40B4-BE49-F238E27FC236}">
              <a16:creationId xmlns:a16="http://schemas.microsoft.com/office/drawing/2014/main" id="{00000000-0008-0000-0F00-00002F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0" name="AutoShape 1">
          <a:extLst>
            <a:ext uri="{FF2B5EF4-FFF2-40B4-BE49-F238E27FC236}">
              <a16:creationId xmlns:a16="http://schemas.microsoft.com/office/drawing/2014/main" id="{00000000-0008-0000-0F00-000030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1" name="AutoShape 1">
          <a:extLst>
            <a:ext uri="{FF2B5EF4-FFF2-40B4-BE49-F238E27FC236}">
              <a16:creationId xmlns:a16="http://schemas.microsoft.com/office/drawing/2014/main" id="{00000000-0008-0000-0F00-000031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2" name="AutoShape 1">
          <a:extLst>
            <a:ext uri="{FF2B5EF4-FFF2-40B4-BE49-F238E27FC236}">
              <a16:creationId xmlns:a16="http://schemas.microsoft.com/office/drawing/2014/main" id="{00000000-0008-0000-0F00-000032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3" name="AutoShape 1">
          <a:extLst>
            <a:ext uri="{FF2B5EF4-FFF2-40B4-BE49-F238E27FC236}">
              <a16:creationId xmlns:a16="http://schemas.microsoft.com/office/drawing/2014/main" id="{00000000-0008-0000-0F00-000033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4" name="AutoShape 1">
          <a:extLst>
            <a:ext uri="{FF2B5EF4-FFF2-40B4-BE49-F238E27FC236}">
              <a16:creationId xmlns:a16="http://schemas.microsoft.com/office/drawing/2014/main" id="{00000000-0008-0000-0F00-000034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5" name="AutoShape 1">
          <a:extLst>
            <a:ext uri="{FF2B5EF4-FFF2-40B4-BE49-F238E27FC236}">
              <a16:creationId xmlns:a16="http://schemas.microsoft.com/office/drawing/2014/main" id="{00000000-0008-0000-0F00-000035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6" name="AutoShape 1">
          <a:extLst>
            <a:ext uri="{FF2B5EF4-FFF2-40B4-BE49-F238E27FC236}">
              <a16:creationId xmlns:a16="http://schemas.microsoft.com/office/drawing/2014/main" id="{00000000-0008-0000-0F00-000036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7" name="AutoShape 1">
          <a:extLst>
            <a:ext uri="{FF2B5EF4-FFF2-40B4-BE49-F238E27FC236}">
              <a16:creationId xmlns:a16="http://schemas.microsoft.com/office/drawing/2014/main" id="{00000000-0008-0000-0F00-000037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8" name="AutoShape 1">
          <a:extLst>
            <a:ext uri="{FF2B5EF4-FFF2-40B4-BE49-F238E27FC236}">
              <a16:creationId xmlns:a16="http://schemas.microsoft.com/office/drawing/2014/main" id="{00000000-0008-0000-0F00-000038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89" name="AutoShape 1">
          <a:extLst>
            <a:ext uri="{FF2B5EF4-FFF2-40B4-BE49-F238E27FC236}">
              <a16:creationId xmlns:a16="http://schemas.microsoft.com/office/drawing/2014/main" id="{00000000-0008-0000-0F00-000039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0" name="AutoShape 1">
          <a:extLst>
            <a:ext uri="{FF2B5EF4-FFF2-40B4-BE49-F238E27FC236}">
              <a16:creationId xmlns:a16="http://schemas.microsoft.com/office/drawing/2014/main" id="{00000000-0008-0000-0F00-00003A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1" name="AutoShape 1">
          <a:extLst>
            <a:ext uri="{FF2B5EF4-FFF2-40B4-BE49-F238E27FC236}">
              <a16:creationId xmlns:a16="http://schemas.microsoft.com/office/drawing/2014/main" id="{00000000-0008-0000-0F00-00003B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2" name="AutoShape 1">
          <a:extLst>
            <a:ext uri="{FF2B5EF4-FFF2-40B4-BE49-F238E27FC236}">
              <a16:creationId xmlns:a16="http://schemas.microsoft.com/office/drawing/2014/main" id="{00000000-0008-0000-0F00-00003C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3" name="AutoShape 1">
          <a:extLst>
            <a:ext uri="{FF2B5EF4-FFF2-40B4-BE49-F238E27FC236}">
              <a16:creationId xmlns:a16="http://schemas.microsoft.com/office/drawing/2014/main" id="{00000000-0008-0000-0F00-00003D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4" name="AutoShape 1">
          <a:extLst>
            <a:ext uri="{FF2B5EF4-FFF2-40B4-BE49-F238E27FC236}">
              <a16:creationId xmlns:a16="http://schemas.microsoft.com/office/drawing/2014/main" id="{00000000-0008-0000-0F00-00003E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5" name="AutoShape 1">
          <a:extLst>
            <a:ext uri="{FF2B5EF4-FFF2-40B4-BE49-F238E27FC236}">
              <a16:creationId xmlns:a16="http://schemas.microsoft.com/office/drawing/2014/main" id="{00000000-0008-0000-0F00-00003F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6" name="AutoShape 1">
          <a:extLst>
            <a:ext uri="{FF2B5EF4-FFF2-40B4-BE49-F238E27FC236}">
              <a16:creationId xmlns:a16="http://schemas.microsoft.com/office/drawing/2014/main" id="{00000000-0008-0000-0F00-000040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7" name="AutoShape 1">
          <a:extLst>
            <a:ext uri="{FF2B5EF4-FFF2-40B4-BE49-F238E27FC236}">
              <a16:creationId xmlns:a16="http://schemas.microsoft.com/office/drawing/2014/main" id="{00000000-0008-0000-0F00-000041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8" name="AutoShape 1">
          <a:extLst>
            <a:ext uri="{FF2B5EF4-FFF2-40B4-BE49-F238E27FC236}">
              <a16:creationId xmlns:a16="http://schemas.microsoft.com/office/drawing/2014/main" id="{00000000-0008-0000-0F00-000042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699" name="AutoShape 1">
          <a:extLst>
            <a:ext uri="{FF2B5EF4-FFF2-40B4-BE49-F238E27FC236}">
              <a16:creationId xmlns:a16="http://schemas.microsoft.com/office/drawing/2014/main" id="{00000000-0008-0000-0F00-000043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0" name="AutoShape 1">
          <a:extLst>
            <a:ext uri="{FF2B5EF4-FFF2-40B4-BE49-F238E27FC236}">
              <a16:creationId xmlns:a16="http://schemas.microsoft.com/office/drawing/2014/main" id="{00000000-0008-0000-0F00-000044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1" name="AutoShape 1">
          <a:extLst>
            <a:ext uri="{FF2B5EF4-FFF2-40B4-BE49-F238E27FC236}">
              <a16:creationId xmlns:a16="http://schemas.microsoft.com/office/drawing/2014/main" id="{00000000-0008-0000-0F00-000045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2" name="AutoShape 1">
          <a:extLst>
            <a:ext uri="{FF2B5EF4-FFF2-40B4-BE49-F238E27FC236}">
              <a16:creationId xmlns:a16="http://schemas.microsoft.com/office/drawing/2014/main" id="{00000000-0008-0000-0F00-000046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3" name="AutoShape 1">
          <a:extLst>
            <a:ext uri="{FF2B5EF4-FFF2-40B4-BE49-F238E27FC236}">
              <a16:creationId xmlns:a16="http://schemas.microsoft.com/office/drawing/2014/main" id="{00000000-0008-0000-0F00-000047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4" name="AutoShape 1">
          <a:extLst>
            <a:ext uri="{FF2B5EF4-FFF2-40B4-BE49-F238E27FC236}">
              <a16:creationId xmlns:a16="http://schemas.microsoft.com/office/drawing/2014/main" id="{00000000-0008-0000-0F00-000048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5" name="AutoShape 1">
          <a:extLst>
            <a:ext uri="{FF2B5EF4-FFF2-40B4-BE49-F238E27FC236}">
              <a16:creationId xmlns:a16="http://schemas.microsoft.com/office/drawing/2014/main" id="{00000000-0008-0000-0F00-000049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6" name="AutoShape 1">
          <a:extLst>
            <a:ext uri="{FF2B5EF4-FFF2-40B4-BE49-F238E27FC236}">
              <a16:creationId xmlns:a16="http://schemas.microsoft.com/office/drawing/2014/main" id="{00000000-0008-0000-0F00-00004A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7" name="AutoShape 1">
          <a:extLst>
            <a:ext uri="{FF2B5EF4-FFF2-40B4-BE49-F238E27FC236}">
              <a16:creationId xmlns:a16="http://schemas.microsoft.com/office/drawing/2014/main" id="{00000000-0008-0000-0F00-00004B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8" name="AutoShape 1">
          <a:extLst>
            <a:ext uri="{FF2B5EF4-FFF2-40B4-BE49-F238E27FC236}">
              <a16:creationId xmlns:a16="http://schemas.microsoft.com/office/drawing/2014/main" id="{00000000-0008-0000-0F00-00004C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09" name="AutoShape 1">
          <a:extLst>
            <a:ext uri="{FF2B5EF4-FFF2-40B4-BE49-F238E27FC236}">
              <a16:creationId xmlns:a16="http://schemas.microsoft.com/office/drawing/2014/main" id="{00000000-0008-0000-0F00-00004D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0" name="AutoShape 1">
          <a:extLst>
            <a:ext uri="{FF2B5EF4-FFF2-40B4-BE49-F238E27FC236}">
              <a16:creationId xmlns:a16="http://schemas.microsoft.com/office/drawing/2014/main" id="{00000000-0008-0000-0F00-00004E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1" name="AutoShape 1">
          <a:extLst>
            <a:ext uri="{FF2B5EF4-FFF2-40B4-BE49-F238E27FC236}">
              <a16:creationId xmlns:a16="http://schemas.microsoft.com/office/drawing/2014/main" id="{00000000-0008-0000-0F00-00004F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2" name="AutoShape 1">
          <a:extLst>
            <a:ext uri="{FF2B5EF4-FFF2-40B4-BE49-F238E27FC236}">
              <a16:creationId xmlns:a16="http://schemas.microsoft.com/office/drawing/2014/main" id="{00000000-0008-0000-0F00-000050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3" name="AutoShape 1">
          <a:extLst>
            <a:ext uri="{FF2B5EF4-FFF2-40B4-BE49-F238E27FC236}">
              <a16:creationId xmlns:a16="http://schemas.microsoft.com/office/drawing/2014/main" id="{00000000-0008-0000-0F00-000051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4" name="AutoShape 1">
          <a:extLst>
            <a:ext uri="{FF2B5EF4-FFF2-40B4-BE49-F238E27FC236}">
              <a16:creationId xmlns:a16="http://schemas.microsoft.com/office/drawing/2014/main" id="{00000000-0008-0000-0F00-000052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5" name="AutoShape 1">
          <a:extLst>
            <a:ext uri="{FF2B5EF4-FFF2-40B4-BE49-F238E27FC236}">
              <a16:creationId xmlns:a16="http://schemas.microsoft.com/office/drawing/2014/main" id="{00000000-0008-0000-0F00-000053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6" name="AutoShape 1">
          <a:extLst>
            <a:ext uri="{FF2B5EF4-FFF2-40B4-BE49-F238E27FC236}">
              <a16:creationId xmlns:a16="http://schemas.microsoft.com/office/drawing/2014/main" id="{00000000-0008-0000-0F00-000054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7" name="AutoShape 1">
          <a:extLst>
            <a:ext uri="{FF2B5EF4-FFF2-40B4-BE49-F238E27FC236}">
              <a16:creationId xmlns:a16="http://schemas.microsoft.com/office/drawing/2014/main" id="{00000000-0008-0000-0F00-000055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8" name="AutoShape 1">
          <a:extLst>
            <a:ext uri="{FF2B5EF4-FFF2-40B4-BE49-F238E27FC236}">
              <a16:creationId xmlns:a16="http://schemas.microsoft.com/office/drawing/2014/main" id="{00000000-0008-0000-0F00-000056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19" name="AutoShape 1">
          <a:extLst>
            <a:ext uri="{FF2B5EF4-FFF2-40B4-BE49-F238E27FC236}">
              <a16:creationId xmlns:a16="http://schemas.microsoft.com/office/drawing/2014/main" id="{00000000-0008-0000-0F00-000057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0" name="AutoShape 1">
          <a:extLst>
            <a:ext uri="{FF2B5EF4-FFF2-40B4-BE49-F238E27FC236}">
              <a16:creationId xmlns:a16="http://schemas.microsoft.com/office/drawing/2014/main" id="{00000000-0008-0000-0F00-000058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1" name="AutoShape 1">
          <a:extLst>
            <a:ext uri="{FF2B5EF4-FFF2-40B4-BE49-F238E27FC236}">
              <a16:creationId xmlns:a16="http://schemas.microsoft.com/office/drawing/2014/main" id="{00000000-0008-0000-0F00-000059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2" name="AutoShape 1">
          <a:extLst>
            <a:ext uri="{FF2B5EF4-FFF2-40B4-BE49-F238E27FC236}">
              <a16:creationId xmlns:a16="http://schemas.microsoft.com/office/drawing/2014/main" id="{00000000-0008-0000-0F00-00005A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3" name="AutoShape 1">
          <a:extLst>
            <a:ext uri="{FF2B5EF4-FFF2-40B4-BE49-F238E27FC236}">
              <a16:creationId xmlns:a16="http://schemas.microsoft.com/office/drawing/2014/main" id="{00000000-0008-0000-0F00-00005B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4" name="AutoShape 1">
          <a:extLst>
            <a:ext uri="{FF2B5EF4-FFF2-40B4-BE49-F238E27FC236}">
              <a16:creationId xmlns:a16="http://schemas.microsoft.com/office/drawing/2014/main" id="{00000000-0008-0000-0F00-00005C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5" name="AutoShape 1">
          <a:extLst>
            <a:ext uri="{FF2B5EF4-FFF2-40B4-BE49-F238E27FC236}">
              <a16:creationId xmlns:a16="http://schemas.microsoft.com/office/drawing/2014/main" id="{00000000-0008-0000-0F00-00005D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6" name="AutoShape 1">
          <a:extLst>
            <a:ext uri="{FF2B5EF4-FFF2-40B4-BE49-F238E27FC236}">
              <a16:creationId xmlns:a16="http://schemas.microsoft.com/office/drawing/2014/main" id="{00000000-0008-0000-0F00-00005E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7" name="AutoShape 1">
          <a:extLst>
            <a:ext uri="{FF2B5EF4-FFF2-40B4-BE49-F238E27FC236}">
              <a16:creationId xmlns:a16="http://schemas.microsoft.com/office/drawing/2014/main" id="{00000000-0008-0000-0F00-00005F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8" name="AutoShape 1">
          <a:extLst>
            <a:ext uri="{FF2B5EF4-FFF2-40B4-BE49-F238E27FC236}">
              <a16:creationId xmlns:a16="http://schemas.microsoft.com/office/drawing/2014/main" id="{00000000-0008-0000-0F00-000060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29" name="AutoShape 1">
          <a:extLst>
            <a:ext uri="{FF2B5EF4-FFF2-40B4-BE49-F238E27FC236}">
              <a16:creationId xmlns:a16="http://schemas.microsoft.com/office/drawing/2014/main" id="{00000000-0008-0000-0F00-000061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30" name="AutoShape 1">
          <a:extLst>
            <a:ext uri="{FF2B5EF4-FFF2-40B4-BE49-F238E27FC236}">
              <a16:creationId xmlns:a16="http://schemas.microsoft.com/office/drawing/2014/main" id="{00000000-0008-0000-0F00-000062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31" name="AutoShape 1">
          <a:extLst>
            <a:ext uri="{FF2B5EF4-FFF2-40B4-BE49-F238E27FC236}">
              <a16:creationId xmlns:a16="http://schemas.microsoft.com/office/drawing/2014/main" id="{00000000-0008-0000-0F00-000063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5732" name="AutoShape 1">
          <a:extLst>
            <a:ext uri="{FF2B5EF4-FFF2-40B4-BE49-F238E27FC236}">
              <a16:creationId xmlns:a16="http://schemas.microsoft.com/office/drawing/2014/main" id="{00000000-0008-0000-0F00-000064160000}"/>
            </a:ext>
          </a:extLst>
        </xdr:cNvPr>
        <xdr:cNvSpPr>
          <a:spLocks noChangeAspect="1" noChangeArrowheads="1"/>
        </xdr:cNvSpPr>
      </xdr:nvSpPr>
      <xdr:spPr bwMode="auto">
        <a:xfrm>
          <a:off x="9779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1" name="AutoShape 1">
          <a:extLst>
            <a:ext uri="{FF2B5EF4-FFF2-40B4-BE49-F238E27FC236}">
              <a16:creationId xmlns:a16="http://schemas.microsoft.com/office/drawing/2014/main" id="{00000000-0008-0000-0F00-00009B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2" name="AutoShape 1">
          <a:extLst>
            <a:ext uri="{FF2B5EF4-FFF2-40B4-BE49-F238E27FC236}">
              <a16:creationId xmlns:a16="http://schemas.microsoft.com/office/drawing/2014/main" id="{00000000-0008-0000-0F00-00009C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3" name="AutoShape 1">
          <a:extLst>
            <a:ext uri="{FF2B5EF4-FFF2-40B4-BE49-F238E27FC236}">
              <a16:creationId xmlns:a16="http://schemas.microsoft.com/office/drawing/2014/main" id="{00000000-0008-0000-0F00-00009D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4" name="AutoShape 1">
          <a:extLst>
            <a:ext uri="{FF2B5EF4-FFF2-40B4-BE49-F238E27FC236}">
              <a16:creationId xmlns:a16="http://schemas.microsoft.com/office/drawing/2014/main" id="{00000000-0008-0000-0F00-00009E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5" name="AutoShape 1">
          <a:extLst>
            <a:ext uri="{FF2B5EF4-FFF2-40B4-BE49-F238E27FC236}">
              <a16:creationId xmlns:a16="http://schemas.microsoft.com/office/drawing/2014/main" id="{00000000-0008-0000-0F00-00009F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6" name="AutoShape 1">
          <a:extLst>
            <a:ext uri="{FF2B5EF4-FFF2-40B4-BE49-F238E27FC236}">
              <a16:creationId xmlns:a16="http://schemas.microsoft.com/office/drawing/2014/main" id="{00000000-0008-0000-0F00-0000A0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7" name="AutoShape 1">
          <a:extLst>
            <a:ext uri="{FF2B5EF4-FFF2-40B4-BE49-F238E27FC236}">
              <a16:creationId xmlns:a16="http://schemas.microsoft.com/office/drawing/2014/main" id="{00000000-0008-0000-0F00-0000A1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8" name="AutoShape 1">
          <a:extLst>
            <a:ext uri="{FF2B5EF4-FFF2-40B4-BE49-F238E27FC236}">
              <a16:creationId xmlns:a16="http://schemas.microsoft.com/office/drawing/2014/main" id="{00000000-0008-0000-0F00-0000A2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19" name="AutoShape 1">
          <a:extLst>
            <a:ext uri="{FF2B5EF4-FFF2-40B4-BE49-F238E27FC236}">
              <a16:creationId xmlns:a16="http://schemas.microsoft.com/office/drawing/2014/main" id="{00000000-0008-0000-0F00-0000A3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0" name="AutoShape 1">
          <a:extLst>
            <a:ext uri="{FF2B5EF4-FFF2-40B4-BE49-F238E27FC236}">
              <a16:creationId xmlns:a16="http://schemas.microsoft.com/office/drawing/2014/main" id="{00000000-0008-0000-0F00-0000A4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1" name="AutoShape 1">
          <a:extLst>
            <a:ext uri="{FF2B5EF4-FFF2-40B4-BE49-F238E27FC236}">
              <a16:creationId xmlns:a16="http://schemas.microsoft.com/office/drawing/2014/main" id="{00000000-0008-0000-0F00-0000A5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2" name="AutoShape 1">
          <a:extLst>
            <a:ext uri="{FF2B5EF4-FFF2-40B4-BE49-F238E27FC236}">
              <a16:creationId xmlns:a16="http://schemas.microsoft.com/office/drawing/2014/main" id="{00000000-0008-0000-0F00-0000A6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3" name="AutoShape 1">
          <a:extLst>
            <a:ext uri="{FF2B5EF4-FFF2-40B4-BE49-F238E27FC236}">
              <a16:creationId xmlns:a16="http://schemas.microsoft.com/office/drawing/2014/main" id="{00000000-0008-0000-0F00-0000A7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4" name="AutoShape 1">
          <a:extLst>
            <a:ext uri="{FF2B5EF4-FFF2-40B4-BE49-F238E27FC236}">
              <a16:creationId xmlns:a16="http://schemas.microsoft.com/office/drawing/2014/main" id="{00000000-0008-0000-0F00-0000A8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5" name="AutoShape 1">
          <a:extLst>
            <a:ext uri="{FF2B5EF4-FFF2-40B4-BE49-F238E27FC236}">
              <a16:creationId xmlns:a16="http://schemas.microsoft.com/office/drawing/2014/main" id="{00000000-0008-0000-0F00-0000A9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6" name="AutoShape 1">
          <a:extLst>
            <a:ext uri="{FF2B5EF4-FFF2-40B4-BE49-F238E27FC236}">
              <a16:creationId xmlns:a16="http://schemas.microsoft.com/office/drawing/2014/main" id="{00000000-0008-0000-0F00-0000AA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7" name="AutoShape 1">
          <a:extLst>
            <a:ext uri="{FF2B5EF4-FFF2-40B4-BE49-F238E27FC236}">
              <a16:creationId xmlns:a16="http://schemas.microsoft.com/office/drawing/2014/main" id="{00000000-0008-0000-0F00-0000AB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8" name="AutoShape 1">
          <a:extLst>
            <a:ext uri="{FF2B5EF4-FFF2-40B4-BE49-F238E27FC236}">
              <a16:creationId xmlns:a16="http://schemas.microsoft.com/office/drawing/2014/main" id="{00000000-0008-0000-0F00-0000AC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29" name="AutoShape 1">
          <a:extLst>
            <a:ext uri="{FF2B5EF4-FFF2-40B4-BE49-F238E27FC236}">
              <a16:creationId xmlns:a16="http://schemas.microsoft.com/office/drawing/2014/main" id="{00000000-0008-0000-0F00-0000AD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0" name="AutoShape 1">
          <a:extLst>
            <a:ext uri="{FF2B5EF4-FFF2-40B4-BE49-F238E27FC236}">
              <a16:creationId xmlns:a16="http://schemas.microsoft.com/office/drawing/2014/main" id="{00000000-0008-0000-0F00-0000AE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1" name="AutoShape 1">
          <a:extLst>
            <a:ext uri="{FF2B5EF4-FFF2-40B4-BE49-F238E27FC236}">
              <a16:creationId xmlns:a16="http://schemas.microsoft.com/office/drawing/2014/main" id="{00000000-0008-0000-0F00-0000AF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2" name="AutoShape 1">
          <a:extLst>
            <a:ext uri="{FF2B5EF4-FFF2-40B4-BE49-F238E27FC236}">
              <a16:creationId xmlns:a16="http://schemas.microsoft.com/office/drawing/2014/main" id="{00000000-0008-0000-0F00-0000B0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3" name="AutoShape 1">
          <a:extLst>
            <a:ext uri="{FF2B5EF4-FFF2-40B4-BE49-F238E27FC236}">
              <a16:creationId xmlns:a16="http://schemas.microsoft.com/office/drawing/2014/main" id="{00000000-0008-0000-0F00-0000B1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4" name="AutoShape 1">
          <a:extLst>
            <a:ext uri="{FF2B5EF4-FFF2-40B4-BE49-F238E27FC236}">
              <a16:creationId xmlns:a16="http://schemas.microsoft.com/office/drawing/2014/main" id="{00000000-0008-0000-0F00-0000B2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5" name="AutoShape 1">
          <a:extLst>
            <a:ext uri="{FF2B5EF4-FFF2-40B4-BE49-F238E27FC236}">
              <a16:creationId xmlns:a16="http://schemas.microsoft.com/office/drawing/2014/main" id="{00000000-0008-0000-0F00-0000B3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6" name="AutoShape 1">
          <a:extLst>
            <a:ext uri="{FF2B5EF4-FFF2-40B4-BE49-F238E27FC236}">
              <a16:creationId xmlns:a16="http://schemas.microsoft.com/office/drawing/2014/main" id="{00000000-0008-0000-0F00-0000B4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7" name="AutoShape 1">
          <a:extLst>
            <a:ext uri="{FF2B5EF4-FFF2-40B4-BE49-F238E27FC236}">
              <a16:creationId xmlns:a16="http://schemas.microsoft.com/office/drawing/2014/main" id="{00000000-0008-0000-0F00-0000B5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8" name="AutoShape 1">
          <a:extLst>
            <a:ext uri="{FF2B5EF4-FFF2-40B4-BE49-F238E27FC236}">
              <a16:creationId xmlns:a16="http://schemas.microsoft.com/office/drawing/2014/main" id="{00000000-0008-0000-0F00-0000B6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39" name="AutoShape 1">
          <a:extLst>
            <a:ext uri="{FF2B5EF4-FFF2-40B4-BE49-F238E27FC236}">
              <a16:creationId xmlns:a16="http://schemas.microsoft.com/office/drawing/2014/main" id="{00000000-0008-0000-0F00-0000B7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0" name="AutoShape 1">
          <a:extLst>
            <a:ext uri="{FF2B5EF4-FFF2-40B4-BE49-F238E27FC236}">
              <a16:creationId xmlns:a16="http://schemas.microsoft.com/office/drawing/2014/main" id="{00000000-0008-0000-0F00-0000B8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1" name="AutoShape 1">
          <a:extLst>
            <a:ext uri="{FF2B5EF4-FFF2-40B4-BE49-F238E27FC236}">
              <a16:creationId xmlns:a16="http://schemas.microsoft.com/office/drawing/2014/main" id="{00000000-0008-0000-0F00-0000B9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2" name="AutoShape 1">
          <a:extLst>
            <a:ext uri="{FF2B5EF4-FFF2-40B4-BE49-F238E27FC236}">
              <a16:creationId xmlns:a16="http://schemas.microsoft.com/office/drawing/2014/main" id="{00000000-0008-0000-0F00-0000BA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3" name="AutoShape 1">
          <a:extLst>
            <a:ext uri="{FF2B5EF4-FFF2-40B4-BE49-F238E27FC236}">
              <a16:creationId xmlns:a16="http://schemas.microsoft.com/office/drawing/2014/main" id="{00000000-0008-0000-0F00-0000BB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4" name="AutoShape 1">
          <a:extLst>
            <a:ext uri="{FF2B5EF4-FFF2-40B4-BE49-F238E27FC236}">
              <a16:creationId xmlns:a16="http://schemas.microsoft.com/office/drawing/2014/main" id="{00000000-0008-0000-0F00-0000BC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5" name="AutoShape 1">
          <a:extLst>
            <a:ext uri="{FF2B5EF4-FFF2-40B4-BE49-F238E27FC236}">
              <a16:creationId xmlns:a16="http://schemas.microsoft.com/office/drawing/2014/main" id="{00000000-0008-0000-0F00-0000BD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6" name="AutoShape 1">
          <a:extLst>
            <a:ext uri="{FF2B5EF4-FFF2-40B4-BE49-F238E27FC236}">
              <a16:creationId xmlns:a16="http://schemas.microsoft.com/office/drawing/2014/main" id="{00000000-0008-0000-0F00-0000BE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7" name="AutoShape 1">
          <a:extLst>
            <a:ext uri="{FF2B5EF4-FFF2-40B4-BE49-F238E27FC236}">
              <a16:creationId xmlns:a16="http://schemas.microsoft.com/office/drawing/2014/main" id="{00000000-0008-0000-0F00-0000BF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8" name="AutoShape 1">
          <a:extLst>
            <a:ext uri="{FF2B5EF4-FFF2-40B4-BE49-F238E27FC236}">
              <a16:creationId xmlns:a16="http://schemas.microsoft.com/office/drawing/2014/main" id="{00000000-0008-0000-0F00-0000C0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49" name="AutoShape 1">
          <a:extLst>
            <a:ext uri="{FF2B5EF4-FFF2-40B4-BE49-F238E27FC236}">
              <a16:creationId xmlns:a16="http://schemas.microsoft.com/office/drawing/2014/main" id="{00000000-0008-0000-0F00-0000C1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0" name="AutoShape 1">
          <a:extLst>
            <a:ext uri="{FF2B5EF4-FFF2-40B4-BE49-F238E27FC236}">
              <a16:creationId xmlns:a16="http://schemas.microsoft.com/office/drawing/2014/main" id="{00000000-0008-0000-0F00-0000C2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1" name="AutoShape 1">
          <a:extLst>
            <a:ext uri="{FF2B5EF4-FFF2-40B4-BE49-F238E27FC236}">
              <a16:creationId xmlns:a16="http://schemas.microsoft.com/office/drawing/2014/main" id="{00000000-0008-0000-0F00-0000C3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2" name="AutoShape 1">
          <a:extLst>
            <a:ext uri="{FF2B5EF4-FFF2-40B4-BE49-F238E27FC236}">
              <a16:creationId xmlns:a16="http://schemas.microsoft.com/office/drawing/2014/main" id="{00000000-0008-0000-0F00-0000C4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3" name="AutoShape 1">
          <a:extLst>
            <a:ext uri="{FF2B5EF4-FFF2-40B4-BE49-F238E27FC236}">
              <a16:creationId xmlns:a16="http://schemas.microsoft.com/office/drawing/2014/main" id="{00000000-0008-0000-0F00-0000C5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4" name="AutoShape 1">
          <a:extLst>
            <a:ext uri="{FF2B5EF4-FFF2-40B4-BE49-F238E27FC236}">
              <a16:creationId xmlns:a16="http://schemas.microsoft.com/office/drawing/2014/main" id="{00000000-0008-0000-0F00-0000C6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5" name="AutoShape 1">
          <a:extLst>
            <a:ext uri="{FF2B5EF4-FFF2-40B4-BE49-F238E27FC236}">
              <a16:creationId xmlns:a16="http://schemas.microsoft.com/office/drawing/2014/main" id="{00000000-0008-0000-0F00-0000C7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6" name="AutoShape 1">
          <a:extLst>
            <a:ext uri="{FF2B5EF4-FFF2-40B4-BE49-F238E27FC236}">
              <a16:creationId xmlns:a16="http://schemas.microsoft.com/office/drawing/2014/main" id="{00000000-0008-0000-0F00-0000C8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7" name="AutoShape 1">
          <a:extLst>
            <a:ext uri="{FF2B5EF4-FFF2-40B4-BE49-F238E27FC236}">
              <a16:creationId xmlns:a16="http://schemas.microsoft.com/office/drawing/2014/main" id="{00000000-0008-0000-0F00-0000C9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8" name="AutoShape 1">
          <a:extLst>
            <a:ext uri="{FF2B5EF4-FFF2-40B4-BE49-F238E27FC236}">
              <a16:creationId xmlns:a16="http://schemas.microsoft.com/office/drawing/2014/main" id="{00000000-0008-0000-0F00-0000CA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59" name="AutoShape 1">
          <a:extLst>
            <a:ext uri="{FF2B5EF4-FFF2-40B4-BE49-F238E27FC236}">
              <a16:creationId xmlns:a16="http://schemas.microsoft.com/office/drawing/2014/main" id="{00000000-0008-0000-0F00-0000CB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0" name="AutoShape 1">
          <a:extLst>
            <a:ext uri="{FF2B5EF4-FFF2-40B4-BE49-F238E27FC236}">
              <a16:creationId xmlns:a16="http://schemas.microsoft.com/office/drawing/2014/main" id="{00000000-0008-0000-0F00-0000CC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1" name="AutoShape 1">
          <a:extLst>
            <a:ext uri="{FF2B5EF4-FFF2-40B4-BE49-F238E27FC236}">
              <a16:creationId xmlns:a16="http://schemas.microsoft.com/office/drawing/2014/main" id="{00000000-0008-0000-0F00-0000CD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2" name="AutoShape 1">
          <a:extLst>
            <a:ext uri="{FF2B5EF4-FFF2-40B4-BE49-F238E27FC236}">
              <a16:creationId xmlns:a16="http://schemas.microsoft.com/office/drawing/2014/main" id="{00000000-0008-0000-0F00-0000CE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3" name="AutoShape 1">
          <a:extLst>
            <a:ext uri="{FF2B5EF4-FFF2-40B4-BE49-F238E27FC236}">
              <a16:creationId xmlns:a16="http://schemas.microsoft.com/office/drawing/2014/main" id="{00000000-0008-0000-0F00-0000CF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4" name="AutoShape 1">
          <a:extLst>
            <a:ext uri="{FF2B5EF4-FFF2-40B4-BE49-F238E27FC236}">
              <a16:creationId xmlns:a16="http://schemas.microsoft.com/office/drawing/2014/main" id="{00000000-0008-0000-0F00-0000D0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5" name="AutoShape 1">
          <a:extLst>
            <a:ext uri="{FF2B5EF4-FFF2-40B4-BE49-F238E27FC236}">
              <a16:creationId xmlns:a16="http://schemas.microsoft.com/office/drawing/2014/main" id="{00000000-0008-0000-0F00-0000D1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6" name="AutoShape 1">
          <a:extLst>
            <a:ext uri="{FF2B5EF4-FFF2-40B4-BE49-F238E27FC236}">
              <a16:creationId xmlns:a16="http://schemas.microsoft.com/office/drawing/2014/main" id="{00000000-0008-0000-0F00-0000D2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7" name="AutoShape 1">
          <a:extLst>
            <a:ext uri="{FF2B5EF4-FFF2-40B4-BE49-F238E27FC236}">
              <a16:creationId xmlns:a16="http://schemas.microsoft.com/office/drawing/2014/main" id="{00000000-0008-0000-0F00-0000D3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8" name="AutoShape 1">
          <a:extLst>
            <a:ext uri="{FF2B5EF4-FFF2-40B4-BE49-F238E27FC236}">
              <a16:creationId xmlns:a16="http://schemas.microsoft.com/office/drawing/2014/main" id="{00000000-0008-0000-0F00-0000D4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69" name="AutoShape 1">
          <a:extLst>
            <a:ext uri="{FF2B5EF4-FFF2-40B4-BE49-F238E27FC236}">
              <a16:creationId xmlns:a16="http://schemas.microsoft.com/office/drawing/2014/main" id="{00000000-0008-0000-0F00-0000D5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0" name="AutoShape 1">
          <a:extLst>
            <a:ext uri="{FF2B5EF4-FFF2-40B4-BE49-F238E27FC236}">
              <a16:creationId xmlns:a16="http://schemas.microsoft.com/office/drawing/2014/main" id="{00000000-0008-0000-0F00-0000D6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1" name="AutoShape 1">
          <a:extLst>
            <a:ext uri="{FF2B5EF4-FFF2-40B4-BE49-F238E27FC236}">
              <a16:creationId xmlns:a16="http://schemas.microsoft.com/office/drawing/2014/main" id="{00000000-0008-0000-0F00-0000D7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2" name="AutoShape 1">
          <a:extLst>
            <a:ext uri="{FF2B5EF4-FFF2-40B4-BE49-F238E27FC236}">
              <a16:creationId xmlns:a16="http://schemas.microsoft.com/office/drawing/2014/main" id="{00000000-0008-0000-0F00-0000D8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3" name="AutoShape 1">
          <a:extLst>
            <a:ext uri="{FF2B5EF4-FFF2-40B4-BE49-F238E27FC236}">
              <a16:creationId xmlns:a16="http://schemas.microsoft.com/office/drawing/2014/main" id="{00000000-0008-0000-0F00-0000D9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4" name="AutoShape 1">
          <a:extLst>
            <a:ext uri="{FF2B5EF4-FFF2-40B4-BE49-F238E27FC236}">
              <a16:creationId xmlns:a16="http://schemas.microsoft.com/office/drawing/2014/main" id="{00000000-0008-0000-0F00-0000DA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5" name="AutoShape 1">
          <a:extLst>
            <a:ext uri="{FF2B5EF4-FFF2-40B4-BE49-F238E27FC236}">
              <a16:creationId xmlns:a16="http://schemas.microsoft.com/office/drawing/2014/main" id="{00000000-0008-0000-0F00-0000DB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6" name="AutoShape 1">
          <a:extLst>
            <a:ext uri="{FF2B5EF4-FFF2-40B4-BE49-F238E27FC236}">
              <a16:creationId xmlns:a16="http://schemas.microsoft.com/office/drawing/2014/main" id="{00000000-0008-0000-0F00-0000DC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7" name="AutoShape 1">
          <a:extLst>
            <a:ext uri="{FF2B5EF4-FFF2-40B4-BE49-F238E27FC236}">
              <a16:creationId xmlns:a16="http://schemas.microsoft.com/office/drawing/2014/main" id="{00000000-0008-0000-0F00-0000DD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8" name="AutoShape 1">
          <a:extLst>
            <a:ext uri="{FF2B5EF4-FFF2-40B4-BE49-F238E27FC236}">
              <a16:creationId xmlns:a16="http://schemas.microsoft.com/office/drawing/2014/main" id="{00000000-0008-0000-0F00-0000DE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79" name="AutoShape 1">
          <a:extLst>
            <a:ext uri="{FF2B5EF4-FFF2-40B4-BE49-F238E27FC236}">
              <a16:creationId xmlns:a16="http://schemas.microsoft.com/office/drawing/2014/main" id="{00000000-0008-0000-0F00-0000DF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0" name="AutoShape 1">
          <a:extLst>
            <a:ext uri="{FF2B5EF4-FFF2-40B4-BE49-F238E27FC236}">
              <a16:creationId xmlns:a16="http://schemas.microsoft.com/office/drawing/2014/main" id="{00000000-0008-0000-0F00-0000E0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1" name="AutoShape 1">
          <a:extLst>
            <a:ext uri="{FF2B5EF4-FFF2-40B4-BE49-F238E27FC236}">
              <a16:creationId xmlns:a16="http://schemas.microsoft.com/office/drawing/2014/main" id="{00000000-0008-0000-0F00-0000E1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2" name="AutoShape 1">
          <a:extLst>
            <a:ext uri="{FF2B5EF4-FFF2-40B4-BE49-F238E27FC236}">
              <a16:creationId xmlns:a16="http://schemas.microsoft.com/office/drawing/2014/main" id="{00000000-0008-0000-0F00-0000E2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3" name="AutoShape 1">
          <a:extLst>
            <a:ext uri="{FF2B5EF4-FFF2-40B4-BE49-F238E27FC236}">
              <a16:creationId xmlns:a16="http://schemas.microsoft.com/office/drawing/2014/main" id="{00000000-0008-0000-0F00-0000E3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4" name="AutoShape 1">
          <a:extLst>
            <a:ext uri="{FF2B5EF4-FFF2-40B4-BE49-F238E27FC236}">
              <a16:creationId xmlns:a16="http://schemas.microsoft.com/office/drawing/2014/main" id="{00000000-0008-0000-0F00-0000E4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5" name="AutoShape 1">
          <a:extLst>
            <a:ext uri="{FF2B5EF4-FFF2-40B4-BE49-F238E27FC236}">
              <a16:creationId xmlns:a16="http://schemas.microsoft.com/office/drawing/2014/main" id="{00000000-0008-0000-0F00-0000E5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6" name="AutoShape 1">
          <a:extLst>
            <a:ext uri="{FF2B5EF4-FFF2-40B4-BE49-F238E27FC236}">
              <a16:creationId xmlns:a16="http://schemas.microsoft.com/office/drawing/2014/main" id="{00000000-0008-0000-0F00-0000E6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7" name="AutoShape 1">
          <a:extLst>
            <a:ext uri="{FF2B5EF4-FFF2-40B4-BE49-F238E27FC236}">
              <a16:creationId xmlns:a16="http://schemas.microsoft.com/office/drawing/2014/main" id="{00000000-0008-0000-0F00-0000E7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8" name="AutoShape 1">
          <a:extLst>
            <a:ext uri="{FF2B5EF4-FFF2-40B4-BE49-F238E27FC236}">
              <a16:creationId xmlns:a16="http://schemas.microsoft.com/office/drawing/2014/main" id="{00000000-0008-0000-0F00-0000E8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89" name="AutoShape 1">
          <a:extLst>
            <a:ext uri="{FF2B5EF4-FFF2-40B4-BE49-F238E27FC236}">
              <a16:creationId xmlns:a16="http://schemas.microsoft.com/office/drawing/2014/main" id="{00000000-0008-0000-0F00-0000E9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0" name="AutoShape 1">
          <a:extLst>
            <a:ext uri="{FF2B5EF4-FFF2-40B4-BE49-F238E27FC236}">
              <a16:creationId xmlns:a16="http://schemas.microsoft.com/office/drawing/2014/main" id="{00000000-0008-0000-0F00-0000EA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1" name="AutoShape 1">
          <a:extLst>
            <a:ext uri="{FF2B5EF4-FFF2-40B4-BE49-F238E27FC236}">
              <a16:creationId xmlns:a16="http://schemas.microsoft.com/office/drawing/2014/main" id="{00000000-0008-0000-0F00-0000EB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2" name="AutoShape 1">
          <a:extLst>
            <a:ext uri="{FF2B5EF4-FFF2-40B4-BE49-F238E27FC236}">
              <a16:creationId xmlns:a16="http://schemas.microsoft.com/office/drawing/2014/main" id="{00000000-0008-0000-0F00-0000EC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3" name="AutoShape 1">
          <a:extLst>
            <a:ext uri="{FF2B5EF4-FFF2-40B4-BE49-F238E27FC236}">
              <a16:creationId xmlns:a16="http://schemas.microsoft.com/office/drawing/2014/main" id="{00000000-0008-0000-0F00-0000ED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4" name="AutoShape 1">
          <a:extLst>
            <a:ext uri="{FF2B5EF4-FFF2-40B4-BE49-F238E27FC236}">
              <a16:creationId xmlns:a16="http://schemas.microsoft.com/office/drawing/2014/main" id="{00000000-0008-0000-0F00-0000EE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5" name="AutoShape 1">
          <a:extLst>
            <a:ext uri="{FF2B5EF4-FFF2-40B4-BE49-F238E27FC236}">
              <a16:creationId xmlns:a16="http://schemas.microsoft.com/office/drawing/2014/main" id="{00000000-0008-0000-0F00-0000EF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6" name="AutoShape 1">
          <a:extLst>
            <a:ext uri="{FF2B5EF4-FFF2-40B4-BE49-F238E27FC236}">
              <a16:creationId xmlns:a16="http://schemas.microsoft.com/office/drawing/2014/main" id="{00000000-0008-0000-0F00-0000F0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7" name="AutoShape 1">
          <a:extLst>
            <a:ext uri="{FF2B5EF4-FFF2-40B4-BE49-F238E27FC236}">
              <a16:creationId xmlns:a16="http://schemas.microsoft.com/office/drawing/2014/main" id="{00000000-0008-0000-0F00-0000F1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8" name="AutoShape 1">
          <a:extLst>
            <a:ext uri="{FF2B5EF4-FFF2-40B4-BE49-F238E27FC236}">
              <a16:creationId xmlns:a16="http://schemas.microsoft.com/office/drawing/2014/main" id="{00000000-0008-0000-0F00-0000F2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899" name="AutoShape 1">
          <a:extLst>
            <a:ext uri="{FF2B5EF4-FFF2-40B4-BE49-F238E27FC236}">
              <a16:creationId xmlns:a16="http://schemas.microsoft.com/office/drawing/2014/main" id="{00000000-0008-0000-0F00-0000F3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0" name="AutoShape 1">
          <a:extLst>
            <a:ext uri="{FF2B5EF4-FFF2-40B4-BE49-F238E27FC236}">
              <a16:creationId xmlns:a16="http://schemas.microsoft.com/office/drawing/2014/main" id="{00000000-0008-0000-0F00-0000F4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1" name="AutoShape 1">
          <a:extLst>
            <a:ext uri="{FF2B5EF4-FFF2-40B4-BE49-F238E27FC236}">
              <a16:creationId xmlns:a16="http://schemas.microsoft.com/office/drawing/2014/main" id="{00000000-0008-0000-0F00-0000F5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2" name="AutoShape 1">
          <a:extLst>
            <a:ext uri="{FF2B5EF4-FFF2-40B4-BE49-F238E27FC236}">
              <a16:creationId xmlns:a16="http://schemas.microsoft.com/office/drawing/2014/main" id="{00000000-0008-0000-0F00-0000F6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3" name="AutoShape 1">
          <a:extLst>
            <a:ext uri="{FF2B5EF4-FFF2-40B4-BE49-F238E27FC236}">
              <a16:creationId xmlns:a16="http://schemas.microsoft.com/office/drawing/2014/main" id="{00000000-0008-0000-0F00-0000F7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4" name="AutoShape 1">
          <a:extLst>
            <a:ext uri="{FF2B5EF4-FFF2-40B4-BE49-F238E27FC236}">
              <a16:creationId xmlns:a16="http://schemas.microsoft.com/office/drawing/2014/main" id="{00000000-0008-0000-0F00-0000F8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5" name="AutoShape 1">
          <a:extLst>
            <a:ext uri="{FF2B5EF4-FFF2-40B4-BE49-F238E27FC236}">
              <a16:creationId xmlns:a16="http://schemas.microsoft.com/office/drawing/2014/main" id="{00000000-0008-0000-0F00-0000F9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6" name="AutoShape 1">
          <a:extLst>
            <a:ext uri="{FF2B5EF4-FFF2-40B4-BE49-F238E27FC236}">
              <a16:creationId xmlns:a16="http://schemas.microsoft.com/office/drawing/2014/main" id="{00000000-0008-0000-0F00-0000FA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7" name="AutoShape 1">
          <a:extLst>
            <a:ext uri="{FF2B5EF4-FFF2-40B4-BE49-F238E27FC236}">
              <a16:creationId xmlns:a16="http://schemas.microsoft.com/office/drawing/2014/main" id="{00000000-0008-0000-0F00-0000FB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8" name="AutoShape 1">
          <a:extLst>
            <a:ext uri="{FF2B5EF4-FFF2-40B4-BE49-F238E27FC236}">
              <a16:creationId xmlns:a16="http://schemas.microsoft.com/office/drawing/2014/main" id="{00000000-0008-0000-0F00-0000FC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09" name="AutoShape 1">
          <a:extLst>
            <a:ext uri="{FF2B5EF4-FFF2-40B4-BE49-F238E27FC236}">
              <a16:creationId xmlns:a16="http://schemas.microsoft.com/office/drawing/2014/main" id="{00000000-0008-0000-0F00-0000FD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0" name="AutoShape 1">
          <a:extLst>
            <a:ext uri="{FF2B5EF4-FFF2-40B4-BE49-F238E27FC236}">
              <a16:creationId xmlns:a16="http://schemas.microsoft.com/office/drawing/2014/main" id="{00000000-0008-0000-0F00-0000FE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1" name="AutoShape 1">
          <a:extLst>
            <a:ext uri="{FF2B5EF4-FFF2-40B4-BE49-F238E27FC236}">
              <a16:creationId xmlns:a16="http://schemas.microsoft.com/office/drawing/2014/main" id="{00000000-0008-0000-0F00-0000FF1A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2" name="AutoShape 1">
          <a:extLst>
            <a:ext uri="{FF2B5EF4-FFF2-40B4-BE49-F238E27FC236}">
              <a16:creationId xmlns:a16="http://schemas.microsoft.com/office/drawing/2014/main" id="{00000000-0008-0000-0F00-00000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4" name="AutoShape 1">
          <a:extLst>
            <a:ext uri="{FF2B5EF4-FFF2-40B4-BE49-F238E27FC236}">
              <a16:creationId xmlns:a16="http://schemas.microsoft.com/office/drawing/2014/main" id="{00000000-0008-0000-0F00-00000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5" name="AutoShape 1">
          <a:extLst>
            <a:ext uri="{FF2B5EF4-FFF2-40B4-BE49-F238E27FC236}">
              <a16:creationId xmlns:a16="http://schemas.microsoft.com/office/drawing/2014/main" id="{00000000-0008-0000-0F00-00000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6" name="AutoShape 1">
          <a:extLst>
            <a:ext uri="{FF2B5EF4-FFF2-40B4-BE49-F238E27FC236}">
              <a16:creationId xmlns:a16="http://schemas.microsoft.com/office/drawing/2014/main" id="{00000000-0008-0000-0F00-00000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7" name="AutoShape 1">
          <a:extLst>
            <a:ext uri="{FF2B5EF4-FFF2-40B4-BE49-F238E27FC236}">
              <a16:creationId xmlns:a16="http://schemas.microsoft.com/office/drawing/2014/main" id="{00000000-0008-0000-0F00-00000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8" name="AutoShape 1">
          <a:extLst>
            <a:ext uri="{FF2B5EF4-FFF2-40B4-BE49-F238E27FC236}">
              <a16:creationId xmlns:a16="http://schemas.microsoft.com/office/drawing/2014/main" id="{00000000-0008-0000-0F00-00000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19" name="AutoShape 1">
          <a:extLst>
            <a:ext uri="{FF2B5EF4-FFF2-40B4-BE49-F238E27FC236}">
              <a16:creationId xmlns:a16="http://schemas.microsoft.com/office/drawing/2014/main" id="{00000000-0008-0000-0F00-00000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0" name="AutoShape 1">
          <a:extLst>
            <a:ext uri="{FF2B5EF4-FFF2-40B4-BE49-F238E27FC236}">
              <a16:creationId xmlns:a16="http://schemas.microsoft.com/office/drawing/2014/main" id="{00000000-0008-0000-0F00-00000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1" name="AutoShape 1">
          <a:extLst>
            <a:ext uri="{FF2B5EF4-FFF2-40B4-BE49-F238E27FC236}">
              <a16:creationId xmlns:a16="http://schemas.microsoft.com/office/drawing/2014/main" id="{00000000-0008-0000-0F00-00000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2" name="AutoShape 1">
          <a:extLst>
            <a:ext uri="{FF2B5EF4-FFF2-40B4-BE49-F238E27FC236}">
              <a16:creationId xmlns:a16="http://schemas.microsoft.com/office/drawing/2014/main" id="{00000000-0008-0000-0F00-00000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3" name="AutoShape 1">
          <a:extLst>
            <a:ext uri="{FF2B5EF4-FFF2-40B4-BE49-F238E27FC236}">
              <a16:creationId xmlns:a16="http://schemas.microsoft.com/office/drawing/2014/main" id="{00000000-0008-0000-0F00-00000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4" name="AutoShape 1">
          <a:extLst>
            <a:ext uri="{FF2B5EF4-FFF2-40B4-BE49-F238E27FC236}">
              <a16:creationId xmlns:a16="http://schemas.microsoft.com/office/drawing/2014/main" id="{00000000-0008-0000-0F00-00000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5" name="AutoShape 1">
          <a:extLst>
            <a:ext uri="{FF2B5EF4-FFF2-40B4-BE49-F238E27FC236}">
              <a16:creationId xmlns:a16="http://schemas.microsoft.com/office/drawing/2014/main" id="{00000000-0008-0000-0F00-00000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6" name="AutoShape 1">
          <a:extLst>
            <a:ext uri="{FF2B5EF4-FFF2-40B4-BE49-F238E27FC236}">
              <a16:creationId xmlns:a16="http://schemas.microsoft.com/office/drawing/2014/main" id="{00000000-0008-0000-0F00-00000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7" name="AutoShape 1">
          <a:extLst>
            <a:ext uri="{FF2B5EF4-FFF2-40B4-BE49-F238E27FC236}">
              <a16:creationId xmlns:a16="http://schemas.microsoft.com/office/drawing/2014/main" id="{00000000-0008-0000-0F00-00000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8" name="AutoShape 1">
          <a:extLst>
            <a:ext uri="{FF2B5EF4-FFF2-40B4-BE49-F238E27FC236}">
              <a16:creationId xmlns:a16="http://schemas.microsoft.com/office/drawing/2014/main" id="{00000000-0008-0000-0F00-00001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29" name="AutoShape 1">
          <a:extLst>
            <a:ext uri="{FF2B5EF4-FFF2-40B4-BE49-F238E27FC236}">
              <a16:creationId xmlns:a16="http://schemas.microsoft.com/office/drawing/2014/main" id="{00000000-0008-0000-0F00-00001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0" name="AutoShape 1">
          <a:extLst>
            <a:ext uri="{FF2B5EF4-FFF2-40B4-BE49-F238E27FC236}">
              <a16:creationId xmlns:a16="http://schemas.microsoft.com/office/drawing/2014/main" id="{00000000-0008-0000-0F00-00001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1" name="AutoShape 1">
          <a:extLst>
            <a:ext uri="{FF2B5EF4-FFF2-40B4-BE49-F238E27FC236}">
              <a16:creationId xmlns:a16="http://schemas.microsoft.com/office/drawing/2014/main" id="{00000000-0008-0000-0F00-00001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2" name="AutoShape 1">
          <a:extLst>
            <a:ext uri="{FF2B5EF4-FFF2-40B4-BE49-F238E27FC236}">
              <a16:creationId xmlns:a16="http://schemas.microsoft.com/office/drawing/2014/main" id="{00000000-0008-0000-0F00-00001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3" name="AutoShape 1">
          <a:extLst>
            <a:ext uri="{FF2B5EF4-FFF2-40B4-BE49-F238E27FC236}">
              <a16:creationId xmlns:a16="http://schemas.microsoft.com/office/drawing/2014/main" id="{00000000-0008-0000-0F00-00001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4" name="AutoShape 1">
          <a:extLst>
            <a:ext uri="{FF2B5EF4-FFF2-40B4-BE49-F238E27FC236}">
              <a16:creationId xmlns:a16="http://schemas.microsoft.com/office/drawing/2014/main" id="{00000000-0008-0000-0F00-00001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5" name="AutoShape 1">
          <a:extLst>
            <a:ext uri="{FF2B5EF4-FFF2-40B4-BE49-F238E27FC236}">
              <a16:creationId xmlns:a16="http://schemas.microsoft.com/office/drawing/2014/main" id="{00000000-0008-0000-0F00-00001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6" name="AutoShape 1">
          <a:extLst>
            <a:ext uri="{FF2B5EF4-FFF2-40B4-BE49-F238E27FC236}">
              <a16:creationId xmlns:a16="http://schemas.microsoft.com/office/drawing/2014/main" id="{00000000-0008-0000-0F00-00001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7" name="AutoShape 1">
          <a:extLst>
            <a:ext uri="{FF2B5EF4-FFF2-40B4-BE49-F238E27FC236}">
              <a16:creationId xmlns:a16="http://schemas.microsoft.com/office/drawing/2014/main" id="{00000000-0008-0000-0F00-00001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8" name="AutoShape 1">
          <a:extLst>
            <a:ext uri="{FF2B5EF4-FFF2-40B4-BE49-F238E27FC236}">
              <a16:creationId xmlns:a16="http://schemas.microsoft.com/office/drawing/2014/main" id="{00000000-0008-0000-0F00-00001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39" name="AutoShape 1">
          <a:extLst>
            <a:ext uri="{FF2B5EF4-FFF2-40B4-BE49-F238E27FC236}">
              <a16:creationId xmlns:a16="http://schemas.microsoft.com/office/drawing/2014/main" id="{00000000-0008-0000-0F00-00001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0" name="AutoShape 1">
          <a:extLst>
            <a:ext uri="{FF2B5EF4-FFF2-40B4-BE49-F238E27FC236}">
              <a16:creationId xmlns:a16="http://schemas.microsoft.com/office/drawing/2014/main" id="{00000000-0008-0000-0F00-00001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1" name="AutoShape 1">
          <a:extLst>
            <a:ext uri="{FF2B5EF4-FFF2-40B4-BE49-F238E27FC236}">
              <a16:creationId xmlns:a16="http://schemas.microsoft.com/office/drawing/2014/main" id="{00000000-0008-0000-0F00-00001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2" name="AutoShape 1">
          <a:extLst>
            <a:ext uri="{FF2B5EF4-FFF2-40B4-BE49-F238E27FC236}">
              <a16:creationId xmlns:a16="http://schemas.microsoft.com/office/drawing/2014/main" id="{00000000-0008-0000-0F00-00001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3" name="AutoShape 1">
          <a:extLst>
            <a:ext uri="{FF2B5EF4-FFF2-40B4-BE49-F238E27FC236}">
              <a16:creationId xmlns:a16="http://schemas.microsoft.com/office/drawing/2014/main" id="{00000000-0008-0000-0F00-00001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4" name="AutoShape 1">
          <a:extLst>
            <a:ext uri="{FF2B5EF4-FFF2-40B4-BE49-F238E27FC236}">
              <a16:creationId xmlns:a16="http://schemas.microsoft.com/office/drawing/2014/main" id="{00000000-0008-0000-0F00-00002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5" name="AutoShape 1">
          <a:extLst>
            <a:ext uri="{FF2B5EF4-FFF2-40B4-BE49-F238E27FC236}">
              <a16:creationId xmlns:a16="http://schemas.microsoft.com/office/drawing/2014/main" id="{00000000-0008-0000-0F00-00002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6" name="AutoShape 1">
          <a:extLst>
            <a:ext uri="{FF2B5EF4-FFF2-40B4-BE49-F238E27FC236}">
              <a16:creationId xmlns:a16="http://schemas.microsoft.com/office/drawing/2014/main" id="{00000000-0008-0000-0F00-00002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7" name="AutoShape 1">
          <a:extLst>
            <a:ext uri="{FF2B5EF4-FFF2-40B4-BE49-F238E27FC236}">
              <a16:creationId xmlns:a16="http://schemas.microsoft.com/office/drawing/2014/main" id="{00000000-0008-0000-0F00-00002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8" name="AutoShape 1">
          <a:extLst>
            <a:ext uri="{FF2B5EF4-FFF2-40B4-BE49-F238E27FC236}">
              <a16:creationId xmlns:a16="http://schemas.microsoft.com/office/drawing/2014/main" id="{00000000-0008-0000-0F00-00002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49" name="AutoShape 1">
          <a:extLst>
            <a:ext uri="{FF2B5EF4-FFF2-40B4-BE49-F238E27FC236}">
              <a16:creationId xmlns:a16="http://schemas.microsoft.com/office/drawing/2014/main" id="{00000000-0008-0000-0F00-00002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0" name="AutoShape 1">
          <a:extLst>
            <a:ext uri="{FF2B5EF4-FFF2-40B4-BE49-F238E27FC236}">
              <a16:creationId xmlns:a16="http://schemas.microsoft.com/office/drawing/2014/main" id="{00000000-0008-0000-0F00-00002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1" name="AutoShape 1">
          <a:extLst>
            <a:ext uri="{FF2B5EF4-FFF2-40B4-BE49-F238E27FC236}">
              <a16:creationId xmlns:a16="http://schemas.microsoft.com/office/drawing/2014/main" id="{00000000-0008-0000-0F00-00002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2" name="AutoShape 1">
          <a:extLst>
            <a:ext uri="{FF2B5EF4-FFF2-40B4-BE49-F238E27FC236}">
              <a16:creationId xmlns:a16="http://schemas.microsoft.com/office/drawing/2014/main" id="{00000000-0008-0000-0F00-00002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3" name="AutoShape 1">
          <a:extLst>
            <a:ext uri="{FF2B5EF4-FFF2-40B4-BE49-F238E27FC236}">
              <a16:creationId xmlns:a16="http://schemas.microsoft.com/office/drawing/2014/main" id="{00000000-0008-0000-0F00-00002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4" name="AutoShape 1">
          <a:extLst>
            <a:ext uri="{FF2B5EF4-FFF2-40B4-BE49-F238E27FC236}">
              <a16:creationId xmlns:a16="http://schemas.microsoft.com/office/drawing/2014/main" id="{00000000-0008-0000-0F00-00002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5" name="AutoShape 1">
          <a:extLst>
            <a:ext uri="{FF2B5EF4-FFF2-40B4-BE49-F238E27FC236}">
              <a16:creationId xmlns:a16="http://schemas.microsoft.com/office/drawing/2014/main" id="{00000000-0008-0000-0F00-00002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6" name="AutoShape 1">
          <a:extLst>
            <a:ext uri="{FF2B5EF4-FFF2-40B4-BE49-F238E27FC236}">
              <a16:creationId xmlns:a16="http://schemas.microsoft.com/office/drawing/2014/main" id="{00000000-0008-0000-0F00-00002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7" name="AutoShape 1">
          <a:extLst>
            <a:ext uri="{FF2B5EF4-FFF2-40B4-BE49-F238E27FC236}">
              <a16:creationId xmlns:a16="http://schemas.microsoft.com/office/drawing/2014/main" id="{00000000-0008-0000-0F00-00002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8" name="AutoShape 1">
          <a:extLst>
            <a:ext uri="{FF2B5EF4-FFF2-40B4-BE49-F238E27FC236}">
              <a16:creationId xmlns:a16="http://schemas.microsoft.com/office/drawing/2014/main" id="{00000000-0008-0000-0F00-00002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59" name="AutoShape 1">
          <a:extLst>
            <a:ext uri="{FF2B5EF4-FFF2-40B4-BE49-F238E27FC236}">
              <a16:creationId xmlns:a16="http://schemas.microsoft.com/office/drawing/2014/main" id="{00000000-0008-0000-0F00-00002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0" name="AutoShape 1">
          <a:extLst>
            <a:ext uri="{FF2B5EF4-FFF2-40B4-BE49-F238E27FC236}">
              <a16:creationId xmlns:a16="http://schemas.microsoft.com/office/drawing/2014/main" id="{00000000-0008-0000-0F00-00003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1" name="AutoShape 1">
          <a:extLst>
            <a:ext uri="{FF2B5EF4-FFF2-40B4-BE49-F238E27FC236}">
              <a16:creationId xmlns:a16="http://schemas.microsoft.com/office/drawing/2014/main" id="{00000000-0008-0000-0F00-00003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2" name="AutoShape 1">
          <a:extLst>
            <a:ext uri="{FF2B5EF4-FFF2-40B4-BE49-F238E27FC236}">
              <a16:creationId xmlns:a16="http://schemas.microsoft.com/office/drawing/2014/main" id="{00000000-0008-0000-0F00-00003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3" name="AutoShape 1">
          <a:extLst>
            <a:ext uri="{FF2B5EF4-FFF2-40B4-BE49-F238E27FC236}">
              <a16:creationId xmlns:a16="http://schemas.microsoft.com/office/drawing/2014/main" id="{00000000-0008-0000-0F00-00003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4" name="AutoShape 1">
          <a:extLst>
            <a:ext uri="{FF2B5EF4-FFF2-40B4-BE49-F238E27FC236}">
              <a16:creationId xmlns:a16="http://schemas.microsoft.com/office/drawing/2014/main" id="{00000000-0008-0000-0F00-00003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5" name="AutoShape 1">
          <a:extLst>
            <a:ext uri="{FF2B5EF4-FFF2-40B4-BE49-F238E27FC236}">
              <a16:creationId xmlns:a16="http://schemas.microsoft.com/office/drawing/2014/main" id="{00000000-0008-0000-0F00-00003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6" name="AutoShape 1">
          <a:extLst>
            <a:ext uri="{FF2B5EF4-FFF2-40B4-BE49-F238E27FC236}">
              <a16:creationId xmlns:a16="http://schemas.microsoft.com/office/drawing/2014/main" id="{00000000-0008-0000-0F00-00003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7" name="AutoShape 1">
          <a:extLst>
            <a:ext uri="{FF2B5EF4-FFF2-40B4-BE49-F238E27FC236}">
              <a16:creationId xmlns:a16="http://schemas.microsoft.com/office/drawing/2014/main" id="{00000000-0008-0000-0F00-00003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8" name="AutoShape 1">
          <a:extLst>
            <a:ext uri="{FF2B5EF4-FFF2-40B4-BE49-F238E27FC236}">
              <a16:creationId xmlns:a16="http://schemas.microsoft.com/office/drawing/2014/main" id="{00000000-0008-0000-0F00-00003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69" name="AutoShape 1">
          <a:extLst>
            <a:ext uri="{FF2B5EF4-FFF2-40B4-BE49-F238E27FC236}">
              <a16:creationId xmlns:a16="http://schemas.microsoft.com/office/drawing/2014/main" id="{00000000-0008-0000-0F00-00003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0" name="AutoShape 1">
          <a:extLst>
            <a:ext uri="{FF2B5EF4-FFF2-40B4-BE49-F238E27FC236}">
              <a16:creationId xmlns:a16="http://schemas.microsoft.com/office/drawing/2014/main" id="{00000000-0008-0000-0F00-00003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1" name="AutoShape 1">
          <a:extLst>
            <a:ext uri="{FF2B5EF4-FFF2-40B4-BE49-F238E27FC236}">
              <a16:creationId xmlns:a16="http://schemas.microsoft.com/office/drawing/2014/main" id="{00000000-0008-0000-0F00-00003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2" name="AutoShape 1">
          <a:extLst>
            <a:ext uri="{FF2B5EF4-FFF2-40B4-BE49-F238E27FC236}">
              <a16:creationId xmlns:a16="http://schemas.microsoft.com/office/drawing/2014/main" id="{00000000-0008-0000-0F00-00003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3" name="AutoShape 1">
          <a:extLst>
            <a:ext uri="{FF2B5EF4-FFF2-40B4-BE49-F238E27FC236}">
              <a16:creationId xmlns:a16="http://schemas.microsoft.com/office/drawing/2014/main" id="{00000000-0008-0000-0F00-00003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4" name="AutoShape 1">
          <a:extLst>
            <a:ext uri="{FF2B5EF4-FFF2-40B4-BE49-F238E27FC236}">
              <a16:creationId xmlns:a16="http://schemas.microsoft.com/office/drawing/2014/main" id="{00000000-0008-0000-0F00-00003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5" name="AutoShape 1">
          <a:extLst>
            <a:ext uri="{FF2B5EF4-FFF2-40B4-BE49-F238E27FC236}">
              <a16:creationId xmlns:a16="http://schemas.microsoft.com/office/drawing/2014/main" id="{00000000-0008-0000-0F00-00003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6" name="AutoShape 1">
          <a:extLst>
            <a:ext uri="{FF2B5EF4-FFF2-40B4-BE49-F238E27FC236}">
              <a16:creationId xmlns:a16="http://schemas.microsoft.com/office/drawing/2014/main" id="{00000000-0008-0000-0F00-00004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7" name="AutoShape 1">
          <a:extLst>
            <a:ext uri="{FF2B5EF4-FFF2-40B4-BE49-F238E27FC236}">
              <a16:creationId xmlns:a16="http://schemas.microsoft.com/office/drawing/2014/main" id="{00000000-0008-0000-0F00-00004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8" name="AutoShape 1">
          <a:extLst>
            <a:ext uri="{FF2B5EF4-FFF2-40B4-BE49-F238E27FC236}">
              <a16:creationId xmlns:a16="http://schemas.microsoft.com/office/drawing/2014/main" id="{00000000-0008-0000-0F00-00004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79" name="AutoShape 1">
          <a:extLst>
            <a:ext uri="{FF2B5EF4-FFF2-40B4-BE49-F238E27FC236}">
              <a16:creationId xmlns:a16="http://schemas.microsoft.com/office/drawing/2014/main" id="{00000000-0008-0000-0F00-00004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0" name="AutoShape 1">
          <a:extLst>
            <a:ext uri="{FF2B5EF4-FFF2-40B4-BE49-F238E27FC236}">
              <a16:creationId xmlns:a16="http://schemas.microsoft.com/office/drawing/2014/main" id="{00000000-0008-0000-0F00-00004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1" name="AutoShape 1">
          <a:extLst>
            <a:ext uri="{FF2B5EF4-FFF2-40B4-BE49-F238E27FC236}">
              <a16:creationId xmlns:a16="http://schemas.microsoft.com/office/drawing/2014/main" id="{00000000-0008-0000-0F00-00004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2" name="AutoShape 1">
          <a:extLst>
            <a:ext uri="{FF2B5EF4-FFF2-40B4-BE49-F238E27FC236}">
              <a16:creationId xmlns:a16="http://schemas.microsoft.com/office/drawing/2014/main" id="{00000000-0008-0000-0F00-00004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3" name="AutoShape 1">
          <a:extLst>
            <a:ext uri="{FF2B5EF4-FFF2-40B4-BE49-F238E27FC236}">
              <a16:creationId xmlns:a16="http://schemas.microsoft.com/office/drawing/2014/main" id="{00000000-0008-0000-0F00-00004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4" name="AutoShape 1">
          <a:extLst>
            <a:ext uri="{FF2B5EF4-FFF2-40B4-BE49-F238E27FC236}">
              <a16:creationId xmlns:a16="http://schemas.microsoft.com/office/drawing/2014/main" id="{00000000-0008-0000-0F00-00004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5" name="AutoShape 1">
          <a:extLst>
            <a:ext uri="{FF2B5EF4-FFF2-40B4-BE49-F238E27FC236}">
              <a16:creationId xmlns:a16="http://schemas.microsoft.com/office/drawing/2014/main" id="{00000000-0008-0000-0F00-00004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6" name="AutoShape 1">
          <a:extLst>
            <a:ext uri="{FF2B5EF4-FFF2-40B4-BE49-F238E27FC236}">
              <a16:creationId xmlns:a16="http://schemas.microsoft.com/office/drawing/2014/main" id="{00000000-0008-0000-0F00-00004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7" name="AutoShape 1">
          <a:extLst>
            <a:ext uri="{FF2B5EF4-FFF2-40B4-BE49-F238E27FC236}">
              <a16:creationId xmlns:a16="http://schemas.microsoft.com/office/drawing/2014/main" id="{00000000-0008-0000-0F00-00004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8" name="AutoShape 1">
          <a:extLst>
            <a:ext uri="{FF2B5EF4-FFF2-40B4-BE49-F238E27FC236}">
              <a16:creationId xmlns:a16="http://schemas.microsoft.com/office/drawing/2014/main" id="{00000000-0008-0000-0F00-00004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89" name="AutoShape 1">
          <a:extLst>
            <a:ext uri="{FF2B5EF4-FFF2-40B4-BE49-F238E27FC236}">
              <a16:creationId xmlns:a16="http://schemas.microsoft.com/office/drawing/2014/main" id="{00000000-0008-0000-0F00-00004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0" name="AutoShape 1">
          <a:extLst>
            <a:ext uri="{FF2B5EF4-FFF2-40B4-BE49-F238E27FC236}">
              <a16:creationId xmlns:a16="http://schemas.microsoft.com/office/drawing/2014/main" id="{00000000-0008-0000-0F00-00004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1" name="AutoShape 1">
          <a:extLst>
            <a:ext uri="{FF2B5EF4-FFF2-40B4-BE49-F238E27FC236}">
              <a16:creationId xmlns:a16="http://schemas.microsoft.com/office/drawing/2014/main" id="{00000000-0008-0000-0F00-00004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2" name="AutoShape 1">
          <a:extLst>
            <a:ext uri="{FF2B5EF4-FFF2-40B4-BE49-F238E27FC236}">
              <a16:creationId xmlns:a16="http://schemas.microsoft.com/office/drawing/2014/main" id="{00000000-0008-0000-0F00-00005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3" name="AutoShape 1">
          <a:extLst>
            <a:ext uri="{FF2B5EF4-FFF2-40B4-BE49-F238E27FC236}">
              <a16:creationId xmlns:a16="http://schemas.microsoft.com/office/drawing/2014/main" id="{00000000-0008-0000-0F00-00005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4" name="AutoShape 1">
          <a:extLst>
            <a:ext uri="{FF2B5EF4-FFF2-40B4-BE49-F238E27FC236}">
              <a16:creationId xmlns:a16="http://schemas.microsoft.com/office/drawing/2014/main" id="{00000000-0008-0000-0F00-00005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5" name="AutoShape 1">
          <a:extLst>
            <a:ext uri="{FF2B5EF4-FFF2-40B4-BE49-F238E27FC236}">
              <a16:creationId xmlns:a16="http://schemas.microsoft.com/office/drawing/2014/main" id="{00000000-0008-0000-0F00-00005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6" name="AutoShape 1">
          <a:extLst>
            <a:ext uri="{FF2B5EF4-FFF2-40B4-BE49-F238E27FC236}">
              <a16:creationId xmlns:a16="http://schemas.microsoft.com/office/drawing/2014/main" id="{00000000-0008-0000-0F00-00005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7" name="AutoShape 1">
          <a:extLst>
            <a:ext uri="{FF2B5EF4-FFF2-40B4-BE49-F238E27FC236}">
              <a16:creationId xmlns:a16="http://schemas.microsoft.com/office/drawing/2014/main" id="{00000000-0008-0000-0F00-00005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8" name="AutoShape 1">
          <a:extLst>
            <a:ext uri="{FF2B5EF4-FFF2-40B4-BE49-F238E27FC236}">
              <a16:creationId xmlns:a16="http://schemas.microsoft.com/office/drawing/2014/main" id="{00000000-0008-0000-0F00-00005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6999" name="AutoShape 1">
          <a:extLst>
            <a:ext uri="{FF2B5EF4-FFF2-40B4-BE49-F238E27FC236}">
              <a16:creationId xmlns:a16="http://schemas.microsoft.com/office/drawing/2014/main" id="{00000000-0008-0000-0F00-00005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0" name="AutoShape 1">
          <a:extLst>
            <a:ext uri="{FF2B5EF4-FFF2-40B4-BE49-F238E27FC236}">
              <a16:creationId xmlns:a16="http://schemas.microsoft.com/office/drawing/2014/main" id="{00000000-0008-0000-0F00-00005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1" name="AutoShape 1">
          <a:extLst>
            <a:ext uri="{FF2B5EF4-FFF2-40B4-BE49-F238E27FC236}">
              <a16:creationId xmlns:a16="http://schemas.microsoft.com/office/drawing/2014/main" id="{00000000-0008-0000-0F00-00005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2" name="AutoShape 1">
          <a:extLst>
            <a:ext uri="{FF2B5EF4-FFF2-40B4-BE49-F238E27FC236}">
              <a16:creationId xmlns:a16="http://schemas.microsoft.com/office/drawing/2014/main" id="{00000000-0008-0000-0F00-00005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3" name="AutoShape 1">
          <a:extLst>
            <a:ext uri="{FF2B5EF4-FFF2-40B4-BE49-F238E27FC236}">
              <a16:creationId xmlns:a16="http://schemas.microsoft.com/office/drawing/2014/main" id="{00000000-0008-0000-0F00-00005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4" name="AutoShape 1">
          <a:extLst>
            <a:ext uri="{FF2B5EF4-FFF2-40B4-BE49-F238E27FC236}">
              <a16:creationId xmlns:a16="http://schemas.microsoft.com/office/drawing/2014/main" id="{00000000-0008-0000-0F00-00005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5" name="AutoShape 1">
          <a:extLst>
            <a:ext uri="{FF2B5EF4-FFF2-40B4-BE49-F238E27FC236}">
              <a16:creationId xmlns:a16="http://schemas.microsoft.com/office/drawing/2014/main" id="{00000000-0008-0000-0F00-00005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6" name="AutoShape 1">
          <a:extLst>
            <a:ext uri="{FF2B5EF4-FFF2-40B4-BE49-F238E27FC236}">
              <a16:creationId xmlns:a16="http://schemas.microsoft.com/office/drawing/2014/main" id="{00000000-0008-0000-0F00-00005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7" name="AutoShape 1">
          <a:extLst>
            <a:ext uri="{FF2B5EF4-FFF2-40B4-BE49-F238E27FC236}">
              <a16:creationId xmlns:a16="http://schemas.microsoft.com/office/drawing/2014/main" id="{00000000-0008-0000-0F00-00005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8" name="AutoShape 1">
          <a:extLst>
            <a:ext uri="{FF2B5EF4-FFF2-40B4-BE49-F238E27FC236}">
              <a16:creationId xmlns:a16="http://schemas.microsoft.com/office/drawing/2014/main" id="{00000000-0008-0000-0F00-00006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09" name="AutoShape 1">
          <a:extLst>
            <a:ext uri="{FF2B5EF4-FFF2-40B4-BE49-F238E27FC236}">
              <a16:creationId xmlns:a16="http://schemas.microsoft.com/office/drawing/2014/main" id="{00000000-0008-0000-0F00-00006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0" name="AutoShape 1">
          <a:extLst>
            <a:ext uri="{FF2B5EF4-FFF2-40B4-BE49-F238E27FC236}">
              <a16:creationId xmlns:a16="http://schemas.microsoft.com/office/drawing/2014/main" id="{00000000-0008-0000-0F00-00006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1" name="AutoShape 1">
          <a:extLst>
            <a:ext uri="{FF2B5EF4-FFF2-40B4-BE49-F238E27FC236}">
              <a16:creationId xmlns:a16="http://schemas.microsoft.com/office/drawing/2014/main" id="{00000000-0008-0000-0F00-00006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2" name="AutoShape 1">
          <a:extLst>
            <a:ext uri="{FF2B5EF4-FFF2-40B4-BE49-F238E27FC236}">
              <a16:creationId xmlns:a16="http://schemas.microsoft.com/office/drawing/2014/main" id="{00000000-0008-0000-0F00-00006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3" name="AutoShape 1">
          <a:extLst>
            <a:ext uri="{FF2B5EF4-FFF2-40B4-BE49-F238E27FC236}">
              <a16:creationId xmlns:a16="http://schemas.microsoft.com/office/drawing/2014/main" id="{00000000-0008-0000-0F00-00006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4" name="AutoShape 1">
          <a:extLst>
            <a:ext uri="{FF2B5EF4-FFF2-40B4-BE49-F238E27FC236}">
              <a16:creationId xmlns:a16="http://schemas.microsoft.com/office/drawing/2014/main" id="{00000000-0008-0000-0F00-00006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5" name="AutoShape 1">
          <a:extLst>
            <a:ext uri="{FF2B5EF4-FFF2-40B4-BE49-F238E27FC236}">
              <a16:creationId xmlns:a16="http://schemas.microsoft.com/office/drawing/2014/main" id="{00000000-0008-0000-0F00-00006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6" name="AutoShape 1">
          <a:extLst>
            <a:ext uri="{FF2B5EF4-FFF2-40B4-BE49-F238E27FC236}">
              <a16:creationId xmlns:a16="http://schemas.microsoft.com/office/drawing/2014/main" id="{00000000-0008-0000-0F00-00006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7" name="AutoShape 1">
          <a:extLst>
            <a:ext uri="{FF2B5EF4-FFF2-40B4-BE49-F238E27FC236}">
              <a16:creationId xmlns:a16="http://schemas.microsoft.com/office/drawing/2014/main" id="{00000000-0008-0000-0F00-00006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8" name="AutoShape 1">
          <a:extLst>
            <a:ext uri="{FF2B5EF4-FFF2-40B4-BE49-F238E27FC236}">
              <a16:creationId xmlns:a16="http://schemas.microsoft.com/office/drawing/2014/main" id="{00000000-0008-0000-0F00-00006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19" name="AutoShape 1">
          <a:extLst>
            <a:ext uri="{FF2B5EF4-FFF2-40B4-BE49-F238E27FC236}">
              <a16:creationId xmlns:a16="http://schemas.microsoft.com/office/drawing/2014/main" id="{00000000-0008-0000-0F00-00006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0" name="AutoShape 1">
          <a:extLst>
            <a:ext uri="{FF2B5EF4-FFF2-40B4-BE49-F238E27FC236}">
              <a16:creationId xmlns:a16="http://schemas.microsoft.com/office/drawing/2014/main" id="{00000000-0008-0000-0F00-00006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1" name="AutoShape 1">
          <a:extLst>
            <a:ext uri="{FF2B5EF4-FFF2-40B4-BE49-F238E27FC236}">
              <a16:creationId xmlns:a16="http://schemas.microsoft.com/office/drawing/2014/main" id="{00000000-0008-0000-0F00-00006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2" name="AutoShape 1">
          <a:extLst>
            <a:ext uri="{FF2B5EF4-FFF2-40B4-BE49-F238E27FC236}">
              <a16:creationId xmlns:a16="http://schemas.microsoft.com/office/drawing/2014/main" id="{00000000-0008-0000-0F00-00006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3" name="AutoShape 1">
          <a:extLst>
            <a:ext uri="{FF2B5EF4-FFF2-40B4-BE49-F238E27FC236}">
              <a16:creationId xmlns:a16="http://schemas.microsoft.com/office/drawing/2014/main" id="{00000000-0008-0000-0F00-00006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4" name="AutoShape 1">
          <a:extLst>
            <a:ext uri="{FF2B5EF4-FFF2-40B4-BE49-F238E27FC236}">
              <a16:creationId xmlns:a16="http://schemas.microsoft.com/office/drawing/2014/main" id="{00000000-0008-0000-0F00-00007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5" name="AutoShape 1">
          <a:extLst>
            <a:ext uri="{FF2B5EF4-FFF2-40B4-BE49-F238E27FC236}">
              <a16:creationId xmlns:a16="http://schemas.microsoft.com/office/drawing/2014/main" id="{00000000-0008-0000-0F00-00007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6" name="AutoShape 1">
          <a:extLst>
            <a:ext uri="{FF2B5EF4-FFF2-40B4-BE49-F238E27FC236}">
              <a16:creationId xmlns:a16="http://schemas.microsoft.com/office/drawing/2014/main" id="{00000000-0008-0000-0F00-00007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7" name="AutoShape 1">
          <a:extLst>
            <a:ext uri="{FF2B5EF4-FFF2-40B4-BE49-F238E27FC236}">
              <a16:creationId xmlns:a16="http://schemas.microsoft.com/office/drawing/2014/main" id="{00000000-0008-0000-0F00-00007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8" name="AutoShape 1">
          <a:extLst>
            <a:ext uri="{FF2B5EF4-FFF2-40B4-BE49-F238E27FC236}">
              <a16:creationId xmlns:a16="http://schemas.microsoft.com/office/drawing/2014/main" id="{00000000-0008-0000-0F00-00007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29" name="AutoShape 1">
          <a:extLst>
            <a:ext uri="{FF2B5EF4-FFF2-40B4-BE49-F238E27FC236}">
              <a16:creationId xmlns:a16="http://schemas.microsoft.com/office/drawing/2014/main" id="{00000000-0008-0000-0F00-00007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0" name="AutoShape 1">
          <a:extLst>
            <a:ext uri="{FF2B5EF4-FFF2-40B4-BE49-F238E27FC236}">
              <a16:creationId xmlns:a16="http://schemas.microsoft.com/office/drawing/2014/main" id="{00000000-0008-0000-0F00-00007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1" name="AutoShape 1">
          <a:extLst>
            <a:ext uri="{FF2B5EF4-FFF2-40B4-BE49-F238E27FC236}">
              <a16:creationId xmlns:a16="http://schemas.microsoft.com/office/drawing/2014/main" id="{00000000-0008-0000-0F00-00007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2" name="AutoShape 1">
          <a:extLst>
            <a:ext uri="{FF2B5EF4-FFF2-40B4-BE49-F238E27FC236}">
              <a16:creationId xmlns:a16="http://schemas.microsoft.com/office/drawing/2014/main" id="{00000000-0008-0000-0F00-00007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3" name="AutoShape 1">
          <a:extLst>
            <a:ext uri="{FF2B5EF4-FFF2-40B4-BE49-F238E27FC236}">
              <a16:creationId xmlns:a16="http://schemas.microsoft.com/office/drawing/2014/main" id="{00000000-0008-0000-0F00-00007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4" name="AutoShape 1">
          <a:extLst>
            <a:ext uri="{FF2B5EF4-FFF2-40B4-BE49-F238E27FC236}">
              <a16:creationId xmlns:a16="http://schemas.microsoft.com/office/drawing/2014/main" id="{00000000-0008-0000-0F00-00007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5" name="AutoShape 1">
          <a:extLst>
            <a:ext uri="{FF2B5EF4-FFF2-40B4-BE49-F238E27FC236}">
              <a16:creationId xmlns:a16="http://schemas.microsoft.com/office/drawing/2014/main" id="{00000000-0008-0000-0F00-00007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6" name="AutoShape 1">
          <a:extLst>
            <a:ext uri="{FF2B5EF4-FFF2-40B4-BE49-F238E27FC236}">
              <a16:creationId xmlns:a16="http://schemas.microsoft.com/office/drawing/2014/main" id="{00000000-0008-0000-0F00-00007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7" name="AutoShape 1">
          <a:extLst>
            <a:ext uri="{FF2B5EF4-FFF2-40B4-BE49-F238E27FC236}">
              <a16:creationId xmlns:a16="http://schemas.microsoft.com/office/drawing/2014/main" id="{00000000-0008-0000-0F00-00007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8" name="AutoShape 1">
          <a:extLst>
            <a:ext uri="{FF2B5EF4-FFF2-40B4-BE49-F238E27FC236}">
              <a16:creationId xmlns:a16="http://schemas.microsoft.com/office/drawing/2014/main" id="{00000000-0008-0000-0F00-00007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39" name="AutoShape 1">
          <a:extLst>
            <a:ext uri="{FF2B5EF4-FFF2-40B4-BE49-F238E27FC236}">
              <a16:creationId xmlns:a16="http://schemas.microsoft.com/office/drawing/2014/main" id="{00000000-0008-0000-0F00-00007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0" name="AutoShape 1">
          <a:extLst>
            <a:ext uri="{FF2B5EF4-FFF2-40B4-BE49-F238E27FC236}">
              <a16:creationId xmlns:a16="http://schemas.microsoft.com/office/drawing/2014/main" id="{00000000-0008-0000-0F00-00008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1" name="AutoShape 1">
          <a:extLst>
            <a:ext uri="{FF2B5EF4-FFF2-40B4-BE49-F238E27FC236}">
              <a16:creationId xmlns:a16="http://schemas.microsoft.com/office/drawing/2014/main" id="{00000000-0008-0000-0F00-00008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2" name="AutoShape 1">
          <a:extLst>
            <a:ext uri="{FF2B5EF4-FFF2-40B4-BE49-F238E27FC236}">
              <a16:creationId xmlns:a16="http://schemas.microsoft.com/office/drawing/2014/main" id="{00000000-0008-0000-0F00-00008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3" name="AutoShape 1">
          <a:extLst>
            <a:ext uri="{FF2B5EF4-FFF2-40B4-BE49-F238E27FC236}">
              <a16:creationId xmlns:a16="http://schemas.microsoft.com/office/drawing/2014/main" id="{00000000-0008-0000-0F00-00008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4" name="AutoShape 1">
          <a:extLst>
            <a:ext uri="{FF2B5EF4-FFF2-40B4-BE49-F238E27FC236}">
              <a16:creationId xmlns:a16="http://schemas.microsoft.com/office/drawing/2014/main" id="{00000000-0008-0000-0F00-00008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5" name="AutoShape 1">
          <a:extLst>
            <a:ext uri="{FF2B5EF4-FFF2-40B4-BE49-F238E27FC236}">
              <a16:creationId xmlns:a16="http://schemas.microsoft.com/office/drawing/2014/main" id="{00000000-0008-0000-0F00-00008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6" name="AutoShape 1">
          <a:extLst>
            <a:ext uri="{FF2B5EF4-FFF2-40B4-BE49-F238E27FC236}">
              <a16:creationId xmlns:a16="http://schemas.microsoft.com/office/drawing/2014/main" id="{00000000-0008-0000-0F00-00008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7" name="AutoShape 1">
          <a:extLst>
            <a:ext uri="{FF2B5EF4-FFF2-40B4-BE49-F238E27FC236}">
              <a16:creationId xmlns:a16="http://schemas.microsoft.com/office/drawing/2014/main" id="{00000000-0008-0000-0F00-00008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8" name="AutoShape 1">
          <a:extLst>
            <a:ext uri="{FF2B5EF4-FFF2-40B4-BE49-F238E27FC236}">
              <a16:creationId xmlns:a16="http://schemas.microsoft.com/office/drawing/2014/main" id="{00000000-0008-0000-0F00-00008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49" name="AutoShape 1">
          <a:extLst>
            <a:ext uri="{FF2B5EF4-FFF2-40B4-BE49-F238E27FC236}">
              <a16:creationId xmlns:a16="http://schemas.microsoft.com/office/drawing/2014/main" id="{00000000-0008-0000-0F00-00008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0" name="AutoShape 1">
          <a:extLst>
            <a:ext uri="{FF2B5EF4-FFF2-40B4-BE49-F238E27FC236}">
              <a16:creationId xmlns:a16="http://schemas.microsoft.com/office/drawing/2014/main" id="{00000000-0008-0000-0F00-00008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1" name="AutoShape 1">
          <a:extLst>
            <a:ext uri="{FF2B5EF4-FFF2-40B4-BE49-F238E27FC236}">
              <a16:creationId xmlns:a16="http://schemas.microsoft.com/office/drawing/2014/main" id="{00000000-0008-0000-0F00-00008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2" name="AutoShape 1">
          <a:extLst>
            <a:ext uri="{FF2B5EF4-FFF2-40B4-BE49-F238E27FC236}">
              <a16:creationId xmlns:a16="http://schemas.microsoft.com/office/drawing/2014/main" id="{00000000-0008-0000-0F00-00008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3" name="AutoShape 1">
          <a:extLst>
            <a:ext uri="{FF2B5EF4-FFF2-40B4-BE49-F238E27FC236}">
              <a16:creationId xmlns:a16="http://schemas.microsoft.com/office/drawing/2014/main" id="{00000000-0008-0000-0F00-00008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4" name="AutoShape 1">
          <a:extLst>
            <a:ext uri="{FF2B5EF4-FFF2-40B4-BE49-F238E27FC236}">
              <a16:creationId xmlns:a16="http://schemas.microsoft.com/office/drawing/2014/main" id="{00000000-0008-0000-0F00-00008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5" name="AutoShape 1">
          <a:extLst>
            <a:ext uri="{FF2B5EF4-FFF2-40B4-BE49-F238E27FC236}">
              <a16:creationId xmlns:a16="http://schemas.microsoft.com/office/drawing/2014/main" id="{00000000-0008-0000-0F00-00008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6" name="AutoShape 1">
          <a:extLst>
            <a:ext uri="{FF2B5EF4-FFF2-40B4-BE49-F238E27FC236}">
              <a16:creationId xmlns:a16="http://schemas.microsoft.com/office/drawing/2014/main" id="{00000000-0008-0000-0F00-00009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7" name="AutoShape 1">
          <a:extLst>
            <a:ext uri="{FF2B5EF4-FFF2-40B4-BE49-F238E27FC236}">
              <a16:creationId xmlns:a16="http://schemas.microsoft.com/office/drawing/2014/main" id="{00000000-0008-0000-0F00-00009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8" name="AutoShape 1">
          <a:extLst>
            <a:ext uri="{FF2B5EF4-FFF2-40B4-BE49-F238E27FC236}">
              <a16:creationId xmlns:a16="http://schemas.microsoft.com/office/drawing/2014/main" id="{00000000-0008-0000-0F00-00009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59" name="AutoShape 1">
          <a:extLst>
            <a:ext uri="{FF2B5EF4-FFF2-40B4-BE49-F238E27FC236}">
              <a16:creationId xmlns:a16="http://schemas.microsoft.com/office/drawing/2014/main" id="{00000000-0008-0000-0F00-00009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0" name="AutoShape 1">
          <a:extLst>
            <a:ext uri="{FF2B5EF4-FFF2-40B4-BE49-F238E27FC236}">
              <a16:creationId xmlns:a16="http://schemas.microsoft.com/office/drawing/2014/main" id="{00000000-0008-0000-0F00-00009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1" name="AutoShape 1">
          <a:extLst>
            <a:ext uri="{FF2B5EF4-FFF2-40B4-BE49-F238E27FC236}">
              <a16:creationId xmlns:a16="http://schemas.microsoft.com/office/drawing/2014/main" id="{00000000-0008-0000-0F00-00009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2" name="AutoShape 1">
          <a:extLst>
            <a:ext uri="{FF2B5EF4-FFF2-40B4-BE49-F238E27FC236}">
              <a16:creationId xmlns:a16="http://schemas.microsoft.com/office/drawing/2014/main" id="{00000000-0008-0000-0F00-00009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3" name="AutoShape 1">
          <a:extLst>
            <a:ext uri="{FF2B5EF4-FFF2-40B4-BE49-F238E27FC236}">
              <a16:creationId xmlns:a16="http://schemas.microsoft.com/office/drawing/2014/main" id="{00000000-0008-0000-0F00-00009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4" name="AutoShape 1">
          <a:extLst>
            <a:ext uri="{FF2B5EF4-FFF2-40B4-BE49-F238E27FC236}">
              <a16:creationId xmlns:a16="http://schemas.microsoft.com/office/drawing/2014/main" id="{00000000-0008-0000-0F00-00009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5" name="AutoShape 1">
          <a:extLst>
            <a:ext uri="{FF2B5EF4-FFF2-40B4-BE49-F238E27FC236}">
              <a16:creationId xmlns:a16="http://schemas.microsoft.com/office/drawing/2014/main" id="{00000000-0008-0000-0F00-00009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6" name="AutoShape 1">
          <a:extLst>
            <a:ext uri="{FF2B5EF4-FFF2-40B4-BE49-F238E27FC236}">
              <a16:creationId xmlns:a16="http://schemas.microsoft.com/office/drawing/2014/main" id="{00000000-0008-0000-0F00-00009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7" name="AutoShape 1">
          <a:extLst>
            <a:ext uri="{FF2B5EF4-FFF2-40B4-BE49-F238E27FC236}">
              <a16:creationId xmlns:a16="http://schemas.microsoft.com/office/drawing/2014/main" id="{00000000-0008-0000-0F00-00009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8" name="AutoShape 1">
          <a:extLst>
            <a:ext uri="{FF2B5EF4-FFF2-40B4-BE49-F238E27FC236}">
              <a16:creationId xmlns:a16="http://schemas.microsoft.com/office/drawing/2014/main" id="{00000000-0008-0000-0F00-00009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69" name="AutoShape 1">
          <a:extLst>
            <a:ext uri="{FF2B5EF4-FFF2-40B4-BE49-F238E27FC236}">
              <a16:creationId xmlns:a16="http://schemas.microsoft.com/office/drawing/2014/main" id="{00000000-0008-0000-0F00-00009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0" name="AutoShape 1">
          <a:extLst>
            <a:ext uri="{FF2B5EF4-FFF2-40B4-BE49-F238E27FC236}">
              <a16:creationId xmlns:a16="http://schemas.microsoft.com/office/drawing/2014/main" id="{00000000-0008-0000-0F00-00009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1" name="AutoShape 1">
          <a:extLst>
            <a:ext uri="{FF2B5EF4-FFF2-40B4-BE49-F238E27FC236}">
              <a16:creationId xmlns:a16="http://schemas.microsoft.com/office/drawing/2014/main" id="{00000000-0008-0000-0F00-00009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2" name="AutoShape 1">
          <a:extLst>
            <a:ext uri="{FF2B5EF4-FFF2-40B4-BE49-F238E27FC236}">
              <a16:creationId xmlns:a16="http://schemas.microsoft.com/office/drawing/2014/main" id="{00000000-0008-0000-0F00-0000A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3" name="AutoShape 1">
          <a:extLst>
            <a:ext uri="{FF2B5EF4-FFF2-40B4-BE49-F238E27FC236}">
              <a16:creationId xmlns:a16="http://schemas.microsoft.com/office/drawing/2014/main" id="{00000000-0008-0000-0F00-0000A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4" name="AutoShape 1">
          <a:extLst>
            <a:ext uri="{FF2B5EF4-FFF2-40B4-BE49-F238E27FC236}">
              <a16:creationId xmlns:a16="http://schemas.microsoft.com/office/drawing/2014/main" id="{00000000-0008-0000-0F00-0000A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5" name="AutoShape 1">
          <a:extLst>
            <a:ext uri="{FF2B5EF4-FFF2-40B4-BE49-F238E27FC236}">
              <a16:creationId xmlns:a16="http://schemas.microsoft.com/office/drawing/2014/main" id="{00000000-0008-0000-0F00-0000A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6" name="AutoShape 1">
          <a:extLst>
            <a:ext uri="{FF2B5EF4-FFF2-40B4-BE49-F238E27FC236}">
              <a16:creationId xmlns:a16="http://schemas.microsoft.com/office/drawing/2014/main" id="{00000000-0008-0000-0F00-0000A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7" name="AutoShape 1">
          <a:extLst>
            <a:ext uri="{FF2B5EF4-FFF2-40B4-BE49-F238E27FC236}">
              <a16:creationId xmlns:a16="http://schemas.microsoft.com/office/drawing/2014/main" id="{00000000-0008-0000-0F00-0000A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8" name="AutoShape 1">
          <a:extLst>
            <a:ext uri="{FF2B5EF4-FFF2-40B4-BE49-F238E27FC236}">
              <a16:creationId xmlns:a16="http://schemas.microsoft.com/office/drawing/2014/main" id="{00000000-0008-0000-0F00-0000A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79" name="AutoShape 1">
          <a:extLst>
            <a:ext uri="{FF2B5EF4-FFF2-40B4-BE49-F238E27FC236}">
              <a16:creationId xmlns:a16="http://schemas.microsoft.com/office/drawing/2014/main" id="{00000000-0008-0000-0F00-0000A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0" name="AutoShape 1">
          <a:extLst>
            <a:ext uri="{FF2B5EF4-FFF2-40B4-BE49-F238E27FC236}">
              <a16:creationId xmlns:a16="http://schemas.microsoft.com/office/drawing/2014/main" id="{00000000-0008-0000-0F00-0000A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1" name="AutoShape 1">
          <a:extLst>
            <a:ext uri="{FF2B5EF4-FFF2-40B4-BE49-F238E27FC236}">
              <a16:creationId xmlns:a16="http://schemas.microsoft.com/office/drawing/2014/main" id="{00000000-0008-0000-0F00-0000A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2" name="AutoShape 1">
          <a:extLst>
            <a:ext uri="{FF2B5EF4-FFF2-40B4-BE49-F238E27FC236}">
              <a16:creationId xmlns:a16="http://schemas.microsoft.com/office/drawing/2014/main" id="{00000000-0008-0000-0F00-0000A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3" name="AutoShape 1">
          <a:extLst>
            <a:ext uri="{FF2B5EF4-FFF2-40B4-BE49-F238E27FC236}">
              <a16:creationId xmlns:a16="http://schemas.microsoft.com/office/drawing/2014/main" id="{00000000-0008-0000-0F00-0000A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4" name="AutoShape 1">
          <a:extLst>
            <a:ext uri="{FF2B5EF4-FFF2-40B4-BE49-F238E27FC236}">
              <a16:creationId xmlns:a16="http://schemas.microsoft.com/office/drawing/2014/main" id="{00000000-0008-0000-0F00-0000A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5" name="AutoShape 1">
          <a:extLst>
            <a:ext uri="{FF2B5EF4-FFF2-40B4-BE49-F238E27FC236}">
              <a16:creationId xmlns:a16="http://schemas.microsoft.com/office/drawing/2014/main" id="{00000000-0008-0000-0F00-0000A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6" name="AutoShape 1">
          <a:extLst>
            <a:ext uri="{FF2B5EF4-FFF2-40B4-BE49-F238E27FC236}">
              <a16:creationId xmlns:a16="http://schemas.microsoft.com/office/drawing/2014/main" id="{00000000-0008-0000-0F00-0000A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7" name="AutoShape 1">
          <a:extLst>
            <a:ext uri="{FF2B5EF4-FFF2-40B4-BE49-F238E27FC236}">
              <a16:creationId xmlns:a16="http://schemas.microsoft.com/office/drawing/2014/main" id="{00000000-0008-0000-0F00-0000A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8" name="AutoShape 1">
          <a:extLst>
            <a:ext uri="{FF2B5EF4-FFF2-40B4-BE49-F238E27FC236}">
              <a16:creationId xmlns:a16="http://schemas.microsoft.com/office/drawing/2014/main" id="{00000000-0008-0000-0F00-0000B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89" name="AutoShape 1">
          <a:extLst>
            <a:ext uri="{FF2B5EF4-FFF2-40B4-BE49-F238E27FC236}">
              <a16:creationId xmlns:a16="http://schemas.microsoft.com/office/drawing/2014/main" id="{00000000-0008-0000-0F00-0000B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0" name="AutoShape 1">
          <a:extLst>
            <a:ext uri="{FF2B5EF4-FFF2-40B4-BE49-F238E27FC236}">
              <a16:creationId xmlns:a16="http://schemas.microsoft.com/office/drawing/2014/main" id="{00000000-0008-0000-0F00-0000B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1" name="AutoShape 1">
          <a:extLst>
            <a:ext uri="{FF2B5EF4-FFF2-40B4-BE49-F238E27FC236}">
              <a16:creationId xmlns:a16="http://schemas.microsoft.com/office/drawing/2014/main" id="{00000000-0008-0000-0F00-0000B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2" name="AutoShape 1">
          <a:extLst>
            <a:ext uri="{FF2B5EF4-FFF2-40B4-BE49-F238E27FC236}">
              <a16:creationId xmlns:a16="http://schemas.microsoft.com/office/drawing/2014/main" id="{00000000-0008-0000-0F00-0000B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3" name="AutoShape 1">
          <a:extLst>
            <a:ext uri="{FF2B5EF4-FFF2-40B4-BE49-F238E27FC236}">
              <a16:creationId xmlns:a16="http://schemas.microsoft.com/office/drawing/2014/main" id="{00000000-0008-0000-0F00-0000B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4" name="AutoShape 1">
          <a:extLst>
            <a:ext uri="{FF2B5EF4-FFF2-40B4-BE49-F238E27FC236}">
              <a16:creationId xmlns:a16="http://schemas.microsoft.com/office/drawing/2014/main" id="{00000000-0008-0000-0F00-0000B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5" name="AutoShape 1">
          <a:extLst>
            <a:ext uri="{FF2B5EF4-FFF2-40B4-BE49-F238E27FC236}">
              <a16:creationId xmlns:a16="http://schemas.microsoft.com/office/drawing/2014/main" id="{00000000-0008-0000-0F00-0000B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6" name="AutoShape 1">
          <a:extLst>
            <a:ext uri="{FF2B5EF4-FFF2-40B4-BE49-F238E27FC236}">
              <a16:creationId xmlns:a16="http://schemas.microsoft.com/office/drawing/2014/main" id="{00000000-0008-0000-0F00-0000B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7" name="AutoShape 1">
          <a:extLst>
            <a:ext uri="{FF2B5EF4-FFF2-40B4-BE49-F238E27FC236}">
              <a16:creationId xmlns:a16="http://schemas.microsoft.com/office/drawing/2014/main" id="{00000000-0008-0000-0F00-0000B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8" name="AutoShape 1">
          <a:extLst>
            <a:ext uri="{FF2B5EF4-FFF2-40B4-BE49-F238E27FC236}">
              <a16:creationId xmlns:a16="http://schemas.microsoft.com/office/drawing/2014/main" id="{00000000-0008-0000-0F00-0000B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099" name="AutoShape 1">
          <a:extLst>
            <a:ext uri="{FF2B5EF4-FFF2-40B4-BE49-F238E27FC236}">
              <a16:creationId xmlns:a16="http://schemas.microsoft.com/office/drawing/2014/main" id="{00000000-0008-0000-0F00-0000B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0" name="AutoShape 1">
          <a:extLst>
            <a:ext uri="{FF2B5EF4-FFF2-40B4-BE49-F238E27FC236}">
              <a16:creationId xmlns:a16="http://schemas.microsoft.com/office/drawing/2014/main" id="{00000000-0008-0000-0F00-0000B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1" name="AutoShape 1">
          <a:extLst>
            <a:ext uri="{FF2B5EF4-FFF2-40B4-BE49-F238E27FC236}">
              <a16:creationId xmlns:a16="http://schemas.microsoft.com/office/drawing/2014/main" id="{00000000-0008-0000-0F00-0000B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2" name="AutoShape 1">
          <a:extLst>
            <a:ext uri="{FF2B5EF4-FFF2-40B4-BE49-F238E27FC236}">
              <a16:creationId xmlns:a16="http://schemas.microsoft.com/office/drawing/2014/main" id="{00000000-0008-0000-0F00-0000B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3" name="AutoShape 1">
          <a:extLst>
            <a:ext uri="{FF2B5EF4-FFF2-40B4-BE49-F238E27FC236}">
              <a16:creationId xmlns:a16="http://schemas.microsoft.com/office/drawing/2014/main" id="{00000000-0008-0000-0F00-0000B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4" name="AutoShape 1">
          <a:extLst>
            <a:ext uri="{FF2B5EF4-FFF2-40B4-BE49-F238E27FC236}">
              <a16:creationId xmlns:a16="http://schemas.microsoft.com/office/drawing/2014/main" id="{00000000-0008-0000-0F00-0000C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5" name="AutoShape 1">
          <a:extLst>
            <a:ext uri="{FF2B5EF4-FFF2-40B4-BE49-F238E27FC236}">
              <a16:creationId xmlns:a16="http://schemas.microsoft.com/office/drawing/2014/main" id="{00000000-0008-0000-0F00-0000C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6" name="AutoShape 1">
          <a:extLst>
            <a:ext uri="{FF2B5EF4-FFF2-40B4-BE49-F238E27FC236}">
              <a16:creationId xmlns:a16="http://schemas.microsoft.com/office/drawing/2014/main" id="{00000000-0008-0000-0F00-0000C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7" name="AutoShape 1">
          <a:extLst>
            <a:ext uri="{FF2B5EF4-FFF2-40B4-BE49-F238E27FC236}">
              <a16:creationId xmlns:a16="http://schemas.microsoft.com/office/drawing/2014/main" id="{00000000-0008-0000-0F00-0000C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8" name="AutoShape 1">
          <a:extLst>
            <a:ext uri="{FF2B5EF4-FFF2-40B4-BE49-F238E27FC236}">
              <a16:creationId xmlns:a16="http://schemas.microsoft.com/office/drawing/2014/main" id="{00000000-0008-0000-0F00-0000C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09" name="AutoShape 1">
          <a:extLst>
            <a:ext uri="{FF2B5EF4-FFF2-40B4-BE49-F238E27FC236}">
              <a16:creationId xmlns:a16="http://schemas.microsoft.com/office/drawing/2014/main" id="{00000000-0008-0000-0F00-0000C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0" name="AutoShape 1">
          <a:extLst>
            <a:ext uri="{FF2B5EF4-FFF2-40B4-BE49-F238E27FC236}">
              <a16:creationId xmlns:a16="http://schemas.microsoft.com/office/drawing/2014/main" id="{00000000-0008-0000-0F00-0000C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1" name="AutoShape 1">
          <a:extLst>
            <a:ext uri="{FF2B5EF4-FFF2-40B4-BE49-F238E27FC236}">
              <a16:creationId xmlns:a16="http://schemas.microsoft.com/office/drawing/2014/main" id="{00000000-0008-0000-0F00-0000C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2" name="AutoShape 1">
          <a:extLst>
            <a:ext uri="{FF2B5EF4-FFF2-40B4-BE49-F238E27FC236}">
              <a16:creationId xmlns:a16="http://schemas.microsoft.com/office/drawing/2014/main" id="{00000000-0008-0000-0F00-0000C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3" name="AutoShape 1">
          <a:extLst>
            <a:ext uri="{FF2B5EF4-FFF2-40B4-BE49-F238E27FC236}">
              <a16:creationId xmlns:a16="http://schemas.microsoft.com/office/drawing/2014/main" id="{00000000-0008-0000-0F00-0000C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4" name="AutoShape 1">
          <a:extLst>
            <a:ext uri="{FF2B5EF4-FFF2-40B4-BE49-F238E27FC236}">
              <a16:creationId xmlns:a16="http://schemas.microsoft.com/office/drawing/2014/main" id="{00000000-0008-0000-0F00-0000C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5" name="AutoShape 1">
          <a:extLst>
            <a:ext uri="{FF2B5EF4-FFF2-40B4-BE49-F238E27FC236}">
              <a16:creationId xmlns:a16="http://schemas.microsoft.com/office/drawing/2014/main" id="{00000000-0008-0000-0F00-0000C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6" name="AutoShape 1">
          <a:extLst>
            <a:ext uri="{FF2B5EF4-FFF2-40B4-BE49-F238E27FC236}">
              <a16:creationId xmlns:a16="http://schemas.microsoft.com/office/drawing/2014/main" id="{00000000-0008-0000-0F00-0000C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7" name="AutoShape 1">
          <a:extLst>
            <a:ext uri="{FF2B5EF4-FFF2-40B4-BE49-F238E27FC236}">
              <a16:creationId xmlns:a16="http://schemas.microsoft.com/office/drawing/2014/main" id="{00000000-0008-0000-0F00-0000C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8" name="AutoShape 1">
          <a:extLst>
            <a:ext uri="{FF2B5EF4-FFF2-40B4-BE49-F238E27FC236}">
              <a16:creationId xmlns:a16="http://schemas.microsoft.com/office/drawing/2014/main" id="{00000000-0008-0000-0F00-0000C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19" name="AutoShape 1">
          <a:extLst>
            <a:ext uri="{FF2B5EF4-FFF2-40B4-BE49-F238E27FC236}">
              <a16:creationId xmlns:a16="http://schemas.microsoft.com/office/drawing/2014/main" id="{00000000-0008-0000-0F00-0000C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0" name="AutoShape 1">
          <a:extLst>
            <a:ext uri="{FF2B5EF4-FFF2-40B4-BE49-F238E27FC236}">
              <a16:creationId xmlns:a16="http://schemas.microsoft.com/office/drawing/2014/main" id="{00000000-0008-0000-0F00-0000D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1" name="AutoShape 1">
          <a:extLst>
            <a:ext uri="{FF2B5EF4-FFF2-40B4-BE49-F238E27FC236}">
              <a16:creationId xmlns:a16="http://schemas.microsoft.com/office/drawing/2014/main" id="{00000000-0008-0000-0F00-0000D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2" name="AutoShape 1">
          <a:extLst>
            <a:ext uri="{FF2B5EF4-FFF2-40B4-BE49-F238E27FC236}">
              <a16:creationId xmlns:a16="http://schemas.microsoft.com/office/drawing/2014/main" id="{00000000-0008-0000-0F00-0000D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3" name="AutoShape 1">
          <a:extLst>
            <a:ext uri="{FF2B5EF4-FFF2-40B4-BE49-F238E27FC236}">
              <a16:creationId xmlns:a16="http://schemas.microsoft.com/office/drawing/2014/main" id="{00000000-0008-0000-0F00-0000D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4" name="AutoShape 1">
          <a:extLst>
            <a:ext uri="{FF2B5EF4-FFF2-40B4-BE49-F238E27FC236}">
              <a16:creationId xmlns:a16="http://schemas.microsoft.com/office/drawing/2014/main" id="{00000000-0008-0000-0F00-0000D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5" name="AutoShape 1">
          <a:extLst>
            <a:ext uri="{FF2B5EF4-FFF2-40B4-BE49-F238E27FC236}">
              <a16:creationId xmlns:a16="http://schemas.microsoft.com/office/drawing/2014/main" id="{00000000-0008-0000-0F00-0000D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6" name="AutoShape 1">
          <a:extLst>
            <a:ext uri="{FF2B5EF4-FFF2-40B4-BE49-F238E27FC236}">
              <a16:creationId xmlns:a16="http://schemas.microsoft.com/office/drawing/2014/main" id="{00000000-0008-0000-0F00-0000D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7" name="AutoShape 1">
          <a:extLst>
            <a:ext uri="{FF2B5EF4-FFF2-40B4-BE49-F238E27FC236}">
              <a16:creationId xmlns:a16="http://schemas.microsoft.com/office/drawing/2014/main" id="{00000000-0008-0000-0F00-0000D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8" name="AutoShape 1">
          <a:extLst>
            <a:ext uri="{FF2B5EF4-FFF2-40B4-BE49-F238E27FC236}">
              <a16:creationId xmlns:a16="http://schemas.microsoft.com/office/drawing/2014/main" id="{00000000-0008-0000-0F00-0000D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29" name="AutoShape 1">
          <a:extLst>
            <a:ext uri="{FF2B5EF4-FFF2-40B4-BE49-F238E27FC236}">
              <a16:creationId xmlns:a16="http://schemas.microsoft.com/office/drawing/2014/main" id="{00000000-0008-0000-0F00-0000D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0" name="AutoShape 1">
          <a:extLst>
            <a:ext uri="{FF2B5EF4-FFF2-40B4-BE49-F238E27FC236}">
              <a16:creationId xmlns:a16="http://schemas.microsoft.com/office/drawing/2014/main" id="{00000000-0008-0000-0F00-0000D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1" name="AutoShape 1">
          <a:extLst>
            <a:ext uri="{FF2B5EF4-FFF2-40B4-BE49-F238E27FC236}">
              <a16:creationId xmlns:a16="http://schemas.microsoft.com/office/drawing/2014/main" id="{00000000-0008-0000-0F00-0000D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2" name="AutoShape 1">
          <a:extLst>
            <a:ext uri="{FF2B5EF4-FFF2-40B4-BE49-F238E27FC236}">
              <a16:creationId xmlns:a16="http://schemas.microsoft.com/office/drawing/2014/main" id="{00000000-0008-0000-0F00-0000D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3" name="AutoShape 1">
          <a:extLst>
            <a:ext uri="{FF2B5EF4-FFF2-40B4-BE49-F238E27FC236}">
              <a16:creationId xmlns:a16="http://schemas.microsoft.com/office/drawing/2014/main" id="{00000000-0008-0000-0F00-0000D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4" name="AutoShape 1">
          <a:extLst>
            <a:ext uri="{FF2B5EF4-FFF2-40B4-BE49-F238E27FC236}">
              <a16:creationId xmlns:a16="http://schemas.microsoft.com/office/drawing/2014/main" id="{00000000-0008-0000-0F00-0000D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5" name="AutoShape 1">
          <a:extLst>
            <a:ext uri="{FF2B5EF4-FFF2-40B4-BE49-F238E27FC236}">
              <a16:creationId xmlns:a16="http://schemas.microsoft.com/office/drawing/2014/main" id="{00000000-0008-0000-0F00-0000D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6" name="AutoShape 1">
          <a:extLst>
            <a:ext uri="{FF2B5EF4-FFF2-40B4-BE49-F238E27FC236}">
              <a16:creationId xmlns:a16="http://schemas.microsoft.com/office/drawing/2014/main" id="{00000000-0008-0000-0F00-0000E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7" name="AutoShape 1">
          <a:extLst>
            <a:ext uri="{FF2B5EF4-FFF2-40B4-BE49-F238E27FC236}">
              <a16:creationId xmlns:a16="http://schemas.microsoft.com/office/drawing/2014/main" id="{00000000-0008-0000-0F00-0000E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8" name="AutoShape 1">
          <a:extLst>
            <a:ext uri="{FF2B5EF4-FFF2-40B4-BE49-F238E27FC236}">
              <a16:creationId xmlns:a16="http://schemas.microsoft.com/office/drawing/2014/main" id="{00000000-0008-0000-0F00-0000E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39" name="AutoShape 1">
          <a:extLst>
            <a:ext uri="{FF2B5EF4-FFF2-40B4-BE49-F238E27FC236}">
              <a16:creationId xmlns:a16="http://schemas.microsoft.com/office/drawing/2014/main" id="{00000000-0008-0000-0F00-0000E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0" name="AutoShape 1">
          <a:extLst>
            <a:ext uri="{FF2B5EF4-FFF2-40B4-BE49-F238E27FC236}">
              <a16:creationId xmlns:a16="http://schemas.microsoft.com/office/drawing/2014/main" id="{00000000-0008-0000-0F00-0000E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1" name="AutoShape 1">
          <a:extLst>
            <a:ext uri="{FF2B5EF4-FFF2-40B4-BE49-F238E27FC236}">
              <a16:creationId xmlns:a16="http://schemas.microsoft.com/office/drawing/2014/main" id="{00000000-0008-0000-0F00-0000E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2" name="AutoShape 1">
          <a:extLst>
            <a:ext uri="{FF2B5EF4-FFF2-40B4-BE49-F238E27FC236}">
              <a16:creationId xmlns:a16="http://schemas.microsoft.com/office/drawing/2014/main" id="{00000000-0008-0000-0F00-0000E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3" name="AutoShape 1">
          <a:extLst>
            <a:ext uri="{FF2B5EF4-FFF2-40B4-BE49-F238E27FC236}">
              <a16:creationId xmlns:a16="http://schemas.microsoft.com/office/drawing/2014/main" id="{00000000-0008-0000-0F00-0000E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4" name="AutoShape 1">
          <a:extLst>
            <a:ext uri="{FF2B5EF4-FFF2-40B4-BE49-F238E27FC236}">
              <a16:creationId xmlns:a16="http://schemas.microsoft.com/office/drawing/2014/main" id="{00000000-0008-0000-0F00-0000E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5" name="AutoShape 1">
          <a:extLst>
            <a:ext uri="{FF2B5EF4-FFF2-40B4-BE49-F238E27FC236}">
              <a16:creationId xmlns:a16="http://schemas.microsoft.com/office/drawing/2014/main" id="{00000000-0008-0000-0F00-0000E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6" name="AutoShape 1">
          <a:extLst>
            <a:ext uri="{FF2B5EF4-FFF2-40B4-BE49-F238E27FC236}">
              <a16:creationId xmlns:a16="http://schemas.microsoft.com/office/drawing/2014/main" id="{00000000-0008-0000-0F00-0000E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7" name="AutoShape 1">
          <a:extLst>
            <a:ext uri="{FF2B5EF4-FFF2-40B4-BE49-F238E27FC236}">
              <a16:creationId xmlns:a16="http://schemas.microsoft.com/office/drawing/2014/main" id="{00000000-0008-0000-0F00-0000E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8" name="AutoShape 1">
          <a:extLst>
            <a:ext uri="{FF2B5EF4-FFF2-40B4-BE49-F238E27FC236}">
              <a16:creationId xmlns:a16="http://schemas.microsoft.com/office/drawing/2014/main" id="{00000000-0008-0000-0F00-0000E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49" name="AutoShape 1">
          <a:extLst>
            <a:ext uri="{FF2B5EF4-FFF2-40B4-BE49-F238E27FC236}">
              <a16:creationId xmlns:a16="http://schemas.microsoft.com/office/drawing/2014/main" id="{00000000-0008-0000-0F00-0000E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0" name="AutoShape 1">
          <a:extLst>
            <a:ext uri="{FF2B5EF4-FFF2-40B4-BE49-F238E27FC236}">
              <a16:creationId xmlns:a16="http://schemas.microsoft.com/office/drawing/2014/main" id="{00000000-0008-0000-0F00-0000E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1" name="AutoShape 1">
          <a:extLst>
            <a:ext uri="{FF2B5EF4-FFF2-40B4-BE49-F238E27FC236}">
              <a16:creationId xmlns:a16="http://schemas.microsoft.com/office/drawing/2014/main" id="{00000000-0008-0000-0F00-0000E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2" name="AutoShape 1">
          <a:extLst>
            <a:ext uri="{FF2B5EF4-FFF2-40B4-BE49-F238E27FC236}">
              <a16:creationId xmlns:a16="http://schemas.microsoft.com/office/drawing/2014/main" id="{00000000-0008-0000-0F00-0000F0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3" name="AutoShape 1">
          <a:extLst>
            <a:ext uri="{FF2B5EF4-FFF2-40B4-BE49-F238E27FC236}">
              <a16:creationId xmlns:a16="http://schemas.microsoft.com/office/drawing/2014/main" id="{00000000-0008-0000-0F00-0000F1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4" name="AutoShape 1">
          <a:extLst>
            <a:ext uri="{FF2B5EF4-FFF2-40B4-BE49-F238E27FC236}">
              <a16:creationId xmlns:a16="http://schemas.microsoft.com/office/drawing/2014/main" id="{00000000-0008-0000-0F00-0000F2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5" name="AutoShape 1">
          <a:extLst>
            <a:ext uri="{FF2B5EF4-FFF2-40B4-BE49-F238E27FC236}">
              <a16:creationId xmlns:a16="http://schemas.microsoft.com/office/drawing/2014/main" id="{00000000-0008-0000-0F00-0000F3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6" name="AutoShape 1">
          <a:extLst>
            <a:ext uri="{FF2B5EF4-FFF2-40B4-BE49-F238E27FC236}">
              <a16:creationId xmlns:a16="http://schemas.microsoft.com/office/drawing/2014/main" id="{00000000-0008-0000-0F00-0000F4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7" name="AutoShape 1">
          <a:extLst>
            <a:ext uri="{FF2B5EF4-FFF2-40B4-BE49-F238E27FC236}">
              <a16:creationId xmlns:a16="http://schemas.microsoft.com/office/drawing/2014/main" id="{00000000-0008-0000-0F00-0000F5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8" name="AutoShape 1">
          <a:extLst>
            <a:ext uri="{FF2B5EF4-FFF2-40B4-BE49-F238E27FC236}">
              <a16:creationId xmlns:a16="http://schemas.microsoft.com/office/drawing/2014/main" id="{00000000-0008-0000-0F00-0000F6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59" name="AutoShape 1">
          <a:extLst>
            <a:ext uri="{FF2B5EF4-FFF2-40B4-BE49-F238E27FC236}">
              <a16:creationId xmlns:a16="http://schemas.microsoft.com/office/drawing/2014/main" id="{00000000-0008-0000-0F00-0000F7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0" name="AutoShape 1">
          <a:extLst>
            <a:ext uri="{FF2B5EF4-FFF2-40B4-BE49-F238E27FC236}">
              <a16:creationId xmlns:a16="http://schemas.microsoft.com/office/drawing/2014/main" id="{00000000-0008-0000-0F00-0000F8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1" name="AutoShape 1">
          <a:extLst>
            <a:ext uri="{FF2B5EF4-FFF2-40B4-BE49-F238E27FC236}">
              <a16:creationId xmlns:a16="http://schemas.microsoft.com/office/drawing/2014/main" id="{00000000-0008-0000-0F00-0000F9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2" name="AutoShape 1">
          <a:extLst>
            <a:ext uri="{FF2B5EF4-FFF2-40B4-BE49-F238E27FC236}">
              <a16:creationId xmlns:a16="http://schemas.microsoft.com/office/drawing/2014/main" id="{00000000-0008-0000-0F00-0000FA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3" name="AutoShape 1">
          <a:extLst>
            <a:ext uri="{FF2B5EF4-FFF2-40B4-BE49-F238E27FC236}">
              <a16:creationId xmlns:a16="http://schemas.microsoft.com/office/drawing/2014/main" id="{00000000-0008-0000-0F00-0000FB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4" name="AutoShape 1">
          <a:extLst>
            <a:ext uri="{FF2B5EF4-FFF2-40B4-BE49-F238E27FC236}">
              <a16:creationId xmlns:a16="http://schemas.microsoft.com/office/drawing/2014/main" id="{00000000-0008-0000-0F00-0000FC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5" name="AutoShape 1">
          <a:extLst>
            <a:ext uri="{FF2B5EF4-FFF2-40B4-BE49-F238E27FC236}">
              <a16:creationId xmlns:a16="http://schemas.microsoft.com/office/drawing/2014/main" id="{00000000-0008-0000-0F00-0000FD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6" name="AutoShape 1">
          <a:extLst>
            <a:ext uri="{FF2B5EF4-FFF2-40B4-BE49-F238E27FC236}">
              <a16:creationId xmlns:a16="http://schemas.microsoft.com/office/drawing/2014/main" id="{00000000-0008-0000-0F00-0000FE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7" name="AutoShape 1">
          <a:extLst>
            <a:ext uri="{FF2B5EF4-FFF2-40B4-BE49-F238E27FC236}">
              <a16:creationId xmlns:a16="http://schemas.microsoft.com/office/drawing/2014/main" id="{00000000-0008-0000-0F00-0000FF1B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8" name="AutoShape 1">
          <a:extLst>
            <a:ext uri="{FF2B5EF4-FFF2-40B4-BE49-F238E27FC236}">
              <a16:creationId xmlns:a16="http://schemas.microsoft.com/office/drawing/2014/main" id="{00000000-0008-0000-0F00-000000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69" name="AutoShape 1">
          <a:extLst>
            <a:ext uri="{FF2B5EF4-FFF2-40B4-BE49-F238E27FC236}">
              <a16:creationId xmlns:a16="http://schemas.microsoft.com/office/drawing/2014/main" id="{00000000-0008-0000-0F00-000001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0" name="AutoShape 1">
          <a:extLst>
            <a:ext uri="{FF2B5EF4-FFF2-40B4-BE49-F238E27FC236}">
              <a16:creationId xmlns:a16="http://schemas.microsoft.com/office/drawing/2014/main" id="{00000000-0008-0000-0F00-000002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1" name="AutoShape 1">
          <a:extLst>
            <a:ext uri="{FF2B5EF4-FFF2-40B4-BE49-F238E27FC236}">
              <a16:creationId xmlns:a16="http://schemas.microsoft.com/office/drawing/2014/main" id="{00000000-0008-0000-0F00-000003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2" name="AutoShape 1">
          <a:extLst>
            <a:ext uri="{FF2B5EF4-FFF2-40B4-BE49-F238E27FC236}">
              <a16:creationId xmlns:a16="http://schemas.microsoft.com/office/drawing/2014/main" id="{00000000-0008-0000-0F00-000004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3" name="AutoShape 1">
          <a:extLst>
            <a:ext uri="{FF2B5EF4-FFF2-40B4-BE49-F238E27FC236}">
              <a16:creationId xmlns:a16="http://schemas.microsoft.com/office/drawing/2014/main" id="{00000000-0008-0000-0F00-000005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4" name="AutoShape 1">
          <a:extLst>
            <a:ext uri="{FF2B5EF4-FFF2-40B4-BE49-F238E27FC236}">
              <a16:creationId xmlns:a16="http://schemas.microsoft.com/office/drawing/2014/main" id="{00000000-0008-0000-0F00-000006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5" name="AutoShape 1">
          <a:extLst>
            <a:ext uri="{FF2B5EF4-FFF2-40B4-BE49-F238E27FC236}">
              <a16:creationId xmlns:a16="http://schemas.microsoft.com/office/drawing/2014/main" id="{00000000-0008-0000-0F00-000007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6" name="AutoShape 1">
          <a:extLst>
            <a:ext uri="{FF2B5EF4-FFF2-40B4-BE49-F238E27FC236}">
              <a16:creationId xmlns:a16="http://schemas.microsoft.com/office/drawing/2014/main" id="{00000000-0008-0000-0F00-000008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7" name="AutoShape 1">
          <a:extLst>
            <a:ext uri="{FF2B5EF4-FFF2-40B4-BE49-F238E27FC236}">
              <a16:creationId xmlns:a16="http://schemas.microsoft.com/office/drawing/2014/main" id="{00000000-0008-0000-0F00-000009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8" name="AutoShape 1">
          <a:extLst>
            <a:ext uri="{FF2B5EF4-FFF2-40B4-BE49-F238E27FC236}">
              <a16:creationId xmlns:a16="http://schemas.microsoft.com/office/drawing/2014/main" id="{00000000-0008-0000-0F00-00000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79" name="AutoShape 1">
          <a:extLst>
            <a:ext uri="{FF2B5EF4-FFF2-40B4-BE49-F238E27FC236}">
              <a16:creationId xmlns:a16="http://schemas.microsoft.com/office/drawing/2014/main" id="{00000000-0008-0000-0F00-00000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0" name="AutoShape 1">
          <a:extLst>
            <a:ext uri="{FF2B5EF4-FFF2-40B4-BE49-F238E27FC236}">
              <a16:creationId xmlns:a16="http://schemas.microsoft.com/office/drawing/2014/main" id="{00000000-0008-0000-0F00-00000C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1" name="AutoShape 1">
          <a:extLst>
            <a:ext uri="{FF2B5EF4-FFF2-40B4-BE49-F238E27FC236}">
              <a16:creationId xmlns:a16="http://schemas.microsoft.com/office/drawing/2014/main" id="{00000000-0008-0000-0F00-00000D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2" name="AutoShape 1">
          <a:extLst>
            <a:ext uri="{FF2B5EF4-FFF2-40B4-BE49-F238E27FC236}">
              <a16:creationId xmlns:a16="http://schemas.microsoft.com/office/drawing/2014/main" id="{00000000-0008-0000-0F00-00000E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3" name="AutoShape 1">
          <a:extLst>
            <a:ext uri="{FF2B5EF4-FFF2-40B4-BE49-F238E27FC236}">
              <a16:creationId xmlns:a16="http://schemas.microsoft.com/office/drawing/2014/main" id="{00000000-0008-0000-0F00-00000F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4" name="AutoShape 1">
          <a:extLst>
            <a:ext uri="{FF2B5EF4-FFF2-40B4-BE49-F238E27FC236}">
              <a16:creationId xmlns:a16="http://schemas.microsoft.com/office/drawing/2014/main" id="{00000000-0008-0000-0F00-00001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5" name="AutoShape 1">
          <a:extLst>
            <a:ext uri="{FF2B5EF4-FFF2-40B4-BE49-F238E27FC236}">
              <a16:creationId xmlns:a16="http://schemas.microsoft.com/office/drawing/2014/main" id="{00000000-0008-0000-0F00-00001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6" name="AutoShape 1">
          <a:extLst>
            <a:ext uri="{FF2B5EF4-FFF2-40B4-BE49-F238E27FC236}">
              <a16:creationId xmlns:a16="http://schemas.microsoft.com/office/drawing/2014/main" id="{00000000-0008-0000-0F00-00001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7" name="AutoShape 1">
          <a:extLst>
            <a:ext uri="{FF2B5EF4-FFF2-40B4-BE49-F238E27FC236}">
              <a16:creationId xmlns:a16="http://schemas.microsoft.com/office/drawing/2014/main" id="{00000000-0008-0000-0F00-00001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8" name="AutoShape 1">
          <a:extLst>
            <a:ext uri="{FF2B5EF4-FFF2-40B4-BE49-F238E27FC236}">
              <a16:creationId xmlns:a16="http://schemas.microsoft.com/office/drawing/2014/main" id="{00000000-0008-0000-0F00-00001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89" name="AutoShape 1">
          <a:extLst>
            <a:ext uri="{FF2B5EF4-FFF2-40B4-BE49-F238E27FC236}">
              <a16:creationId xmlns:a16="http://schemas.microsoft.com/office/drawing/2014/main" id="{00000000-0008-0000-0F00-00001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0" name="AutoShape 1">
          <a:extLst>
            <a:ext uri="{FF2B5EF4-FFF2-40B4-BE49-F238E27FC236}">
              <a16:creationId xmlns:a16="http://schemas.microsoft.com/office/drawing/2014/main" id="{00000000-0008-0000-0F00-00001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1" name="AutoShape 1">
          <a:extLst>
            <a:ext uri="{FF2B5EF4-FFF2-40B4-BE49-F238E27FC236}">
              <a16:creationId xmlns:a16="http://schemas.microsoft.com/office/drawing/2014/main" id="{00000000-0008-0000-0F00-00001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2" name="AutoShape 1">
          <a:extLst>
            <a:ext uri="{FF2B5EF4-FFF2-40B4-BE49-F238E27FC236}">
              <a16:creationId xmlns:a16="http://schemas.microsoft.com/office/drawing/2014/main" id="{00000000-0008-0000-0F00-00001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3" name="AutoShape 1">
          <a:extLst>
            <a:ext uri="{FF2B5EF4-FFF2-40B4-BE49-F238E27FC236}">
              <a16:creationId xmlns:a16="http://schemas.microsoft.com/office/drawing/2014/main" id="{00000000-0008-0000-0F00-00001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4" name="AutoShape 1">
          <a:extLst>
            <a:ext uri="{FF2B5EF4-FFF2-40B4-BE49-F238E27FC236}">
              <a16:creationId xmlns:a16="http://schemas.microsoft.com/office/drawing/2014/main" id="{00000000-0008-0000-0F00-00001A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5" name="AutoShape 1">
          <a:extLst>
            <a:ext uri="{FF2B5EF4-FFF2-40B4-BE49-F238E27FC236}">
              <a16:creationId xmlns:a16="http://schemas.microsoft.com/office/drawing/2014/main" id="{00000000-0008-0000-0F00-00001B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6" name="AutoShape 1">
          <a:extLst>
            <a:ext uri="{FF2B5EF4-FFF2-40B4-BE49-F238E27FC236}">
              <a16:creationId xmlns:a16="http://schemas.microsoft.com/office/drawing/2014/main" id="{00000000-0008-0000-0F00-00001C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7" name="AutoShape 1">
          <a:extLst>
            <a:ext uri="{FF2B5EF4-FFF2-40B4-BE49-F238E27FC236}">
              <a16:creationId xmlns:a16="http://schemas.microsoft.com/office/drawing/2014/main" id="{00000000-0008-0000-0F00-00001D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8" name="AutoShape 1">
          <a:extLst>
            <a:ext uri="{FF2B5EF4-FFF2-40B4-BE49-F238E27FC236}">
              <a16:creationId xmlns:a16="http://schemas.microsoft.com/office/drawing/2014/main" id="{00000000-0008-0000-0F00-00001E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199" name="AutoShape 1">
          <a:extLst>
            <a:ext uri="{FF2B5EF4-FFF2-40B4-BE49-F238E27FC236}">
              <a16:creationId xmlns:a16="http://schemas.microsoft.com/office/drawing/2014/main" id="{00000000-0008-0000-0F00-00001F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0" name="AutoShape 1">
          <a:extLst>
            <a:ext uri="{FF2B5EF4-FFF2-40B4-BE49-F238E27FC236}">
              <a16:creationId xmlns:a16="http://schemas.microsoft.com/office/drawing/2014/main" id="{00000000-0008-0000-0F00-000020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1" name="AutoShape 1">
          <a:extLst>
            <a:ext uri="{FF2B5EF4-FFF2-40B4-BE49-F238E27FC236}">
              <a16:creationId xmlns:a16="http://schemas.microsoft.com/office/drawing/2014/main" id="{00000000-0008-0000-0F00-000021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2" name="AutoShape 1">
          <a:extLst>
            <a:ext uri="{FF2B5EF4-FFF2-40B4-BE49-F238E27FC236}">
              <a16:creationId xmlns:a16="http://schemas.microsoft.com/office/drawing/2014/main" id="{00000000-0008-0000-0F00-000022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3" name="AutoShape 1">
          <a:extLst>
            <a:ext uri="{FF2B5EF4-FFF2-40B4-BE49-F238E27FC236}">
              <a16:creationId xmlns:a16="http://schemas.microsoft.com/office/drawing/2014/main" id="{00000000-0008-0000-0F00-000023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4" name="AutoShape 1">
          <a:extLst>
            <a:ext uri="{FF2B5EF4-FFF2-40B4-BE49-F238E27FC236}">
              <a16:creationId xmlns:a16="http://schemas.microsoft.com/office/drawing/2014/main" id="{00000000-0008-0000-0F00-000024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5" name="AutoShape 1">
          <a:extLst>
            <a:ext uri="{FF2B5EF4-FFF2-40B4-BE49-F238E27FC236}">
              <a16:creationId xmlns:a16="http://schemas.microsoft.com/office/drawing/2014/main" id="{00000000-0008-0000-0F00-000025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6" name="AutoShape 1">
          <a:extLst>
            <a:ext uri="{FF2B5EF4-FFF2-40B4-BE49-F238E27FC236}">
              <a16:creationId xmlns:a16="http://schemas.microsoft.com/office/drawing/2014/main" id="{00000000-0008-0000-0F00-000026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7" name="AutoShape 1">
          <a:extLst>
            <a:ext uri="{FF2B5EF4-FFF2-40B4-BE49-F238E27FC236}">
              <a16:creationId xmlns:a16="http://schemas.microsoft.com/office/drawing/2014/main" id="{00000000-0008-0000-0F00-000027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8" name="AutoShape 1">
          <a:extLst>
            <a:ext uri="{FF2B5EF4-FFF2-40B4-BE49-F238E27FC236}">
              <a16:creationId xmlns:a16="http://schemas.microsoft.com/office/drawing/2014/main" id="{00000000-0008-0000-0F00-000028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09" name="AutoShape 1">
          <a:extLst>
            <a:ext uri="{FF2B5EF4-FFF2-40B4-BE49-F238E27FC236}">
              <a16:creationId xmlns:a16="http://schemas.microsoft.com/office/drawing/2014/main" id="{00000000-0008-0000-0F00-000029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0" name="AutoShape 1">
          <a:extLst>
            <a:ext uri="{FF2B5EF4-FFF2-40B4-BE49-F238E27FC236}">
              <a16:creationId xmlns:a16="http://schemas.microsoft.com/office/drawing/2014/main" id="{00000000-0008-0000-0F00-00002A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1" name="AutoShape 1">
          <a:extLst>
            <a:ext uri="{FF2B5EF4-FFF2-40B4-BE49-F238E27FC236}">
              <a16:creationId xmlns:a16="http://schemas.microsoft.com/office/drawing/2014/main" id="{00000000-0008-0000-0F00-00002B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2" name="AutoShape 1">
          <a:extLst>
            <a:ext uri="{FF2B5EF4-FFF2-40B4-BE49-F238E27FC236}">
              <a16:creationId xmlns:a16="http://schemas.microsoft.com/office/drawing/2014/main" id="{00000000-0008-0000-0F00-00002C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3" name="AutoShape 1">
          <a:extLst>
            <a:ext uri="{FF2B5EF4-FFF2-40B4-BE49-F238E27FC236}">
              <a16:creationId xmlns:a16="http://schemas.microsoft.com/office/drawing/2014/main" id="{00000000-0008-0000-0F00-00002D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4" name="AutoShape 1">
          <a:extLst>
            <a:ext uri="{FF2B5EF4-FFF2-40B4-BE49-F238E27FC236}">
              <a16:creationId xmlns:a16="http://schemas.microsoft.com/office/drawing/2014/main" id="{00000000-0008-0000-0F00-00002E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5" name="AutoShape 1">
          <a:extLst>
            <a:ext uri="{FF2B5EF4-FFF2-40B4-BE49-F238E27FC236}">
              <a16:creationId xmlns:a16="http://schemas.microsoft.com/office/drawing/2014/main" id="{00000000-0008-0000-0F00-00002F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6" name="AutoShape 1">
          <a:extLst>
            <a:ext uri="{FF2B5EF4-FFF2-40B4-BE49-F238E27FC236}">
              <a16:creationId xmlns:a16="http://schemas.microsoft.com/office/drawing/2014/main" id="{00000000-0008-0000-0F00-000030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7" name="AutoShape 1">
          <a:extLst>
            <a:ext uri="{FF2B5EF4-FFF2-40B4-BE49-F238E27FC236}">
              <a16:creationId xmlns:a16="http://schemas.microsoft.com/office/drawing/2014/main" id="{00000000-0008-0000-0F00-000031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8" name="AutoShape 1">
          <a:extLst>
            <a:ext uri="{FF2B5EF4-FFF2-40B4-BE49-F238E27FC236}">
              <a16:creationId xmlns:a16="http://schemas.microsoft.com/office/drawing/2014/main" id="{00000000-0008-0000-0F00-000032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19" name="AutoShape 1">
          <a:extLst>
            <a:ext uri="{FF2B5EF4-FFF2-40B4-BE49-F238E27FC236}">
              <a16:creationId xmlns:a16="http://schemas.microsoft.com/office/drawing/2014/main" id="{00000000-0008-0000-0F00-000033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0" name="AutoShape 1">
          <a:extLst>
            <a:ext uri="{FF2B5EF4-FFF2-40B4-BE49-F238E27FC236}">
              <a16:creationId xmlns:a16="http://schemas.microsoft.com/office/drawing/2014/main" id="{00000000-0008-0000-0F00-000034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1" name="AutoShape 1">
          <a:extLst>
            <a:ext uri="{FF2B5EF4-FFF2-40B4-BE49-F238E27FC236}">
              <a16:creationId xmlns:a16="http://schemas.microsoft.com/office/drawing/2014/main" id="{00000000-0008-0000-0F00-0000351C0000}"/>
            </a:ext>
          </a:extLst>
        </xdr:cNvPr>
        <xdr:cNvSpPr>
          <a:spLocks noChangeAspect="1" noChangeArrowheads="1"/>
        </xdr:cNvSpPr>
      </xdr:nvSpPr>
      <xdr:spPr bwMode="auto">
        <a:xfrm>
          <a:off x="977900" y="7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2" name="AutoShape 1">
          <a:extLst>
            <a:ext uri="{FF2B5EF4-FFF2-40B4-BE49-F238E27FC236}">
              <a16:creationId xmlns:a16="http://schemas.microsoft.com/office/drawing/2014/main" id="{00000000-0008-0000-0F00-00003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3" name="AutoShape 1">
          <a:extLst>
            <a:ext uri="{FF2B5EF4-FFF2-40B4-BE49-F238E27FC236}">
              <a16:creationId xmlns:a16="http://schemas.microsoft.com/office/drawing/2014/main" id="{00000000-0008-0000-0F00-00003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4" name="AutoShape 1">
          <a:extLst>
            <a:ext uri="{FF2B5EF4-FFF2-40B4-BE49-F238E27FC236}">
              <a16:creationId xmlns:a16="http://schemas.microsoft.com/office/drawing/2014/main" id="{00000000-0008-0000-0F00-00003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5" name="AutoShape 1">
          <a:extLst>
            <a:ext uri="{FF2B5EF4-FFF2-40B4-BE49-F238E27FC236}">
              <a16:creationId xmlns:a16="http://schemas.microsoft.com/office/drawing/2014/main" id="{00000000-0008-0000-0F00-00003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6" name="AutoShape 1">
          <a:extLst>
            <a:ext uri="{FF2B5EF4-FFF2-40B4-BE49-F238E27FC236}">
              <a16:creationId xmlns:a16="http://schemas.microsoft.com/office/drawing/2014/main" id="{00000000-0008-0000-0F00-00003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7" name="AutoShape 1">
          <a:extLst>
            <a:ext uri="{FF2B5EF4-FFF2-40B4-BE49-F238E27FC236}">
              <a16:creationId xmlns:a16="http://schemas.microsoft.com/office/drawing/2014/main" id="{00000000-0008-0000-0F00-00003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8" name="AutoShape 1">
          <a:extLst>
            <a:ext uri="{FF2B5EF4-FFF2-40B4-BE49-F238E27FC236}">
              <a16:creationId xmlns:a16="http://schemas.microsoft.com/office/drawing/2014/main" id="{00000000-0008-0000-0F00-00003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29" name="AutoShape 1">
          <a:extLst>
            <a:ext uri="{FF2B5EF4-FFF2-40B4-BE49-F238E27FC236}">
              <a16:creationId xmlns:a16="http://schemas.microsoft.com/office/drawing/2014/main" id="{00000000-0008-0000-0F00-00003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0" name="AutoShape 1">
          <a:extLst>
            <a:ext uri="{FF2B5EF4-FFF2-40B4-BE49-F238E27FC236}">
              <a16:creationId xmlns:a16="http://schemas.microsoft.com/office/drawing/2014/main" id="{00000000-0008-0000-0F00-00003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1" name="AutoShape 1">
          <a:extLst>
            <a:ext uri="{FF2B5EF4-FFF2-40B4-BE49-F238E27FC236}">
              <a16:creationId xmlns:a16="http://schemas.microsoft.com/office/drawing/2014/main" id="{00000000-0008-0000-0F00-00003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2" name="AutoShape 1">
          <a:extLst>
            <a:ext uri="{FF2B5EF4-FFF2-40B4-BE49-F238E27FC236}">
              <a16:creationId xmlns:a16="http://schemas.microsoft.com/office/drawing/2014/main" id="{00000000-0008-0000-0F00-00004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3" name="AutoShape 1">
          <a:extLst>
            <a:ext uri="{FF2B5EF4-FFF2-40B4-BE49-F238E27FC236}">
              <a16:creationId xmlns:a16="http://schemas.microsoft.com/office/drawing/2014/main" id="{00000000-0008-0000-0F00-00004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4" name="AutoShape 1">
          <a:extLst>
            <a:ext uri="{FF2B5EF4-FFF2-40B4-BE49-F238E27FC236}">
              <a16:creationId xmlns:a16="http://schemas.microsoft.com/office/drawing/2014/main" id="{00000000-0008-0000-0F00-00004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5" name="AutoShape 1">
          <a:extLst>
            <a:ext uri="{FF2B5EF4-FFF2-40B4-BE49-F238E27FC236}">
              <a16:creationId xmlns:a16="http://schemas.microsoft.com/office/drawing/2014/main" id="{00000000-0008-0000-0F00-00004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6" name="AutoShape 1">
          <a:extLst>
            <a:ext uri="{FF2B5EF4-FFF2-40B4-BE49-F238E27FC236}">
              <a16:creationId xmlns:a16="http://schemas.microsoft.com/office/drawing/2014/main" id="{00000000-0008-0000-0F00-00004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7" name="AutoShape 1">
          <a:extLst>
            <a:ext uri="{FF2B5EF4-FFF2-40B4-BE49-F238E27FC236}">
              <a16:creationId xmlns:a16="http://schemas.microsoft.com/office/drawing/2014/main" id="{00000000-0008-0000-0F00-00004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8" name="AutoShape 1">
          <a:extLst>
            <a:ext uri="{FF2B5EF4-FFF2-40B4-BE49-F238E27FC236}">
              <a16:creationId xmlns:a16="http://schemas.microsoft.com/office/drawing/2014/main" id="{00000000-0008-0000-0F00-00004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39" name="AutoShape 1">
          <a:extLst>
            <a:ext uri="{FF2B5EF4-FFF2-40B4-BE49-F238E27FC236}">
              <a16:creationId xmlns:a16="http://schemas.microsoft.com/office/drawing/2014/main" id="{00000000-0008-0000-0F00-00004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0" name="AutoShape 1">
          <a:extLst>
            <a:ext uri="{FF2B5EF4-FFF2-40B4-BE49-F238E27FC236}">
              <a16:creationId xmlns:a16="http://schemas.microsoft.com/office/drawing/2014/main" id="{00000000-0008-0000-0F00-00004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1" name="AutoShape 1">
          <a:extLst>
            <a:ext uri="{FF2B5EF4-FFF2-40B4-BE49-F238E27FC236}">
              <a16:creationId xmlns:a16="http://schemas.microsoft.com/office/drawing/2014/main" id="{00000000-0008-0000-0F00-00004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2" name="AutoShape 1">
          <a:extLst>
            <a:ext uri="{FF2B5EF4-FFF2-40B4-BE49-F238E27FC236}">
              <a16:creationId xmlns:a16="http://schemas.microsoft.com/office/drawing/2014/main" id="{00000000-0008-0000-0F00-00004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3" name="AutoShape 1">
          <a:extLst>
            <a:ext uri="{FF2B5EF4-FFF2-40B4-BE49-F238E27FC236}">
              <a16:creationId xmlns:a16="http://schemas.microsoft.com/office/drawing/2014/main" id="{00000000-0008-0000-0F00-00004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4" name="AutoShape 1">
          <a:extLst>
            <a:ext uri="{FF2B5EF4-FFF2-40B4-BE49-F238E27FC236}">
              <a16:creationId xmlns:a16="http://schemas.microsoft.com/office/drawing/2014/main" id="{00000000-0008-0000-0F00-00004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5" name="AutoShape 1">
          <a:extLst>
            <a:ext uri="{FF2B5EF4-FFF2-40B4-BE49-F238E27FC236}">
              <a16:creationId xmlns:a16="http://schemas.microsoft.com/office/drawing/2014/main" id="{00000000-0008-0000-0F00-00004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6" name="AutoShape 1">
          <a:extLst>
            <a:ext uri="{FF2B5EF4-FFF2-40B4-BE49-F238E27FC236}">
              <a16:creationId xmlns:a16="http://schemas.microsoft.com/office/drawing/2014/main" id="{00000000-0008-0000-0F00-00004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7" name="AutoShape 1">
          <a:extLst>
            <a:ext uri="{FF2B5EF4-FFF2-40B4-BE49-F238E27FC236}">
              <a16:creationId xmlns:a16="http://schemas.microsoft.com/office/drawing/2014/main" id="{00000000-0008-0000-0F00-00004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8" name="AutoShape 1">
          <a:extLst>
            <a:ext uri="{FF2B5EF4-FFF2-40B4-BE49-F238E27FC236}">
              <a16:creationId xmlns:a16="http://schemas.microsoft.com/office/drawing/2014/main" id="{00000000-0008-0000-0F00-00005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49" name="AutoShape 1">
          <a:extLst>
            <a:ext uri="{FF2B5EF4-FFF2-40B4-BE49-F238E27FC236}">
              <a16:creationId xmlns:a16="http://schemas.microsoft.com/office/drawing/2014/main" id="{00000000-0008-0000-0F00-00005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0" name="AutoShape 1">
          <a:extLst>
            <a:ext uri="{FF2B5EF4-FFF2-40B4-BE49-F238E27FC236}">
              <a16:creationId xmlns:a16="http://schemas.microsoft.com/office/drawing/2014/main" id="{00000000-0008-0000-0F00-00005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1" name="AutoShape 1">
          <a:extLst>
            <a:ext uri="{FF2B5EF4-FFF2-40B4-BE49-F238E27FC236}">
              <a16:creationId xmlns:a16="http://schemas.microsoft.com/office/drawing/2014/main" id="{00000000-0008-0000-0F00-00005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2" name="AutoShape 1">
          <a:extLst>
            <a:ext uri="{FF2B5EF4-FFF2-40B4-BE49-F238E27FC236}">
              <a16:creationId xmlns:a16="http://schemas.microsoft.com/office/drawing/2014/main" id="{00000000-0008-0000-0F00-00005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3" name="AutoShape 1">
          <a:extLst>
            <a:ext uri="{FF2B5EF4-FFF2-40B4-BE49-F238E27FC236}">
              <a16:creationId xmlns:a16="http://schemas.microsoft.com/office/drawing/2014/main" id="{00000000-0008-0000-0F00-00005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4" name="AutoShape 1">
          <a:extLst>
            <a:ext uri="{FF2B5EF4-FFF2-40B4-BE49-F238E27FC236}">
              <a16:creationId xmlns:a16="http://schemas.microsoft.com/office/drawing/2014/main" id="{00000000-0008-0000-0F00-00005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5" name="AutoShape 1">
          <a:extLst>
            <a:ext uri="{FF2B5EF4-FFF2-40B4-BE49-F238E27FC236}">
              <a16:creationId xmlns:a16="http://schemas.microsoft.com/office/drawing/2014/main" id="{00000000-0008-0000-0F00-00005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6" name="AutoShape 1">
          <a:extLst>
            <a:ext uri="{FF2B5EF4-FFF2-40B4-BE49-F238E27FC236}">
              <a16:creationId xmlns:a16="http://schemas.microsoft.com/office/drawing/2014/main" id="{00000000-0008-0000-0F00-00005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7" name="AutoShape 1">
          <a:extLst>
            <a:ext uri="{FF2B5EF4-FFF2-40B4-BE49-F238E27FC236}">
              <a16:creationId xmlns:a16="http://schemas.microsoft.com/office/drawing/2014/main" id="{00000000-0008-0000-0F00-00005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8" name="AutoShape 1">
          <a:extLst>
            <a:ext uri="{FF2B5EF4-FFF2-40B4-BE49-F238E27FC236}">
              <a16:creationId xmlns:a16="http://schemas.microsoft.com/office/drawing/2014/main" id="{00000000-0008-0000-0F00-00005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59" name="AutoShape 1">
          <a:extLst>
            <a:ext uri="{FF2B5EF4-FFF2-40B4-BE49-F238E27FC236}">
              <a16:creationId xmlns:a16="http://schemas.microsoft.com/office/drawing/2014/main" id="{00000000-0008-0000-0F00-00005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0" name="AutoShape 1">
          <a:extLst>
            <a:ext uri="{FF2B5EF4-FFF2-40B4-BE49-F238E27FC236}">
              <a16:creationId xmlns:a16="http://schemas.microsoft.com/office/drawing/2014/main" id="{00000000-0008-0000-0F00-00005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1" name="AutoShape 1">
          <a:extLst>
            <a:ext uri="{FF2B5EF4-FFF2-40B4-BE49-F238E27FC236}">
              <a16:creationId xmlns:a16="http://schemas.microsoft.com/office/drawing/2014/main" id="{00000000-0008-0000-0F00-00005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2" name="AutoShape 1">
          <a:extLst>
            <a:ext uri="{FF2B5EF4-FFF2-40B4-BE49-F238E27FC236}">
              <a16:creationId xmlns:a16="http://schemas.microsoft.com/office/drawing/2014/main" id="{00000000-0008-0000-0F00-00005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3" name="AutoShape 1">
          <a:extLst>
            <a:ext uri="{FF2B5EF4-FFF2-40B4-BE49-F238E27FC236}">
              <a16:creationId xmlns:a16="http://schemas.microsoft.com/office/drawing/2014/main" id="{00000000-0008-0000-0F00-00005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4" name="AutoShape 1">
          <a:extLst>
            <a:ext uri="{FF2B5EF4-FFF2-40B4-BE49-F238E27FC236}">
              <a16:creationId xmlns:a16="http://schemas.microsoft.com/office/drawing/2014/main" id="{00000000-0008-0000-0F00-00006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5" name="AutoShape 1">
          <a:extLst>
            <a:ext uri="{FF2B5EF4-FFF2-40B4-BE49-F238E27FC236}">
              <a16:creationId xmlns:a16="http://schemas.microsoft.com/office/drawing/2014/main" id="{00000000-0008-0000-0F00-00006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6" name="AutoShape 1">
          <a:extLst>
            <a:ext uri="{FF2B5EF4-FFF2-40B4-BE49-F238E27FC236}">
              <a16:creationId xmlns:a16="http://schemas.microsoft.com/office/drawing/2014/main" id="{00000000-0008-0000-0F00-00006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7" name="AutoShape 1">
          <a:extLst>
            <a:ext uri="{FF2B5EF4-FFF2-40B4-BE49-F238E27FC236}">
              <a16:creationId xmlns:a16="http://schemas.microsoft.com/office/drawing/2014/main" id="{00000000-0008-0000-0F00-00006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8" name="AutoShape 1">
          <a:extLst>
            <a:ext uri="{FF2B5EF4-FFF2-40B4-BE49-F238E27FC236}">
              <a16:creationId xmlns:a16="http://schemas.microsoft.com/office/drawing/2014/main" id="{00000000-0008-0000-0F00-00006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69" name="AutoShape 1">
          <a:extLst>
            <a:ext uri="{FF2B5EF4-FFF2-40B4-BE49-F238E27FC236}">
              <a16:creationId xmlns:a16="http://schemas.microsoft.com/office/drawing/2014/main" id="{00000000-0008-0000-0F00-00006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0" name="AutoShape 1">
          <a:extLst>
            <a:ext uri="{FF2B5EF4-FFF2-40B4-BE49-F238E27FC236}">
              <a16:creationId xmlns:a16="http://schemas.microsoft.com/office/drawing/2014/main" id="{00000000-0008-0000-0F00-00006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1" name="AutoShape 1">
          <a:extLst>
            <a:ext uri="{FF2B5EF4-FFF2-40B4-BE49-F238E27FC236}">
              <a16:creationId xmlns:a16="http://schemas.microsoft.com/office/drawing/2014/main" id="{00000000-0008-0000-0F00-00006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2" name="AutoShape 1">
          <a:extLst>
            <a:ext uri="{FF2B5EF4-FFF2-40B4-BE49-F238E27FC236}">
              <a16:creationId xmlns:a16="http://schemas.microsoft.com/office/drawing/2014/main" id="{00000000-0008-0000-0F00-00006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3" name="AutoShape 1">
          <a:extLst>
            <a:ext uri="{FF2B5EF4-FFF2-40B4-BE49-F238E27FC236}">
              <a16:creationId xmlns:a16="http://schemas.microsoft.com/office/drawing/2014/main" id="{00000000-0008-0000-0F00-00006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4" name="AutoShape 1">
          <a:extLst>
            <a:ext uri="{FF2B5EF4-FFF2-40B4-BE49-F238E27FC236}">
              <a16:creationId xmlns:a16="http://schemas.microsoft.com/office/drawing/2014/main" id="{00000000-0008-0000-0F00-00006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5" name="AutoShape 1">
          <a:extLst>
            <a:ext uri="{FF2B5EF4-FFF2-40B4-BE49-F238E27FC236}">
              <a16:creationId xmlns:a16="http://schemas.microsoft.com/office/drawing/2014/main" id="{00000000-0008-0000-0F00-00006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6" name="AutoShape 1">
          <a:extLst>
            <a:ext uri="{FF2B5EF4-FFF2-40B4-BE49-F238E27FC236}">
              <a16:creationId xmlns:a16="http://schemas.microsoft.com/office/drawing/2014/main" id="{00000000-0008-0000-0F00-00006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7" name="AutoShape 1">
          <a:extLst>
            <a:ext uri="{FF2B5EF4-FFF2-40B4-BE49-F238E27FC236}">
              <a16:creationId xmlns:a16="http://schemas.microsoft.com/office/drawing/2014/main" id="{00000000-0008-0000-0F00-00006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8" name="AutoShape 1">
          <a:extLst>
            <a:ext uri="{FF2B5EF4-FFF2-40B4-BE49-F238E27FC236}">
              <a16:creationId xmlns:a16="http://schemas.microsoft.com/office/drawing/2014/main" id="{00000000-0008-0000-0F00-00006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79" name="AutoShape 1">
          <a:extLst>
            <a:ext uri="{FF2B5EF4-FFF2-40B4-BE49-F238E27FC236}">
              <a16:creationId xmlns:a16="http://schemas.microsoft.com/office/drawing/2014/main" id="{00000000-0008-0000-0F00-00006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0" name="AutoShape 1">
          <a:extLst>
            <a:ext uri="{FF2B5EF4-FFF2-40B4-BE49-F238E27FC236}">
              <a16:creationId xmlns:a16="http://schemas.microsoft.com/office/drawing/2014/main" id="{00000000-0008-0000-0F00-00007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1" name="AutoShape 1">
          <a:extLst>
            <a:ext uri="{FF2B5EF4-FFF2-40B4-BE49-F238E27FC236}">
              <a16:creationId xmlns:a16="http://schemas.microsoft.com/office/drawing/2014/main" id="{00000000-0008-0000-0F00-00007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2" name="AutoShape 1">
          <a:extLst>
            <a:ext uri="{FF2B5EF4-FFF2-40B4-BE49-F238E27FC236}">
              <a16:creationId xmlns:a16="http://schemas.microsoft.com/office/drawing/2014/main" id="{00000000-0008-0000-0F00-00007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3" name="AutoShape 1">
          <a:extLst>
            <a:ext uri="{FF2B5EF4-FFF2-40B4-BE49-F238E27FC236}">
              <a16:creationId xmlns:a16="http://schemas.microsoft.com/office/drawing/2014/main" id="{00000000-0008-0000-0F00-00007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4" name="AutoShape 1">
          <a:extLst>
            <a:ext uri="{FF2B5EF4-FFF2-40B4-BE49-F238E27FC236}">
              <a16:creationId xmlns:a16="http://schemas.microsoft.com/office/drawing/2014/main" id="{00000000-0008-0000-0F00-00007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5" name="AutoShape 1">
          <a:extLst>
            <a:ext uri="{FF2B5EF4-FFF2-40B4-BE49-F238E27FC236}">
              <a16:creationId xmlns:a16="http://schemas.microsoft.com/office/drawing/2014/main" id="{00000000-0008-0000-0F00-00007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6" name="AutoShape 1">
          <a:extLst>
            <a:ext uri="{FF2B5EF4-FFF2-40B4-BE49-F238E27FC236}">
              <a16:creationId xmlns:a16="http://schemas.microsoft.com/office/drawing/2014/main" id="{00000000-0008-0000-0F00-00007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7" name="AutoShape 1">
          <a:extLst>
            <a:ext uri="{FF2B5EF4-FFF2-40B4-BE49-F238E27FC236}">
              <a16:creationId xmlns:a16="http://schemas.microsoft.com/office/drawing/2014/main" id="{00000000-0008-0000-0F00-00007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8" name="AutoShape 1">
          <a:extLst>
            <a:ext uri="{FF2B5EF4-FFF2-40B4-BE49-F238E27FC236}">
              <a16:creationId xmlns:a16="http://schemas.microsoft.com/office/drawing/2014/main" id="{00000000-0008-0000-0F00-00007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89" name="AutoShape 1">
          <a:extLst>
            <a:ext uri="{FF2B5EF4-FFF2-40B4-BE49-F238E27FC236}">
              <a16:creationId xmlns:a16="http://schemas.microsoft.com/office/drawing/2014/main" id="{00000000-0008-0000-0F00-00007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0" name="AutoShape 1">
          <a:extLst>
            <a:ext uri="{FF2B5EF4-FFF2-40B4-BE49-F238E27FC236}">
              <a16:creationId xmlns:a16="http://schemas.microsoft.com/office/drawing/2014/main" id="{00000000-0008-0000-0F00-00007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1" name="AutoShape 1">
          <a:extLst>
            <a:ext uri="{FF2B5EF4-FFF2-40B4-BE49-F238E27FC236}">
              <a16:creationId xmlns:a16="http://schemas.microsoft.com/office/drawing/2014/main" id="{00000000-0008-0000-0F00-00007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2" name="AutoShape 1">
          <a:extLst>
            <a:ext uri="{FF2B5EF4-FFF2-40B4-BE49-F238E27FC236}">
              <a16:creationId xmlns:a16="http://schemas.microsoft.com/office/drawing/2014/main" id="{00000000-0008-0000-0F00-00007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3" name="AutoShape 1">
          <a:extLst>
            <a:ext uri="{FF2B5EF4-FFF2-40B4-BE49-F238E27FC236}">
              <a16:creationId xmlns:a16="http://schemas.microsoft.com/office/drawing/2014/main" id="{00000000-0008-0000-0F00-00007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4" name="AutoShape 1">
          <a:extLst>
            <a:ext uri="{FF2B5EF4-FFF2-40B4-BE49-F238E27FC236}">
              <a16:creationId xmlns:a16="http://schemas.microsoft.com/office/drawing/2014/main" id="{00000000-0008-0000-0F00-00007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5" name="AutoShape 1">
          <a:extLst>
            <a:ext uri="{FF2B5EF4-FFF2-40B4-BE49-F238E27FC236}">
              <a16:creationId xmlns:a16="http://schemas.microsoft.com/office/drawing/2014/main" id="{00000000-0008-0000-0F00-00007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6" name="AutoShape 1">
          <a:extLst>
            <a:ext uri="{FF2B5EF4-FFF2-40B4-BE49-F238E27FC236}">
              <a16:creationId xmlns:a16="http://schemas.microsoft.com/office/drawing/2014/main" id="{00000000-0008-0000-0F00-00008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7" name="AutoShape 1">
          <a:extLst>
            <a:ext uri="{FF2B5EF4-FFF2-40B4-BE49-F238E27FC236}">
              <a16:creationId xmlns:a16="http://schemas.microsoft.com/office/drawing/2014/main" id="{00000000-0008-0000-0F00-00008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8" name="AutoShape 1">
          <a:extLst>
            <a:ext uri="{FF2B5EF4-FFF2-40B4-BE49-F238E27FC236}">
              <a16:creationId xmlns:a16="http://schemas.microsoft.com/office/drawing/2014/main" id="{00000000-0008-0000-0F00-00008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299" name="AutoShape 1">
          <a:extLst>
            <a:ext uri="{FF2B5EF4-FFF2-40B4-BE49-F238E27FC236}">
              <a16:creationId xmlns:a16="http://schemas.microsoft.com/office/drawing/2014/main" id="{00000000-0008-0000-0F00-00008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0" name="AutoShape 1">
          <a:extLst>
            <a:ext uri="{FF2B5EF4-FFF2-40B4-BE49-F238E27FC236}">
              <a16:creationId xmlns:a16="http://schemas.microsoft.com/office/drawing/2014/main" id="{00000000-0008-0000-0F00-00008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1" name="AutoShape 1">
          <a:extLst>
            <a:ext uri="{FF2B5EF4-FFF2-40B4-BE49-F238E27FC236}">
              <a16:creationId xmlns:a16="http://schemas.microsoft.com/office/drawing/2014/main" id="{00000000-0008-0000-0F00-00008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2" name="AutoShape 1">
          <a:extLst>
            <a:ext uri="{FF2B5EF4-FFF2-40B4-BE49-F238E27FC236}">
              <a16:creationId xmlns:a16="http://schemas.microsoft.com/office/drawing/2014/main" id="{00000000-0008-0000-0F00-00008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3" name="AutoShape 1">
          <a:extLst>
            <a:ext uri="{FF2B5EF4-FFF2-40B4-BE49-F238E27FC236}">
              <a16:creationId xmlns:a16="http://schemas.microsoft.com/office/drawing/2014/main" id="{00000000-0008-0000-0F00-00008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4" name="AutoShape 1">
          <a:extLst>
            <a:ext uri="{FF2B5EF4-FFF2-40B4-BE49-F238E27FC236}">
              <a16:creationId xmlns:a16="http://schemas.microsoft.com/office/drawing/2014/main" id="{00000000-0008-0000-0F00-00008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5" name="AutoShape 1">
          <a:extLst>
            <a:ext uri="{FF2B5EF4-FFF2-40B4-BE49-F238E27FC236}">
              <a16:creationId xmlns:a16="http://schemas.microsoft.com/office/drawing/2014/main" id="{00000000-0008-0000-0F00-00008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6" name="AutoShape 1">
          <a:extLst>
            <a:ext uri="{FF2B5EF4-FFF2-40B4-BE49-F238E27FC236}">
              <a16:creationId xmlns:a16="http://schemas.microsoft.com/office/drawing/2014/main" id="{00000000-0008-0000-0F00-00008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7" name="AutoShape 1">
          <a:extLst>
            <a:ext uri="{FF2B5EF4-FFF2-40B4-BE49-F238E27FC236}">
              <a16:creationId xmlns:a16="http://schemas.microsoft.com/office/drawing/2014/main" id="{00000000-0008-0000-0F00-00008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8" name="AutoShape 1">
          <a:extLst>
            <a:ext uri="{FF2B5EF4-FFF2-40B4-BE49-F238E27FC236}">
              <a16:creationId xmlns:a16="http://schemas.microsoft.com/office/drawing/2014/main" id="{00000000-0008-0000-0F00-00008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09" name="AutoShape 1">
          <a:extLst>
            <a:ext uri="{FF2B5EF4-FFF2-40B4-BE49-F238E27FC236}">
              <a16:creationId xmlns:a16="http://schemas.microsoft.com/office/drawing/2014/main" id="{00000000-0008-0000-0F00-00008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0" name="AutoShape 1">
          <a:extLst>
            <a:ext uri="{FF2B5EF4-FFF2-40B4-BE49-F238E27FC236}">
              <a16:creationId xmlns:a16="http://schemas.microsoft.com/office/drawing/2014/main" id="{00000000-0008-0000-0F00-00008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1" name="AutoShape 1">
          <a:extLst>
            <a:ext uri="{FF2B5EF4-FFF2-40B4-BE49-F238E27FC236}">
              <a16:creationId xmlns:a16="http://schemas.microsoft.com/office/drawing/2014/main" id="{00000000-0008-0000-0F00-00008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2" name="AutoShape 1">
          <a:extLst>
            <a:ext uri="{FF2B5EF4-FFF2-40B4-BE49-F238E27FC236}">
              <a16:creationId xmlns:a16="http://schemas.microsoft.com/office/drawing/2014/main" id="{00000000-0008-0000-0F00-00009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3" name="AutoShape 1">
          <a:extLst>
            <a:ext uri="{FF2B5EF4-FFF2-40B4-BE49-F238E27FC236}">
              <a16:creationId xmlns:a16="http://schemas.microsoft.com/office/drawing/2014/main" id="{00000000-0008-0000-0F00-00009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4" name="AutoShape 1">
          <a:extLst>
            <a:ext uri="{FF2B5EF4-FFF2-40B4-BE49-F238E27FC236}">
              <a16:creationId xmlns:a16="http://schemas.microsoft.com/office/drawing/2014/main" id="{00000000-0008-0000-0F00-00009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5" name="AutoShape 1">
          <a:extLst>
            <a:ext uri="{FF2B5EF4-FFF2-40B4-BE49-F238E27FC236}">
              <a16:creationId xmlns:a16="http://schemas.microsoft.com/office/drawing/2014/main" id="{00000000-0008-0000-0F00-00009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6" name="AutoShape 1">
          <a:extLst>
            <a:ext uri="{FF2B5EF4-FFF2-40B4-BE49-F238E27FC236}">
              <a16:creationId xmlns:a16="http://schemas.microsoft.com/office/drawing/2014/main" id="{00000000-0008-0000-0F00-00009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7" name="AutoShape 1">
          <a:extLst>
            <a:ext uri="{FF2B5EF4-FFF2-40B4-BE49-F238E27FC236}">
              <a16:creationId xmlns:a16="http://schemas.microsoft.com/office/drawing/2014/main" id="{00000000-0008-0000-0F00-00009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8" name="AutoShape 1">
          <a:extLst>
            <a:ext uri="{FF2B5EF4-FFF2-40B4-BE49-F238E27FC236}">
              <a16:creationId xmlns:a16="http://schemas.microsoft.com/office/drawing/2014/main" id="{00000000-0008-0000-0F00-00009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19" name="AutoShape 1">
          <a:extLst>
            <a:ext uri="{FF2B5EF4-FFF2-40B4-BE49-F238E27FC236}">
              <a16:creationId xmlns:a16="http://schemas.microsoft.com/office/drawing/2014/main" id="{00000000-0008-0000-0F00-00009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0" name="AutoShape 1">
          <a:extLst>
            <a:ext uri="{FF2B5EF4-FFF2-40B4-BE49-F238E27FC236}">
              <a16:creationId xmlns:a16="http://schemas.microsoft.com/office/drawing/2014/main" id="{00000000-0008-0000-0F00-00009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1" name="AutoShape 1">
          <a:extLst>
            <a:ext uri="{FF2B5EF4-FFF2-40B4-BE49-F238E27FC236}">
              <a16:creationId xmlns:a16="http://schemas.microsoft.com/office/drawing/2014/main" id="{00000000-0008-0000-0F00-00009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2" name="AutoShape 1">
          <a:extLst>
            <a:ext uri="{FF2B5EF4-FFF2-40B4-BE49-F238E27FC236}">
              <a16:creationId xmlns:a16="http://schemas.microsoft.com/office/drawing/2014/main" id="{00000000-0008-0000-0F00-00009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3" name="AutoShape 1">
          <a:extLst>
            <a:ext uri="{FF2B5EF4-FFF2-40B4-BE49-F238E27FC236}">
              <a16:creationId xmlns:a16="http://schemas.microsoft.com/office/drawing/2014/main" id="{00000000-0008-0000-0F00-00009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4" name="AutoShape 1">
          <a:extLst>
            <a:ext uri="{FF2B5EF4-FFF2-40B4-BE49-F238E27FC236}">
              <a16:creationId xmlns:a16="http://schemas.microsoft.com/office/drawing/2014/main" id="{00000000-0008-0000-0F00-00009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5" name="AutoShape 1">
          <a:extLst>
            <a:ext uri="{FF2B5EF4-FFF2-40B4-BE49-F238E27FC236}">
              <a16:creationId xmlns:a16="http://schemas.microsoft.com/office/drawing/2014/main" id="{00000000-0008-0000-0F00-00009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6" name="AutoShape 1">
          <a:extLst>
            <a:ext uri="{FF2B5EF4-FFF2-40B4-BE49-F238E27FC236}">
              <a16:creationId xmlns:a16="http://schemas.microsoft.com/office/drawing/2014/main" id="{00000000-0008-0000-0F00-00009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7" name="AutoShape 1">
          <a:extLst>
            <a:ext uri="{FF2B5EF4-FFF2-40B4-BE49-F238E27FC236}">
              <a16:creationId xmlns:a16="http://schemas.microsoft.com/office/drawing/2014/main" id="{00000000-0008-0000-0F00-00009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8" name="AutoShape 1">
          <a:extLst>
            <a:ext uri="{FF2B5EF4-FFF2-40B4-BE49-F238E27FC236}">
              <a16:creationId xmlns:a16="http://schemas.microsoft.com/office/drawing/2014/main" id="{00000000-0008-0000-0F00-0000A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29" name="AutoShape 1">
          <a:extLst>
            <a:ext uri="{FF2B5EF4-FFF2-40B4-BE49-F238E27FC236}">
              <a16:creationId xmlns:a16="http://schemas.microsoft.com/office/drawing/2014/main" id="{00000000-0008-0000-0F00-0000A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0" name="AutoShape 1">
          <a:extLst>
            <a:ext uri="{FF2B5EF4-FFF2-40B4-BE49-F238E27FC236}">
              <a16:creationId xmlns:a16="http://schemas.microsoft.com/office/drawing/2014/main" id="{00000000-0008-0000-0F00-0000A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1" name="AutoShape 1">
          <a:extLst>
            <a:ext uri="{FF2B5EF4-FFF2-40B4-BE49-F238E27FC236}">
              <a16:creationId xmlns:a16="http://schemas.microsoft.com/office/drawing/2014/main" id="{00000000-0008-0000-0F00-0000A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2" name="AutoShape 1">
          <a:extLst>
            <a:ext uri="{FF2B5EF4-FFF2-40B4-BE49-F238E27FC236}">
              <a16:creationId xmlns:a16="http://schemas.microsoft.com/office/drawing/2014/main" id="{00000000-0008-0000-0F00-0000A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3" name="AutoShape 1">
          <a:extLst>
            <a:ext uri="{FF2B5EF4-FFF2-40B4-BE49-F238E27FC236}">
              <a16:creationId xmlns:a16="http://schemas.microsoft.com/office/drawing/2014/main" id="{00000000-0008-0000-0F00-0000A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4" name="AutoShape 1">
          <a:extLst>
            <a:ext uri="{FF2B5EF4-FFF2-40B4-BE49-F238E27FC236}">
              <a16:creationId xmlns:a16="http://schemas.microsoft.com/office/drawing/2014/main" id="{00000000-0008-0000-0F00-0000A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5" name="AutoShape 1">
          <a:extLst>
            <a:ext uri="{FF2B5EF4-FFF2-40B4-BE49-F238E27FC236}">
              <a16:creationId xmlns:a16="http://schemas.microsoft.com/office/drawing/2014/main" id="{00000000-0008-0000-0F00-0000A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6" name="AutoShape 1">
          <a:extLst>
            <a:ext uri="{FF2B5EF4-FFF2-40B4-BE49-F238E27FC236}">
              <a16:creationId xmlns:a16="http://schemas.microsoft.com/office/drawing/2014/main" id="{00000000-0008-0000-0F00-0000A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7" name="AutoShape 1">
          <a:extLst>
            <a:ext uri="{FF2B5EF4-FFF2-40B4-BE49-F238E27FC236}">
              <a16:creationId xmlns:a16="http://schemas.microsoft.com/office/drawing/2014/main" id="{00000000-0008-0000-0F00-0000A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8" name="AutoShape 1">
          <a:extLst>
            <a:ext uri="{FF2B5EF4-FFF2-40B4-BE49-F238E27FC236}">
              <a16:creationId xmlns:a16="http://schemas.microsoft.com/office/drawing/2014/main" id="{00000000-0008-0000-0F00-0000A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39" name="AutoShape 1">
          <a:extLst>
            <a:ext uri="{FF2B5EF4-FFF2-40B4-BE49-F238E27FC236}">
              <a16:creationId xmlns:a16="http://schemas.microsoft.com/office/drawing/2014/main" id="{00000000-0008-0000-0F00-0000A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0" name="AutoShape 1">
          <a:extLst>
            <a:ext uri="{FF2B5EF4-FFF2-40B4-BE49-F238E27FC236}">
              <a16:creationId xmlns:a16="http://schemas.microsoft.com/office/drawing/2014/main" id="{00000000-0008-0000-0F00-0000A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1" name="AutoShape 1">
          <a:extLst>
            <a:ext uri="{FF2B5EF4-FFF2-40B4-BE49-F238E27FC236}">
              <a16:creationId xmlns:a16="http://schemas.microsoft.com/office/drawing/2014/main" id="{00000000-0008-0000-0F00-0000A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2" name="AutoShape 1">
          <a:extLst>
            <a:ext uri="{FF2B5EF4-FFF2-40B4-BE49-F238E27FC236}">
              <a16:creationId xmlns:a16="http://schemas.microsoft.com/office/drawing/2014/main" id="{00000000-0008-0000-0F00-0000A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3" name="AutoShape 1">
          <a:extLst>
            <a:ext uri="{FF2B5EF4-FFF2-40B4-BE49-F238E27FC236}">
              <a16:creationId xmlns:a16="http://schemas.microsoft.com/office/drawing/2014/main" id="{00000000-0008-0000-0F00-0000A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4" name="AutoShape 1">
          <a:extLst>
            <a:ext uri="{FF2B5EF4-FFF2-40B4-BE49-F238E27FC236}">
              <a16:creationId xmlns:a16="http://schemas.microsoft.com/office/drawing/2014/main" id="{00000000-0008-0000-0F00-0000B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5" name="AutoShape 1">
          <a:extLst>
            <a:ext uri="{FF2B5EF4-FFF2-40B4-BE49-F238E27FC236}">
              <a16:creationId xmlns:a16="http://schemas.microsoft.com/office/drawing/2014/main" id="{00000000-0008-0000-0F00-0000B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6" name="AutoShape 1">
          <a:extLst>
            <a:ext uri="{FF2B5EF4-FFF2-40B4-BE49-F238E27FC236}">
              <a16:creationId xmlns:a16="http://schemas.microsoft.com/office/drawing/2014/main" id="{00000000-0008-0000-0F00-0000B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7" name="AutoShape 1">
          <a:extLst>
            <a:ext uri="{FF2B5EF4-FFF2-40B4-BE49-F238E27FC236}">
              <a16:creationId xmlns:a16="http://schemas.microsoft.com/office/drawing/2014/main" id="{00000000-0008-0000-0F00-0000B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8" name="AutoShape 1">
          <a:extLst>
            <a:ext uri="{FF2B5EF4-FFF2-40B4-BE49-F238E27FC236}">
              <a16:creationId xmlns:a16="http://schemas.microsoft.com/office/drawing/2014/main" id="{00000000-0008-0000-0F00-0000B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49" name="AutoShape 1">
          <a:extLst>
            <a:ext uri="{FF2B5EF4-FFF2-40B4-BE49-F238E27FC236}">
              <a16:creationId xmlns:a16="http://schemas.microsoft.com/office/drawing/2014/main" id="{00000000-0008-0000-0F00-0000B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0" name="AutoShape 1">
          <a:extLst>
            <a:ext uri="{FF2B5EF4-FFF2-40B4-BE49-F238E27FC236}">
              <a16:creationId xmlns:a16="http://schemas.microsoft.com/office/drawing/2014/main" id="{00000000-0008-0000-0F00-0000B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1" name="AutoShape 1">
          <a:extLst>
            <a:ext uri="{FF2B5EF4-FFF2-40B4-BE49-F238E27FC236}">
              <a16:creationId xmlns:a16="http://schemas.microsoft.com/office/drawing/2014/main" id="{00000000-0008-0000-0F00-0000B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2" name="AutoShape 1">
          <a:extLst>
            <a:ext uri="{FF2B5EF4-FFF2-40B4-BE49-F238E27FC236}">
              <a16:creationId xmlns:a16="http://schemas.microsoft.com/office/drawing/2014/main" id="{00000000-0008-0000-0F00-0000B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3" name="AutoShape 1">
          <a:extLst>
            <a:ext uri="{FF2B5EF4-FFF2-40B4-BE49-F238E27FC236}">
              <a16:creationId xmlns:a16="http://schemas.microsoft.com/office/drawing/2014/main" id="{00000000-0008-0000-0F00-0000B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4" name="AutoShape 1">
          <a:extLst>
            <a:ext uri="{FF2B5EF4-FFF2-40B4-BE49-F238E27FC236}">
              <a16:creationId xmlns:a16="http://schemas.microsoft.com/office/drawing/2014/main" id="{00000000-0008-0000-0F00-0000B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5" name="AutoShape 1">
          <a:extLst>
            <a:ext uri="{FF2B5EF4-FFF2-40B4-BE49-F238E27FC236}">
              <a16:creationId xmlns:a16="http://schemas.microsoft.com/office/drawing/2014/main" id="{00000000-0008-0000-0F00-0000B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6" name="AutoShape 1">
          <a:extLst>
            <a:ext uri="{FF2B5EF4-FFF2-40B4-BE49-F238E27FC236}">
              <a16:creationId xmlns:a16="http://schemas.microsoft.com/office/drawing/2014/main" id="{00000000-0008-0000-0F00-0000B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7" name="AutoShape 1">
          <a:extLst>
            <a:ext uri="{FF2B5EF4-FFF2-40B4-BE49-F238E27FC236}">
              <a16:creationId xmlns:a16="http://schemas.microsoft.com/office/drawing/2014/main" id="{00000000-0008-0000-0F00-0000B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8" name="AutoShape 1">
          <a:extLst>
            <a:ext uri="{FF2B5EF4-FFF2-40B4-BE49-F238E27FC236}">
              <a16:creationId xmlns:a16="http://schemas.microsoft.com/office/drawing/2014/main" id="{00000000-0008-0000-0F00-0000B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59" name="AutoShape 1">
          <a:extLst>
            <a:ext uri="{FF2B5EF4-FFF2-40B4-BE49-F238E27FC236}">
              <a16:creationId xmlns:a16="http://schemas.microsoft.com/office/drawing/2014/main" id="{00000000-0008-0000-0F00-0000B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0" name="AutoShape 1">
          <a:extLst>
            <a:ext uri="{FF2B5EF4-FFF2-40B4-BE49-F238E27FC236}">
              <a16:creationId xmlns:a16="http://schemas.microsoft.com/office/drawing/2014/main" id="{00000000-0008-0000-0F00-0000C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1" name="AutoShape 1">
          <a:extLst>
            <a:ext uri="{FF2B5EF4-FFF2-40B4-BE49-F238E27FC236}">
              <a16:creationId xmlns:a16="http://schemas.microsoft.com/office/drawing/2014/main" id="{00000000-0008-0000-0F00-0000C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2" name="AutoShape 1">
          <a:extLst>
            <a:ext uri="{FF2B5EF4-FFF2-40B4-BE49-F238E27FC236}">
              <a16:creationId xmlns:a16="http://schemas.microsoft.com/office/drawing/2014/main" id="{00000000-0008-0000-0F00-0000C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3" name="AutoShape 1">
          <a:extLst>
            <a:ext uri="{FF2B5EF4-FFF2-40B4-BE49-F238E27FC236}">
              <a16:creationId xmlns:a16="http://schemas.microsoft.com/office/drawing/2014/main" id="{00000000-0008-0000-0F00-0000C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4" name="AutoShape 1">
          <a:extLst>
            <a:ext uri="{FF2B5EF4-FFF2-40B4-BE49-F238E27FC236}">
              <a16:creationId xmlns:a16="http://schemas.microsoft.com/office/drawing/2014/main" id="{00000000-0008-0000-0F00-0000C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5" name="AutoShape 1">
          <a:extLst>
            <a:ext uri="{FF2B5EF4-FFF2-40B4-BE49-F238E27FC236}">
              <a16:creationId xmlns:a16="http://schemas.microsoft.com/office/drawing/2014/main" id="{00000000-0008-0000-0F00-0000C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6" name="AutoShape 1">
          <a:extLst>
            <a:ext uri="{FF2B5EF4-FFF2-40B4-BE49-F238E27FC236}">
              <a16:creationId xmlns:a16="http://schemas.microsoft.com/office/drawing/2014/main" id="{00000000-0008-0000-0F00-0000C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7" name="AutoShape 1">
          <a:extLst>
            <a:ext uri="{FF2B5EF4-FFF2-40B4-BE49-F238E27FC236}">
              <a16:creationId xmlns:a16="http://schemas.microsoft.com/office/drawing/2014/main" id="{00000000-0008-0000-0F00-0000C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8" name="AutoShape 1">
          <a:extLst>
            <a:ext uri="{FF2B5EF4-FFF2-40B4-BE49-F238E27FC236}">
              <a16:creationId xmlns:a16="http://schemas.microsoft.com/office/drawing/2014/main" id="{00000000-0008-0000-0F00-0000C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69" name="AutoShape 1">
          <a:extLst>
            <a:ext uri="{FF2B5EF4-FFF2-40B4-BE49-F238E27FC236}">
              <a16:creationId xmlns:a16="http://schemas.microsoft.com/office/drawing/2014/main" id="{00000000-0008-0000-0F00-0000C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0" name="AutoShape 1">
          <a:extLst>
            <a:ext uri="{FF2B5EF4-FFF2-40B4-BE49-F238E27FC236}">
              <a16:creationId xmlns:a16="http://schemas.microsoft.com/office/drawing/2014/main" id="{00000000-0008-0000-0F00-0000CA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1" name="AutoShape 1">
          <a:extLst>
            <a:ext uri="{FF2B5EF4-FFF2-40B4-BE49-F238E27FC236}">
              <a16:creationId xmlns:a16="http://schemas.microsoft.com/office/drawing/2014/main" id="{00000000-0008-0000-0F00-0000CB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2" name="AutoShape 1">
          <a:extLst>
            <a:ext uri="{FF2B5EF4-FFF2-40B4-BE49-F238E27FC236}">
              <a16:creationId xmlns:a16="http://schemas.microsoft.com/office/drawing/2014/main" id="{00000000-0008-0000-0F00-0000C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3" name="AutoShape 1">
          <a:extLst>
            <a:ext uri="{FF2B5EF4-FFF2-40B4-BE49-F238E27FC236}">
              <a16:creationId xmlns:a16="http://schemas.microsoft.com/office/drawing/2014/main" id="{00000000-0008-0000-0F00-0000C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4" name="AutoShape 1">
          <a:extLst>
            <a:ext uri="{FF2B5EF4-FFF2-40B4-BE49-F238E27FC236}">
              <a16:creationId xmlns:a16="http://schemas.microsoft.com/office/drawing/2014/main" id="{00000000-0008-0000-0F00-0000C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5" name="AutoShape 1">
          <a:extLst>
            <a:ext uri="{FF2B5EF4-FFF2-40B4-BE49-F238E27FC236}">
              <a16:creationId xmlns:a16="http://schemas.microsoft.com/office/drawing/2014/main" id="{00000000-0008-0000-0F00-0000C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6" name="AutoShape 1">
          <a:extLst>
            <a:ext uri="{FF2B5EF4-FFF2-40B4-BE49-F238E27FC236}">
              <a16:creationId xmlns:a16="http://schemas.microsoft.com/office/drawing/2014/main" id="{00000000-0008-0000-0F00-0000D0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7" name="AutoShape 1">
          <a:extLst>
            <a:ext uri="{FF2B5EF4-FFF2-40B4-BE49-F238E27FC236}">
              <a16:creationId xmlns:a16="http://schemas.microsoft.com/office/drawing/2014/main" id="{00000000-0008-0000-0F00-0000D1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8" name="AutoShape 1">
          <a:extLst>
            <a:ext uri="{FF2B5EF4-FFF2-40B4-BE49-F238E27FC236}">
              <a16:creationId xmlns:a16="http://schemas.microsoft.com/office/drawing/2014/main" id="{00000000-0008-0000-0F00-0000D2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79" name="AutoShape 1">
          <a:extLst>
            <a:ext uri="{FF2B5EF4-FFF2-40B4-BE49-F238E27FC236}">
              <a16:creationId xmlns:a16="http://schemas.microsoft.com/office/drawing/2014/main" id="{00000000-0008-0000-0F00-0000D3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0" name="AutoShape 1">
          <a:extLst>
            <a:ext uri="{FF2B5EF4-FFF2-40B4-BE49-F238E27FC236}">
              <a16:creationId xmlns:a16="http://schemas.microsoft.com/office/drawing/2014/main" id="{00000000-0008-0000-0F00-0000D4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1" name="AutoShape 1">
          <a:extLst>
            <a:ext uri="{FF2B5EF4-FFF2-40B4-BE49-F238E27FC236}">
              <a16:creationId xmlns:a16="http://schemas.microsoft.com/office/drawing/2014/main" id="{00000000-0008-0000-0F00-0000D5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2" name="AutoShape 1">
          <a:extLst>
            <a:ext uri="{FF2B5EF4-FFF2-40B4-BE49-F238E27FC236}">
              <a16:creationId xmlns:a16="http://schemas.microsoft.com/office/drawing/2014/main" id="{00000000-0008-0000-0F00-0000D6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3" name="AutoShape 1">
          <a:extLst>
            <a:ext uri="{FF2B5EF4-FFF2-40B4-BE49-F238E27FC236}">
              <a16:creationId xmlns:a16="http://schemas.microsoft.com/office/drawing/2014/main" id="{00000000-0008-0000-0F00-0000D7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4" name="AutoShape 1">
          <a:extLst>
            <a:ext uri="{FF2B5EF4-FFF2-40B4-BE49-F238E27FC236}">
              <a16:creationId xmlns:a16="http://schemas.microsoft.com/office/drawing/2014/main" id="{00000000-0008-0000-0F00-0000D8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5" name="AutoShape 1">
          <a:extLst>
            <a:ext uri="{FF2B5EF4-FFF2-40B4-BE49-F238E27FC236}">
              <a16:creationId xmlns:a16="http://schemas.microsoft.com/office/drawing/2014/main" id="{00000000-0008-0000-0F00-0000D9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6" name="AutoShape 1">
          <a:extLst>
            <a:ext uri="{FF2B5EF4-FFF2-40B4-BE49-F238E27FC236}">
              <a16:creationId xmlns:a16="http://schemas.microsoft.com/office/drawing/2014/main" id="{00000000-0008-0000-0F00-0000D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7" name="AutoShape 1">
          <a:extLst>
            <a:ext uri="{FF2B5EF4-FFF2-40B4-BE49-F238E27FC236}">
              <a16:creationId xmlns:a16="http://schemas.microsoft.com/office/drawing/2014/main" id="{00000000-0008-0000-0F00-0000D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8" name="AutoShape 1">
          <a:extLst>
            <a:ext uri="{FF2B5EF4-FFF2-40B4-BE49-F238E27FC236}">
              <a16:creationId xmlns:a16="http://schemas.microsoft.com/office/drawing/2014/main" id="{00000000-0008-0000-0F00-0000D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89" name="AutoShape 1">
          <a:extLst>
            <a:ext uri="{FF2B5EF4-FFF2-40B4-BE49-F238E27FC236}">
              <a16:creationId xmlns:a16="http://schemas.microsoft.com/office/drawing/2014/main" id="{00000000-0008-0000-0F00-0000D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0" name="AutoShape 1">
          <a:extLst>
            <a:ext uri="{FF2B5EF4-FFF2-40B4-BE49-F238E27FC236}">
              <a16:creationId xmlns:a16="http://schemas.microsoft.com/office/drawing/2014/main" id="{00000000-0008-0000-0F00-0000D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1" name="AutoShape 1">
          <a:extLst>
            <a:ext uri="{FF2B5EF4-FFF2-40B4-BE49-F238E27FC236}">
              <a16:creationId xmlns:a16="http://schemas.microsoft.com/office/drawing/2014/main" id="{00000000-0008-0000-0F00-0000D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2" name="AutoShape 1">
          <a:extLst>
            <a:ext uri="{FF2B5EF4-FFF2-40B4-BE49-F238E27FC236}">
              <a16:creationId xmlns:a16="http://schemas.microsoft.com/office/drawing/2014/main" id="{00000000-0008-0000-0F00-0000E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3" name="AutoShape 1">
          <a:extLst>
            <a:ext uri="{FF2B5EF4-FFF2-40B4-BE49-F238E27FC236}">
              <a16:creationId xmlns:a16="http://schemas.microsoft.com/office/drawing/2014/main" id="{00000000-0008-0000-0F00-0000E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4" name="AutoShape 1">
          <a:extLst>
            <a:ext uri="{FF2B5EF4-FFF2-40B4-BE49-F238E27FC236}">
              <a16:creationId xmlns:a16="http://schemas.microsoft.com/office/drawing/2014/main" id="{00000000-0008-0000-0F00-0000E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5" name="AutoShape 1">
          <a:extLst>
            <a:ext uri="{FF2B5EF4-FFF2-40B4-BE49-F238E27FC236}">
              <a16:creationId xmlns:a16="http://schemas.microsoft.com/office/drawing/2014/main" id="{00000000-0008-0000-0F00-0000E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6" name="AutoShape 1">
          <a:extLst>
            <a:ext uri="{FF2B5EF4-FFF2-40B4-BE49-F238E27FC236}">
              <a16:creationId xmlns:a16="http://schemas.microsoft.com/office/drawing/2014/main" id="{00000000-0008-0000-0F00-0000E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7" name="AutoShape 1">
          <a:extLst>
            <a:ext uri="{FF2B5EF4-FFF2-40B4-BE49-F238E27FC236}">
              <a16:creationId xmlns:a16="http://schemas.microsoft.com/office/drawing/2014/main" id="{00000000-0008-0000-0F00-0000E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8" name="AutoShape 1">
          <a:extLst>
            <a:ext uri="{FF2B5EF4-FFF2-40B4-BE49-F238E27FC236}">
              <a16:creationId xmlns:a16="http://schemas.microsoft.com/office/drawing/2014/main" id="{00000000-0008-0000-0F00-0000E6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399" name="AutoShape 1">
          <a:extLst>
            <a:ext uri="{FF2B5EF4-FFF2-40B4-BE49-F238E27FC236}">
              <a16:creationId xmlns:a16="http://schemas.microsoft.com/office/drawing/2014/main" id="{00000000-0008-0000-0F00-0000E7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0" name="AutoShape 1">
          <a:extLst>
            <a:ext uri="{FF2B5EF4-FFF2-40B4-BE49-F238E27FC236}">
              <a16:creationId xmlns:a16="http://schemas.microsoft.com/office/drawing/2014/main" id="{00000000-0008-0000-0F00-0000E8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1" name="AutoShape 1">
          <a:extLst>
            <a:ext uri="{FF2B5EF4-FFF2-40B4-BE49-F238E27FC236}">
              <a16:creationId xmlns:a16="http://schemas.microsoft.com/office/drawing/2014/main" id="{00000000-0008-0000-0F00-0000E9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2" name="AutoShape 1">
          <a:extLst>
            <a:ext uri="{FF2B5EF4-FFF2-40B4-BE49-F238E27FC236}">
              <a16:creationId xmlns:a16="http://schemas.microsoft.com/office/drawing/2014/main" id="{00000000-0008-0000-0F00-0000EA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3" name="AutoShape 1">
          <a:extLst>
            <a:ext uri="{FF2B5EF4-FFF2-40B4-BE49-F238E27FC236}">
              <a16:creationId xmlns:a16="http://schemas.microsoft.com/office/drawing/2014/main" id="{00000000-0008-0000-0F00-0000EB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4" name="AutoShape 1">
          <a:extLst>
            <a:ext uri="{FF2B5EF4-FFF2-40B4-BE49-F238E27FC236}">
              <a16:creationId xmlns:a16="http://schemas.microsoft.com/office/drawing/2014/main" id="{00000000-0008-0000-0F00-0000EC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5" name="AutoShape 1">
          <a:extLst>
            <a:ext uri="{FF2B5EF4-FFF2-40B4-BE49-F238E27FC236}">
              <a16:creationId xmlns:a16="http://schemas.microsoft.com/office/drawing/2014/main" id="{00000000-0008-0000-0F00-0000ED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6" name="AutoShape 1">
          <a:extLst>
            <a:ext uri="{FF2B5EF4-FFF2-40B4-BE49-F238E27FC236}">
              <a16:creationId xmlns:a16="http://schemas.microsoft.com/office/drawing/2014/main" id="{00000000-0008-0000-0F00-0000EE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7" name="AutoShape 1">
          <a:extLst>
            <a:ext uri="{FF2B5EF4-FFF2-40B4-BE49-F238E27FC236}">
              <a16:creationId xmlns:a16="http://schemas.microsoft.com/office/drawing/2014/main" id="{00000000-0008-0000-0F00-0000EF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8" name="AutoShape 1">
          <a:extLst>
            <a:ext uri="{FF2B5EF4-FFF2-40B4-BE49-F238E27FC236}">
              <a16:creationId xmlns:a16="http://schemas.microsoft.com/office/drawing/2014/main" id="{00000000-0008-0000-0F00-0000F0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09" name="AutoShape 1">
          <a:extLst>
            <a:ext uri="{FF2B5EF4-FFF2-40B4-BE49-F238E27FC236}">
              <a16:creationId xmlns:a16="http://schemas.microsoft.com/office/drawing/2014/main" id="{00000000-0008-0000-0F00-0000F1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0" name="AutoShape 1">
          <a:extLst>
            <a:ext uri="{FF2B5EF4-FFF2-40B4-BE49-F238E27FC236}">
              <a16:creationId xmlns:a16="http://schemas.microsoft.com/office/drawing/2014/main" id="{00000000-0008-0000-0F00-0000F2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1" name="AutoShape 1">
          <a:extLst>
            <a:ext uri="{FF2B5EF4-FFF2-40B4-BE49-F238E27FC236}">
              <a16:creationId xmlns:a16="http://schemas.microsoft.com/office/drawing/2014/main" id="{00000000-0008-0000-0F00-0000F3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2" name="AutoShape 1">
          <a:extLst>
            <a:ext uri="{FF2B5EF4-FFF2-40B4-BE49-F238E27FC236}">
              <a16:creationId xmlns:a16="http://schemas.microsoft.com/office/drawing/2014/main" id="{00000000-0008-0000-0F00-0000F4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3" name="AutoShape 1">
          <a:extLst>
            <a:ext uri="{FF2B5EF4-FFF2-40B4-BE49-F238E27FC236}">
              <a16:creationId xmlns:a16="http://schemas.microsoft.com/office/drawing/2014/main" id="{00000000-0008-0000-0F00-0000F51C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4" name="AutoShape 1">
          <a:extLst>
            <a:ext uri="{FF2B5EF4-FFF2-40B4-BE49-F238E27FC236}">
              <a16:creationId xmlns:a16="http://schemas.microsoft.com/office/drawing/2014/main" id="{00000000-0008-0000-0F00-0000F6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5" name="AutoShape 1">
          <a:extLst>
            <a:ext uri="{FF2B5EF4-FFF2-40B4-BE49-F238E27FC236}">
              <a16:creationId xmlns:a16="http://schemas.microsoft.com/office/drawing/2014/main" id="{00000000-0008-0000-0F00-0000F7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6" name="AutoShape 1">
          <a:extLst>
            <a:ext uri="{FF2B5EF4-FFF2-40B4-BE49-F238E27FC236}">
              <a16:creationId xmlns:a16="http://schemas.microsoft.com/office/drawing/2014/main" id="{00000000-0008-0000-0F00-0000F8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7" name="AutoShape 1">
          <a:extLst>
            <a:ext uri="{FF2B5EF4-FFF2-40B4-BE49-F238E27FC236}">
              <a16:creationId xmlns:a16="http://schemas.microsoft.com/office/drawing/2014/main" id="{00000000-0008-0000-0F00-0000F9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8" name="AutoShape 1">
          <a:extLst>
            <a:ext uri="{FF2B5EF4-FFF2-40B4-BE49-F238E27FC236}">
              <a16:creationId xmlns:a16="http://schemas.microsoft.com/office/drawing/2014/main" id="{00000000-0008-0000-0F00-0000FA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19" name="AutoShape 1">
          <a:extLst>
            <a:ext uri="{FF2B5EF4-FFF2-40B4-BE49-F238E27FC236}">
              <a16:creationId xmlns:a16="http://schemas.microsoft.com/office/drawing/2014/main" id="{00000000-0008-0000-0F00-0000FB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0" name="AutoShape 1">
          <a:extLst>
            <a:ext uri="{FF2B5EF4-FFF2-40B4-BE49-F238E27FC236}">
              <a16:creationId xmlns:a16="http://schemas.microsoft.com/office/drawing/2014/main" id="{00000000-0008-0000-0F00-0000FC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1" name="AutoShape 1">
          <a:extLst>
            <a:ext uri="{FF2B5EF4-FFF2-40B4-BE49-F238E27FC236}">
              <a16:creationId xmlns:a16="http://schemas.microsoft.com/office/drawing/2014/main" id="{00000000-0008-0000-0F00-0000FD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2" name="AutoShape 1">
          <a:extLst>
            <a:ext uri="{FF2B5EF4-FFF2-40B4-BE49-F238E27FC236}">
              <a16:creationId xmlns:a16="http://schemas.microsoft.com/office/drawing/2014/main" id="{00000000-0008-0000-0F00-0000FE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3" name="AutoShape 1">
          <a:extLst>
            <a:ext uri="{FF2B5EF4-FFF2-40B4-BE49-F238E27FC236}">
              <a16:creationId xmlns:a16="http://schemas.microsoft.com/office/drawing/2014/main" id="{00000000-0008-0000-0F00-0000FF1C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4" name="AutoShape 1">
          <a:extLst>
            <a:ext uri="{FF2B5EF4-FFF2-40B4-BE49-F238E27FC236}">
              <a16:creationId xmlns:a16="http://schemas.microsoft.com/office/drawing/2014/main" id="{00000000-0008-0000-0F00-000000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5" name="AutoShape 1">
          <a:extLst>
            <a:ext uri="{FF2B5EF4-FFF2-40B4-BE49-F238E27FC236}">
              <a16:creationId xmlns:a16="http://schemas.microsoft.com/office/drawing/2014/main" id="{00000000-0008-0000-0F00-000001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6" name="AutoShape 1">
          <a:extLst>
            <a:ext uri="{FF2B5EF4-FFF2-40B4-BE49-F238E27FC236}">
              <a16:creationId xmlns:a16="http://schemas.microsoft.com/office/drawing/2014/main" id="{00000000-0008-0000-0F00-000002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7" name="AutoShape 1">
          <a:extLst>
            <a:ext uri="{FF2B5EF4-FFF2-40B4-BE49-F238E27FC236}">
              <a16:creationId xmlns:a16="http://schemas.microsoft.com/office/drawing/2014/main" id="{00000000-0008-0000-0F00-000003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8" name="AutoShape 1">
          <a:extLst>
            <a:ext uri="{FF2B5EF4-FFF2-40B4-BE49-F238E27FC236}">
              <a16:creationId xmlns:a16="http://schemas.microsoft.com/office/drawing/2014/main" id="{00000000-0008-0000-0F00-000004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29" name="AutoShape 1">
          <a:extLst>
            <a:ext uri="{FF2B5EF4-FFF2-40B4-BE49-F238E27FC236}">
              <a16:creationId xmlns:a16="http://schemas.microsoft.com/office/drawing/2014/main" id="{00000000-0008-0000-0F00-000005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0" name="AutoShape 1">
          <a:extLst>
            <a:ext uri="{FF2B5EF4-FFF2-40B4-BE49-F238E27FC236}">
              <a16:creationId xmlns:a16="http://schemas.microsoft.com/office/drawing/2014/main" id="{00000000-0008-0000-0F00-000006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1" name="AutoShape 1">
          <a:extLst>
            <a:ext uri="{FF2B5EF4-FFF2-40B4-BE49-F238E27FC236}">
              <a16:creationId xmlns:a16="http://schemas.microsoft.com/office/drawing/2014/main" id="{00000000-0008-0000-0F00-000007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2" name="AutoShape 1">
          <a:extLst>
            <a:ext uri="{FF2B5EF4-FFF2-40B4-BE49-F238E27FC236}">
              <a16:creationId xmlns:a16="http://schemas.microsoft.com/office/drawing/2014/main" id="{00000000-0008-0000-0F00-000008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3" name="AutoShape 1">
          <a:extLst>
            <a:ext uri="{FF2B5EF4-FFF2-40B4-BE49-F238E27FC236}">
              <a16:creationId xmlns:a16="http://schemas.microsoft.com/office/drawing/2014/main" id="{00000000-0008-0000-0F00-000009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4" name="AutoShape 1">
          <a:extLst>
            <a:ext uri="{FF2B5EF4-FFF2-40B4-BE49-F238E27FC236}">
              <a16:creationId xmlns:a16="http://schemas.microsoft.com/office/drawing/2014/main" id="{00000000-0008-0000-0F00-00000A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5" name="AutoShape 1">
          <a:extLst>
            <a:ext uri="{FF2B5EF4-FFF2-40B4-BE49-F238E27FC236}">
              <a16:creationId xmlns:a16="http://schemas.microsoft.com/office/drawing/2014/main" id="{00000000-0008-0000-0F00-00000B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6" name="AutoShape 1">
          <a:extLst>
            <a:ext uri="{FF2B5EF4-FFF2-40B4-BE49-F238E27FC236}">
              <a16:creationId xmlns:a16="http://schemas.microsoft.com/office/drawing/2014/main" id="{00000000-0008-0000-0F00-00000C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7" name="AutoShape 1">
          <a:extLst>
            <a:ext uri="{FF2B5EF4-FFF2-40B4-BE49-F238E27FC236}">
              <a16:creationId xmlns:a16="http://schemas.microsoft.com/office/drawing/2014/main" id="{00000000-0008-0000-0F00-00000D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8" name="AutoShape 1">
          <a:extLst>
            <a:ext uri="{FF2B5EF4-FFF2-40B4-BE49-F238E27FC236}">
              <a16:creationId xmlns:a16="http://schemas.microsoft.com/office/drawing/2014/main" id="{00000000-0008-0000-0F00-00000E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39" name="AutoShape 1">
          <a:extLst>
            <a:ext uri="{FF2B5EF4-FFF2-40B4-BE49-F238E27FC236}">
              <a16:creationId xmlns:a16="http://schemas.microsoft.com/office/drawing/2014/main" id="{00000000-0008-0000-0F00-00000F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0" name="AutoShape 1">
          <a:extLst>
            <a:ext uri="{FF2B5EF4-FFF2-40B4-BE49-F238E27FC236}">
              <a16:creationId xmlns:a16="http://schemas.microsoft.com/office/drawing/2014/main" id="{00000000-0008-0000-0F00-000010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1" name="AutoShape 1">
          <a:extLst>
            <a:ext uri="{FF2B5EF4-FFF2-40B4-BE49-F238E27FC236}">
              <a16:creationId xmlns:a16="http://schemas.microsoft.com/office/drawing/2014/main" id="{00000000-0008-0000-0F00-000011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2" name="AutoShape 1">
          <a:extLst>
            <a:ext uri="{FF2B5EF4-FFF2-40B4-BE49-F238E27FC236}">
              <a16:creationId xmlns:a16="http://schemas.microsoft.com/office/drawing/2014/main" id="{00000000-0008-0000-0F00-000012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3" name="AutoShape 1">
          <a:extLst>
            <a:ext uri="{FF2B5EF4-FFF2-40B4-BE49-F238E27FC236}">
              <a16:creationId xmlns:a16="http://schemas.microsoft.com/office/drawing/2014/main" id="{00000000-0008-0000-0F00-000013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4" name="AutoShape 1">
          <a:extLst>
            <a:ext uri="{FF2B5EF4-FFF2-40B4-BE49-F238E27FC236}">
              <a16:creationId xmlns:a16="http://schemas.microsoft.com/office/drawing/2014/main" id="{00000000-0008-0000-0F00-000014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5" name="AutoShape 1">
          <a:extLst>
            <a:ext uri="{FF2B5EF4-FFF2-40B4-BE49-F238E27FC236}">
              <a16:creationId xmlns:a16="http://schemas.microsoft.com/office/drawing/2014/main" id="{00000000-0008-0000-0F00-000015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6" name="AutoShape 1">
          <a:extLst>
            <a:ext uri="{FF2B5EF4-FFF2-40B4-BE49-F238E27FC236}">
              <a16:creationId xmlns:a16="http://schemas.microsoft.com/office/drawing/2014/main" id="{00000000-0008-0000-0F00-000016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7" name="AutoShape 1">
          <a:extLst>
            <a:ext uri="{FF2B5EF4-FFF2-40B4-BE49-F238E27FC236}">
              <a16:creationId xmlns:a16="http://schemas.microsoft.com/office/drawing/2014/main" id="{00000000-0008-0000-0F00-000017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8" name="AutoShape 1">
          <a:extLst>
            <a:ext uri="{FF2B5EF4-FFF2-40B4-BE49-F238E27FC236}">
              <a16:creationId xmlns:a16="http://schemas.microsoft.com/office/drawing/2014/main" id="{00000000-0008-0000-0F00-000018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49" name="AutoShape 1">
          <a:extLst>
            <a:ext uri="{FF2B5EF4-FFF2-40B4-BE49-F238E27FC236}">
              <a16:creationId xmlns:a16="http://schemas.microsoft.com/office/drawing/2014/main" id="{00000000-0008-0000-0F00-000019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0" name="AutoShape 1">
          <a:extLst>
            <a:ext uri="{FF2B5EF4-FFF2-40B4-BE49-F238E27FC236}">
              <a16:creationId xmlns:a16="http://schemas.microsoft.com/office/drawing/2014/main" id="{00000000-0008-0000-0F00-00001A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1" name="AutoShape 1">
          <a:extLst>
            <a:ext uri="{FF2B5EF4-FFF2-40B4-BE49-F238E27FC236}">
              <a16:creationId xmlns:a16="http://schemas.microsoft.com/office/drawing/2014/main" id="{00000000-0008-0000-0F00-00001B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2" name="AutoShape 1">
          <a:extLst>
            <a:ext uri="{FF2B5EF4-FFF2-40B4-BE49-F238E27FC236}">
              <a16:creationId xmlns:a16="http://schemas.microsoft.com/office/drawing/2014/main" id="{00000000-0008-0000-0F00-00001C1D0000}"/>
            </a:ext>
          </a:extLst>
        </xdr:cNvPr>
        <xdr:cNvSpPr>
          <a:spLocks noChangeAspect="1" noChangeArrowheads="1"/>
        </xdr:cNvSpPr>
      </xdr:nvSpPr>
      <xdr:spPr bwMode="auto">
        <a:xfrm>
          <a:off x="97790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3" name="AutoShape 1">
          <a:extLst>
            <a:ext uri="{FF2B5EF4-FFF2-40B4-BE49-F238E27FC236}">
              <a16:creationId xmlns:a16="http://schemas.microsoft.com/office/drawing/2014/main" id="{00000000-0008-0000-0F00-00001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4" name="AutoShape 1">
          <a:extLst>
            <a:ext uri="{FF2B5EF4-FFF2-40B4-BE49-F238E27FC236}">
              <a16:creationId xmlns:a16="http://schemas.microsoft.com/office/drawing/2014/main" id="{00000000-0008-0000-0F00-00001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5" name="AutoShape 1">
          <a:extLst>
            <a:ext uri="{FF2B5EF4-FFF2-40B4-BE49-F238E27FC236}">
              <a16:creationId xmlns:a16="http://schemas.microsoft.com/office/drawing/2014/main" id="{00000000-0008-0000-0F00-00001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6" name="AutoShape 1">
          <a:extLst>
            <a:ext uri="{FF2B5EF4-FFF2-40B4-BE49-F238E27FC236}">
              <a16:creationId xmlns:a16="http://schemas.microsoft.com/office/drawing/2014/main" id="{00000000-0008-0000-0F00-00002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7" name="AutoShape 1">
          <a:extLst>
            <a:ext uri="{FF2B5EF4-FFF2-40B4-BE49-F238E27FC236}">
              <a16:creationId xmlns:a16="http://schemas.microsoft.com/office/drawing/2014/main" id="{00000000-0008-0000-0F00-00002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8" name="AutoShape 1">
          <a:extLst>
            <a:ext uri="{FF2B5EF4-FFF2-40B4-BE49-F238E27FC236}">
              <a16:creationId xmlns:a16="http://schemas.microsoft.com/office/drawing/2014/main" id="{00000000-0008-0000-0F00-00002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59" name="AutoShape 1">
          <a:extLst>
            <a:ext uri="{FF2B5EF4-FFF2-40B4-BE49-F238E27FC236}">
              <a16:creationId xmlns:a16="http://schemas.microsoft.com/office/drawing/2014/main" id="{00000000-0008-0000-0F00-00002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0" name="AutoShape 1">
          <a:extLst>
            <a:ext uri="{FF2B5EF4-FFF2-40B4-BE49-F238E27FC236}">
              <a16:creationId xmlns:a16="http://schemas.microsoft.com/office/drawing/2014/main" id="{00000000-0008-0000-0F00-00002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1" name="AutoShape 1">
          <a:extLst>
            <a:ext uri="{FF2B5EF4-FFF2-40B4-BE49-F238E27FC236}">
              <a16:creationId xmlns:a16="http://schemas.microsoft.com/office/drawing/2014/main" id="{00000000-0008-0000-0F00-00002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2" name="AutoShape 1">
          <a:extLst>
            <a:ext uri="{FF2B5EF4-FFF2-40B4-BE49-F238E27FC236}">
              <a16:creationId xmlns:a16="http://schemas.microsoft.com/office/drawing/2014/main" id="{00000000-0008-0000-0F00-00002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3" name="AutoShape 1">
          <a:extLst>
            <a:ext uri="{FF2B5EF4-FFF2-40B4-BE49-F238E27FC236}">
              <a16:creationId xmlns:a16="http://schemas.microsoft.com/office/drawing/2014/main" id="{00000000-0008-0000-0F00-00002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4" name="AutoShape 1">
          <a:extLst>
            <a:ext uri="{FF2B5EF4-FFF2-40B4-BE49-F238E27FC236}">
              <a16:creationId xmlns:a16="http://schemas.microsoft.com/office/drawing/2014/main" id="{00000000-0008-0000-0F00-00002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5" name="AutoShape 1">
          <a:extLst>
            <a:ext uri="{FF2B5EF4-FFF2-40B4-BE49-F238E27FC236}">
              <a16:creationId xmlns:a16="http://schemas.microsoft.com/office/drawing/2014/main" id="{00000000-0008-0000-0F00-00002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6" name="AutoShape 1">
          <a:extLst>
            <a:ext uri="{FF2B5EF4-FFF2-40B4-BE49-F238E27FC236}">
              <a16:creationId xmlns:a16="http://schemas.microsoft.com/office/drawing/2014/main" id="{00000000-0008-0000-0F00-00002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7" name="AutoShape 1">
          <a:extLst>
            <a:ext uri="{FF2B5EF4-FFF2-40B4-BE49-F238E27FC236}">
              <a16:creationId xmlns:a16="http://schemas.microsoft.com/office/drawing/2014/main" id="{00000000-0008-0000-0F00-00002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8" name="AutoShape 1">
          <a:extLst>
            <a:ext uri="{FF2B5EF4-FFF2-40B4-BE49-F238E27FC236}">
              <a16:creationId xmlns:a16="http://schemas.microsoft.com/office/drawing/2014/main" id="{00000000-0008-0000-0F00-00002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69" name="AutoShape 1">
          <a:extLst>
            <a:ext uri="{FF2B5EF4-FFF2-40B4-BE49-F238E27FC236}">
              <a16:creationId xmlns:a16="http://schemas.microsoft.com/office/drawing/2014/main" id="{00000000-0008-0000-0F00-00002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0" name="AutoShape 1">
          <a:extLst>
            <a:ext uri="{FF2B5EF4-FFF2-40B4-BE49-F238E27FC236}">
              <a16:creationId xmlns:a16="http://schemas.microsoft.com/office/drawing/2014/main" id="{00000000-0008-0000-0F00-00002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1" name="AutoShape 1">
          <a:extLst>
            <a:ext uri="{FF2B5EF4-FFF2-40B4-BE49-F238E27FC236}">
              <a16:creationId xmlns:a16="http://schemas.microsoft.com/office/drawing/2014/main" id="{00000000-0008-0000-0F00-00002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2" name="AutoShape 1">
          <a:extLst>
            <a:ext uri="{FF2B5EF4-FFF2-40B4-BE49-F238E27FC236}">
              <a16:creationId xmlns:a16="http://schemas.microsoft.com/office/drawing/2014/main" id="{00000000-0008-0000-0F00-00003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3" name="AutoShape 1">
          <a:extLst>
            <a:ext uri="{FF2B5EF4-FFF2-40B4-BE49-F238E27FC236}">
              <a16:creationId xmlns:a16="http://schemas.microsoft.com/office/drawing/2014/main" id="{00000000-0008-0000-0F00-00003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4" name="AutoShape 1">
          <a:extLst>
            <a:ext uri="{FF2B5EF4-FFF2-40B4-BE49-F238E27FC236}">
              <a16:creationId xmlns:a16="http://schemas.microsoft.com/office/drawing/2014/main" id="{00000000-0008-0000-0F00-00003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5" name="AutoShape 1">
          <a:extLst>
            <a:ext uri="{FF2B5EF4-FFF2-40B4-BE49-F238E27FC236}">
              <a16:creationId xmlns:a16="http://schemas.microsoft.com/office/drawing/2014/main" id="{00000000-0008-0000-0F00-00003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6" name="AutoShape 1">
          <a:extLst>
            <a:ext uri="{FF2B5EF4-FFF2-40B4-BE49-F238E27FC236}">
              <a16:creationId xmlns:a16="http://schemas.microsoft.com/office/drawing/2014/main" id="{00000000-0008-0000-0F00-00003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7" name="AutoShape 1">
          <a:extLst>
            <a:ext uri="{FF2B5EF4-FFF2-40B4-BE49-F238E27FC236}">
              <a16:creationId xmlns:a16="http://schemas.microsoft.com/office/drawing/2014/main" id="{00000000-0008-0000-0F00-00003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8" name="AutoShape 1">
          <a:extLst>
            <a:ext uri="{FF2B5EF4-FFF2-40B4-BE49-F238E27FC236}">
              <a16:creationId xmlns:a16="http://schemas.microsoft.com/office/drawing/2014/main" id="{00000000-0008-0000-0F00-00003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79" name="AutoShape 1">
          <a:extLst>
            <a:ext uri="{FF2B5EF4-FFF2-40B4-BE49-F238E27FC236}">
              <a16:creationId xmlns:a16="http://schemas.microsoft.com/office/drawing/2014/main" id="{00000000-0008-0000-0F00-00003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0" name="AutoShape 1">
          <a:extLst>
            <a:ext uri="{FF2B5EF4-FFF2-40B4-BE49-F238E27FC236}">
              <a16:creationId xmlns:a16="http://schemas.microsoft.com/office/drawing/2014/main" id="{00000000-0008-0000-0F00-00003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1" name="AutoShape 1">
          <a:extLst>
            <a:ext uri="{FF2B5EF4-FFF2-40B4-BE49-F238E27FC236}">
              <a16:creationId xmlns:a16="http://schemas.microsoft.com/office/drawing/2014/main" id="{00000000-0008-0000-0F00-00003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2" name="AutoShape 1">
          <a:extLst>
            <a:ext uri="{FF2B5EF4-FFF2-40B4-BE49-F238E27FC236}">
              <a16:creationId xmlns:a16="http://schemas.microsoft.com/office/drawing/2014/main" id="{00000000-0008-0000-0F00-00003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3" name="AutoShape 1">
          <a:extLst>
            <a:ext uri="{FF2B5EF4-FFF2-40B4-BE49-F238E27FC236}">
              <a16:creationId xmlns:a16="http://schemas.microsoft.com/office/drawing/2014/main" id="{00000000-0008-0000-0F00-00003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4" name="AutoShape 1">
          <a:extLst>
            <a:ext uri="{FF2B5EF4-FFF2-40B4-BE49-F238E27FC236}">
              <a16:creationId xmlns:a16="http://schemas.microsoft.com/office/drawing/2014/main" id="{00000000-0008-0000-0F00-00003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5" name="AutoShape 1">
          <a:extLst>
            <a:ext uri="{FF2B5EF4-FFF2-40B4-BE49-F238E27FC236}">
              <a16:creationId xmlns:a16="http://schemas.microsoft.com/office/drawing/2014/main" id="{00000000-0008-0000-0F00-00003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6" name="AutoShape 1">
          <a:extLst>
            <a:ext uri="{FF2B5EF4-FFF2-40B4-BE49-F238E27FC236}">
              <a16:creationId xmlns:a16="http://schemas.microsoft.com/office/drawing/2014/main" id="{00000000-0008-0000-0F00-00003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7" name="AutoShape 1">
          <a:extLst>
            <a:ext uri="{FF2B5EF4-FFF2-40B4-BE49-F238E27FC236}">
              <a16:creationId xmlns:a16="http://schemas.microsoft.com/office/drawing/2014/main" id="{00000000-0008-0000-0F00-00003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8" name="AutoShape 1">
          <a:extLst>
            <a:ext uri="{FF2B5EF4-FFF2-40B4-BE49-F238E27FC236}">
              <a16:creationId xmlns:a16="http://schemas.microsoft.com/office/drawing/2014/main" id="{00000000-0008-0000-0F00-00004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89" name="AutoShape 1">
          <a:extLst>
            <a:ext uri="{FF2B5EF4-FFF2-40B4-BE49-F238E27FC236}">
              <a16:creationId xmlns:a16="http://schemas.microsoft.com/office/drawing/2014/main" id="{00000000-0008-0000-0F00-00004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0" name="AutoShape 1">
          <a:extLst>
            <a:ext uri="{FF2B5EF4-FFF2-40B4-BE49-F238E27FC236}">
              <a16:creationId xmlns:a16="http://schemas.microsoft.com/office/drawing/2014/main" id="{00000000-0008-0000-0F00-00004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1" name="AutoShape 1">
          <a:extLst>
            <a:ext uri="{FF2B5EF4-FFF2-40B4-BE49-F238E27FC236}">
              <a16:creationId xmlns:a16="http://schemas.microsoft.com/office/drawing/2014/main" id="{00000000-0008-0000-0F00-00004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2" name="AutoShape 1">
          <a:extLst>
            <a:ext uri="{FF2B5EF4-FFF2-40B4-BE49-F238E27FC236}">
              <a16:creationId xmlns:a16="http://schemas.microsoft.com/office/drawing/2014/main" id="{00000000-0008-0000-0F00-00004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3" name="AutoShape 1">
          <a:extLst>
            <a:ext uri="{FF2B5EF4-FFF2-40B4-BE49-F238E27FC236}">
              <a16:creationId xmlns:a16="http://schemas.microsoft.com/office/drawing/2014/main" id="{00000000-0008-0000-0F00-00004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4" name="AutoShape 1">
          <a:extLst>
            <a:ext uri="{FF2B5EF4-FFF2-40B4-BE49-F238E27FC236}">
              <a16:creationId xmlns:a16="http://schemas.microsoft.com/office/drawing/2014/main" id="{00000000-0008-0000-0F00-00004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5" name="AutoShape 1">
          <a:extLst>
            <a:ext uri="{FF2B5EF4-FFF2-40B4-BE49-F238E27FC236}">
              <a16:creationId xmlns:a16="http://schemas.microsoft.com/office/drawing/2014/main" id="{00000000-0008-0000-0F00-00004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6" name="AutoShape 1">
          <a:extLst>
            <a:ext uri="{FF2B5EF4-FFF2-40B4-BE49-F238E27FC236}">
              <a16:creationId xmlns:a16="http://schemas.microsoft.com/office/drawing/2014/main" id="{00000000-0008-0000-0F00-00004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7" name="AutoShape 1">
          <a:extLst>
            <a:ext uri="{FF2B5EF4-FFF2-40B4-BE49-F238E27FC236}">
              <a16:creationId xmlns:a16="http://schemas.microsoft.com/office/drawing/2014/main" id="{00000000-0008-0000-0F00-00004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8" name="AutoShape 1">
          <a:extLst>
            <a:ext uri="{FF2B5EF4-FFF2-40B4-BE49-F238E27FC236}">
              <a16:creationId xmlns:a16="http://schemas.microsoft.com/office/drawing/2014/main" id="{00000000-0008-0000-0F00-00004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499" name="AutoShape 1">
          <a:extLst>
            <a:ext uri="{FF2B5EF4-FFF2-40B4-BE49-F238E27FC236}">
              <a16:creationId xmlns:a16="http://schemas.microsoft.com/office/drawing/2014/main" id="{00000000-0008-0000-0F00-00004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0" name="AutoShape 1">
          <a:extLst>
            <a:ext uri="{FF2B5EF4-FFF2-40B4-BE49-F238E27FC236}">
              <a16:creationId xmlns:a16="http://schemas.microsoft.com/office/drawing/2014/main" id="{00000000-0008-0000-0F00-00004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1" name="AutoShape 1">
          <a:extLst>
            <a:ext uri="{FF2B5EF4-FFF2-40B4-BE49-F238E27FC236}">
              <a16:creationId xmlns:a16="http://schemas.microsoft.com/office/drawing/2014/main" id="{00000000-0008-0000-0F00-00004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2" name="AutoShape 1">
          <a:extLst>
            <a:ext uri="{FF2B5EF4-FFF2-40B4-BE49-F238E27FC236}">
              <a16:creationId xmlns:a16="http://schemas.microsoft.com/office/drawing/2014/main" id="{00000000-0008-0000-0F00-00004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3" name="AutoShape 1">
          <a:extLst>
            <a:ext uri="{FF2B5EF4-FFF2-40B4-BE49-F238E27FC236}">
              <a16:creationId xmlns:a16="http://schemas.microsoft.com/office/drawing/2014/main" id="{00000000-0008-0000-0F00-00004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4" name="AutoShape 1">
          <a:extLst>
            <a:ext uri="{FF2B5EF4-FFF2-40B4-BE49-F238E27FC236}">
              <a16:creationId xmlns:a16="http://schemas.microsoft.com/office/drawing/2014/main" id="{00000000-0008-0000-0F00-00005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5" name="AutoShape 1">
          <a:extLst>
            <a:ext uri="{FF2B5EF4-FFF2-40B4-BE49-F238E27FC236}">
              <a16:creationId xmlns:a16="http://schemas.microsoft.com/office/drawing/2014/main" id="{00000000-0008-0000-0F00-00005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6" name="AutoShape 1">
          <a:extLst>
            <a:ext uri="{FF2B5EF4-FFF2-40B4-BE49-F238E27FC236}">
              <a16:creationId xmlns:a16="http://schemas.microsoft.com/office/drawing/2014/main" id="{00000000-0008-0000-0F00-00005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7" name="AutoShape 1">
          <a:extLst>
            <a:ext uri="{FF2B5EF4-FFF2-40B4-BE49-F238E27FC236}">
              <a16:creationId xmlns:a16="http://schemas.microsoft.com/office/drawing/2014/main" id="{00000000-0008-0000-0F00-00005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8" name="AutoShape 1">
          <a:extLst>
            <a:ext uri="{FF2B5EF4-FFF2-40B4-BE49-F238E27FC236}">
              <a16:creationId xmlns:a16="http://schemas.microsoft.com/office/drawing/2014/main" id="{00000000-0008-0000-0F00-00005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09" name="AutoShape 1">
          <a:extLst>
            <a:ext uri="{FF2B5EF4-FFF2-40B4-BE49-F238E27FC236}">
              <a16:creationId xmlns:a16="http://schemas.microsoft.com/office/drawing/2014/main" id="{00000000-0008-0000-0F00-00005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0" name="AutoShape 1">
          <a:extLst>
            <a:ext uri="{FF2B5EF4-FFF2-40B4-BE49-F238E27FC236}">
              <a16:creationId xmlns:a16="http://schemas.microsoft.com/office/drawing/2014/main" id="{00000000-0008-0000-0F00-00005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1" name="AutoShape 1">
          <a:extLst>
            <a:ext uri="{FF2B5EF4-FFF2-40B4-BE49-F238E27FC236}">
              <a16:creationId xmlns:a16="http://schemas.microsoft.com/office/drawing/2014/main" id="{00000000-0008-0000-0F00-00005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2" name="AutoShape 1">
          <a:extLst>
            <a:ext uri="{FF2B5EF4-FFF2-40B4-BE49-F238E27FC236}">
              <a16:creationId xmlns:a16="http://schemas.microsoft.com/office/drawing/2014/main" id="{00000000-0008-0000-0F00-00005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3" name="AutoShape 1">
          <a:extLst>
            <a:ext uri="{FF2B5EF4-FFF2-40B4-BE49-F238E27FC236}">
              <a16:creationId xmlns:a16="http://schemas.microsoft.com/office/drawing/2014/main" id="{00000000-0008-0000-0F00-00005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4" name="AutoShape 1">
          <a:extLst>
            <a:ext uri="{FF2B5EF4-FFF2-40B4-BE49-F238E27FC236}">
              <a16:creationId xmlns:a16="http://schemas.microsoft.com/office/drawing/2014/main" id="{00000000-0008-0000-0F00-00005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5" name="AutoShape 1">
          <a:extLst>
            <a:ext uri="{FF2B5EF4-FFF2-40B4-BE49-F238E27FC236}">
              <a16:creationId xmlns:a16="http://schemas.microsoft.com/office/drawing/2014/main" id="{00000000-0008-0000-0F00-00005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6" name="AutoShape 1">
          <a:extLst>
            <a:ext uri="{FF2B5EF4-FFF2-40B4-BE49-F238E27FC236}">
              <a16:creationId xmlns:a16="http://schemas.microsoft.com/office/drawing/2014/main" id="{00000000-0008-0000-0F00-00005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7" name="AutoShape 1">
          <a:extLst>
            <a:ext uri="{FF2B5EF4-FFF2-40B4-BE49-F238E27FC236}">
              <a16:creationId xmlns:a16="http://schemas.microsoft.com/office/drawing/2014/main" id="{00000000-0008-0000-0F00-00005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8" name="AutoShape 1">
          <a:extLst>
            <a:ext uri="{FF2B5EF4-FFF2-40B4-BE49-F238E27FC236}">
              <a16:creationId xmlns:a16="http://schemas.microsoft.com/office/drawing/2014/main" id="{00000000-0008-0000-0F00-00005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19" name="AutoShape 1">
          <a:extLst>
            <a:ext uri="{FF2B5EF4-FFF2-40B4-BE49-F238E27FC236}">
              <a16:creationId xmlns:a16="http://schemas.microsoft.com/office/drawing/2014/main" id="{00000000-0008-0000-0F00-00005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0" name="AutoShape 1">
          <a:extLst>
            <a:ext uri="{FF2B5EF4-FFF2-40B4-BE49-F238E27FC236}">
              <a16:creationId xmlns:a16="http://schemas.microsoft.com/office/drawing/2014/main" id="{00000000-0008-0000-0F00-00006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1" name="AutoShape 1">
          <a:extLst>
            <a:ext uri="{FF2B5EF4-FFF2-40B4-BE49-F238E27FC236}">
              <a16:creationId xmlns:a16="http://schemas.microsoft.com/office/drawing/2014/main" id="{00000000-0008-0000-0F00-00006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2" name="AutoShape 1">
          <a:extLst>
            <a:ext uri="{FF2B5EF4-FFF2-40B4-BE49-F238E27FC236}">
              <a16:creationId xmlns:a16="http://schemas.microsoft.com/office/drawing/2014/main" id="{00000000-0008-0000-0F00-00006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3" name="AutoShape 1">
          <a:extLst>
            <a:ext uri="{FF2B5EF4-FFF2-40B4-BE49-F238E27FC236}">
              <a16:creationId xmlns:a16="http://schemas.microsoft.com/office/drawing/2014/main" id="{00000000-0008-0000-0F00-00006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4" name="AutoShape 1">
          <a:extLst>
            <a:ext uri="{FF2B5EF4-FFF2-40B4-BE49-F238E27FC236}">
              <a16:creationId xmlns:a16="http://schemas.microsoft.com/office/drawing/2014/main" id="{00000000-0008-0000-0F00-00006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5" name="AutoShape 1">
          <a:extLst>
            <a:ext uri="{FF2B5EF4-FFF2-40B4-BE49-F238E27FC236}">
              <a16:creationId xmlns:a16="http://schemas.microsoft.com/office/drawing/2014/main" id="{00000000-0008-0000-0F00-00006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6" name="AutoShape 1">
          <a:extLst>
            <a:ext uri="{FF2B5EF4-FFF2-40B4-BE49-F238E27FC236}">
              <a16:creationId xmlns:a16="http://schemas.microsoft.com/office/drawing/2014/main" id="{00000000-0008-0000-0F00-00006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7" name="AutoShape 1">
          <a:extLst>
            <a:ext uri="{FF2B5EF4-FFF2-40B4-BE49-F238E27FC236}">
              <a16:creationId xmlns:a16="http://schemas.microsoft.com/office/drawing/2014/main" id="{00000000-0008-0000-0F00-00006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8" name="AutoShape 1">
          <a:extLst>
            <a:ext uri="{FF2B5EF4-FFF2-40B4-BE49-F238E27FC236}">
              <a16:creationId xmlns:a16="http://schemas.microsoft.com/office/drawing/2014/main" id="{00000000-0008-0000-0F00-00006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29" name="AutoShape 1">
          <a:extLst>
            <a:ext uri="{FF2B5EF4-FFF2-40B4-BE49-F238E27FC236}">
              <a16:creationId xmlns:a16="http://schemas.microsoft.com/office/drawing/2014/main" id="{00000000-0008-0000-0F00-00006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0" name="AutoShape 1">
          <a:extLst>
            <a:ext uri="{FF2B5EF4-FFF2-40B4-BE49-F238E27FC236}">
              <a16:creationId xmlns:a16="http://schemas.microsoft.com/office/drawing/2014/main" id="{00000000-0008-0000-0F00-00006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1" name="AutoShape 1">
          <a:extLst>
            <a:ext uri="{FF2B5EF4-FFF2-40B4-BE49-F238E27FC236}">
              <a16:creationId xmlns:a16="http://schemas.microsoft.com/office/drawing/2014/main" id="{00000000-0008-0000-0F00-00006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2" name="AutoShape 1">
          <a:extLst>
            <a:ext uri="{FF2B5EF4-FFF2-40B4-BE49-F238E27FC236}">
              <a16:creationId xmlns:a16="http://schemas.microsoft.com/office/drawing/2014/main" id="{00000000-0008-0000-0F00-00006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3" name="AutoShape 1">
          <a:extLst>
            <a:ext uri="{FF2B5EF4-FFF2-40B4-BE49-F238E27FC236}">
              <a16:creationId xmlns:a16="http://schemas.microsoft.com/office/drawing/2014/main" id="{00000000-0008-0000-0F00-00006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4" name="AutoShape 1">
          <a:extLst>
            <a:ext uri="{FF2B5EF4-FFF2-40B4-BE49-F238E27FC236}">
              <a16:creationId xmlns:a16="http://schemas.microsoft.com/office/drawing/2014/main" id="{00000000-0008-0000-0F00-00006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5" name="AutoShape 1">
          <a:extLst>
            <a:ext uri="{FF2B5EF4-FFF2-40B4-BE49-F238E27FC236}">
              <a16:creationId xmlns:a16="http://schemas.microsoft.com/office/drawing/2014/main" id="{00000000-0008-0000-0F00-00006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6" name="AutoShape 1">
          <a:extLst>
            <a:ext uri="{FF2B5EF4-FFF2-40B4-BE49-F238E27FC236}">
              <a16:creationId xmlns:a16="http://schemas.microsoft.com/office/drawing/2014/main" id="{00000000-0008-0000-0F00-00007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7" name="AutoShape 1">
          <a:extLst>
            <a:ext uri="{FF2B5EF4-FFF2-40B4-BE49-F238E27FC236}">
              <a16:creationId xmlns:a16="http://schemas.microsoft.com/office/drawing/2014/main" id="{00000000-0008-0000-0F00-00007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8" name="AutoShape 1">
          <a:extLst>
            <a:ext uri="{FF2B5EF4-FFF2-40B4-BE49-F238E27FC236}">
              <a16:creationId xmlns:a16="http://schemas.microsoft.com/office/drawing/2014/main" id="{00000000-0008-0000-0F00-00007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39" name="AutoShape 1">
          <a:extLst>
            <a:ext uri="{FF2B5EF4-FFF2-40B4-BE49-F238E27FC236}">
              <a16:creationId xmlns:a16="http://schemas.microsoft.com/office/drawing/2014/main" id="{00000000-0008-0000-0F00-00007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0" name="AutoShape 1">
          <a:extLst>
            <a:ext uri="{FF2B5EF4-FFF2-40B4-BE49-F238E27FC236}">
              <a16:creationId xmlns:a16="http://schemas.microsoft.com/office/drawing/2014/main" id="{00000000-0008-0000-0F00-00007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1" name="AutoShape 1">
          <a:extLst>
            <a:ext uri="{FF2B5EF4-FFF2-40B4-BE49-F238E27FC236}">
              <a16:creationId xmlns:a16="http://schemas.microsoft.com/office/drawing/2014/main" id="{00000000-0008-0000-0F00-00007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2" name="AutoShape 1">
          <a:extLst>
            <a:ext uri="{FF2B5EF4-FFF2-40B4-BE49-F238E27FC236}">
              <a16:creationId xmlns:a16="http://schemas.microsoft.com/office/drawing/2014/main" id="{00000000-0008-0000-0F00-00007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3" name="AutoShape 1">
          <a:extLst>
            <a:ext uri="{FF2B5EF4-FFF2-40B4-BE49-F238E27FC236}">
              <a16:creationId xmlns:a16="http://schemas.microsoft.com/office/drawing/2014/main" id="{00000000-0008-0000-0F00-00007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4" name="AutoShape 1">
          <a:extLst>
            <a:ext uri="{FF2B5EF4-FFF2-40B4-BE49-F238E27FC236}">
              <a16:creationId xmlns:a16="http://schemas.microsoft.com/office/drawing/2014/main" id="{00000000-0008-0000-0F00-00007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5" name="AutoShape 1">
          <a:extLst>
            <a:ext uri="{FF2B5EF4-FFF2-40B4-BE49-F238E27FC236}">
              <a16:creationId xmlns:a16="http://schemas.microsoft.com/office/drawing/2014/main" id="{00000000-0008-0000-0F00-00007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6" name="AutoShape 1">
          <a:extLst>
            <a:ext uri="{FF2B5EF4-FFF2-40B4-BE49-F238E27FC236}">
              <a16:creationId xmlns:a16="http://schemas.microsoft.com/office/drawing/2014/main" id="{00000000-0008-0000-0F00-00007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7" name="AutoShape 1">
          <a:extLst>
            <a:ext uri="{FF2B5EF4-FFF2-40B4-BE49-F238E27FC236}">
              <a16:creationId xmlns:a16="http://schemas.microsoft.com/office/drawing/2014/main" id="{00000000-0008-0000-0F00-00007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8" name="AutoShape 1">
          <a:extLst>
            <a:ext uri="{FF2B5EF4-FFF2-40B4-BE49-F238E27FC236}">
              <a16:creationId xmlns:a16="http://schemas.microsoft.com/office/drawing/2014/main" id="{00000000-0008-0000-0F00-00007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49" name="AutoShape 1">
          <a:extLst>
            <a:ext uri="{FF2B5EF4-FFF2-40B4-BE49-F238E27FC236}">
              <a16:creationId xmlns:a16="http://schemas.microsoft.com/office/drawing/2014/main" id="{00000000-0008-0000-0F00-00007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0" name="AutoShape 1">
          <a:extLst>
            <a:ext uri="{FF2B5EF4-FFF2-40B4-BE49-F238E27FC236}">
              <a16:creationId xmlns:a16="http://schemas.microsoft.com/office/drawing/2014/main" id="{00000000-0008-0000-0F00-00007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1" name="AutoShape 1">
          <a:extLst>
            <a:ext uri="{FF2B5EF4-FFF2-40B4-BE49-F238E27FC236}">
              <a16:creationId xmlns:a16="http://schemas.microsoft.com/office/drawing/2014/main" id="{00000000-0008-0000-0F00-00007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2" name="AutoShape 1">
          <a:extLst>
            <a:ext uri="{FF2B5EF4-FFF2-40B4-BE49-F238E27FC236}">
              <a16:creationId xmlns:a16="http://schemas.microsoft.com/office/drawing/2014/main" id="{00000000-0008-0000-0F00-00008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3" name="AutoShape 1">
          <a:extLst>
            <a:ext uri="{FF2B5EF4-FFF2-40B4-BE49-F238E27FC236}">
              <a16:creationId xmlns:a16="http://schemas.microsoft.com/office/drawing/2014/main" id="{00000000-0008-0000-0F00-00008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4" name="AutoShape 1">
          <a:extLst>
            <a:ext uri="{FF2B5EF4-FFF2-40B4-BE49-F238E27FC236}">
              <a16:creationId xmlns:a16="http://schemas.microsoft.com/office/drawing/2014/main" id="{00000000-0008-0000-0F00-00008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5" name="AutoShape 1">
          <a:extLst>
            <a:ext uri="{FF2B5EF4-FFF2-40B4-BE49-F238E27FC236}">
              <a16:creationId xmlns:a16="http://schemas.microsoft.com/office/drawing/2014/main" id="{00000000-0008-0000-0F00-00008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6" name="AutoShape 1">
          <a:extLst>
            <a:ext uri="{FF2B5EF4-FFF2-40B4-BE49-F238E27FC236}">
              <a16:creationId xmlns:a16="http://schemas.microsoft.com/office/drawing/2014/main" id="{00000000-0008-0000-0F00-00008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7" name="AutoShape 1">
          <a:extLst>
            <a:ext uri="{FF2B5EF4-FFF2-40B4-BE49-F238E27FC236}">
              <a16:creationId xmlns:a16="http://schemas.microsoft.com/office/drawing/2014/main" id="{00000000-0008-0000-0F00-00008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8" name="AutoShape 1">
          <a:extLst>
            <a:ext uri="{FF2B5EF4-FFF2-40B4-BE49-F238E27FC236}">
              <a16:creationId xmlns:a16="http://schemas.microsoft.com/office/drawing/2014/main" id="{00000000-0008-0000-0F00-00008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59" name="AutoShape 1">
          <a:extLst>
            <a:ext uri="{FF2B5EF4-FFF2-40B4-BE49-F238E27FC236}">
              <a16:creationId xmlns:a16="http://schemas.microsoft.com/office/drawing/2014/main" id="{00000000-0008-0000-0F00-00008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0" name="AutoShape 1">
          <a:extLst>
            <a:ext uri="{FF2B5EF4-FFF2-40B4-BE49-F238E27FC236}">
              <a16:creationId xmlns:a16="http://schemas.microsoft.com/office/drawing/2014/main" id="{00000000-0008-0000-0F00-00008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1" name="AutoShape 1">
          <a:extLst>
            <a:ext uri="{FF2B5EF4-FFF2-40B4-BE49-F238E27FC236}">
              <a16:creationId xmlns:a16="http://schemas.microsoft.com/office/drawing/2014/main" id="{00000000-0008-0000-0F00-00008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2" name="AutoShape 1">
          <a:extLst>
            <a:ext uri="{FF2B5EF4-FFF2-40B4-BE49-F238E27FC236}">
              <a16:creationId xmlns:a16="http://schemas.microsoft.com/office/drawing/2014/main" id="{00000000-0008-0000-0F00-00008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3" name="AutoShape 1">
          <a:extLst>
            <a:ext uri="{FF2B5EF4-FFF2-40B4-BE49-F238E27FC236}">
              <a16:creationId xmlns:a16="http://schemas.microsoft.com/office/drawing/2014/main" id="{00000000-0008-0000-0F00-00008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4" name="AutoShape 1">
          <a:extLst>
            <a:ext uri="{FF2B5EF4-FFF2-40B4-BE49-F238E27FC236}">
              <a16:creationId xmlns:a16="http://schemas.microsoft.com/office/drawing/2014/main" id="{00000000-0008-0000-0F00-00008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5" name="AutoShape 1">
          <a:extLst>
            <a:ext uri="{FF2B5EF4-FFF2-40B4-BE49-F238E27FC236}">
              <a16:creationId xmlns:a16="http://schemas.microsoft.com/office/drawing/2014/main" id="{00000000-0008-0000-0F00-00008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6" name="AutoShape 1">
          <a:extLst>
            <a:ext uri="{FF2B5EF4-FFF2-40B4-BE49-F238E27FC236}">
              <a16:creationId xmlns:a16="http://schemas.microsoft.com/office/drawing/2014/main" id="{00000000-0008-0000-0F00-00008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7" name="AutoShape 1">
          <a:extLst>
            <a:ext uri="{FF2B5EF4-FFF2-40B4-BE49-F238E27FC236}">
              <a16:creationId xmlns:a16="http://schemas.microsoft.com/office/drawing/2014/main" id="{00000000-0008-0000-0F00-00008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8" name="AutoShape 1">
          <a:extLst>
            <a:ext uri="{FF2B5EF4-FFF2-40B4-BE49-F238E27FC236}">
              <a16:creationId xmlns:a16="http://schemas.microsoft.com/office/drawing/2014/main" id="{00000000-0008-0000-0F00-00009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69" name="AutoShape 1">
          <a:extLst>
            <a:ext uri="{FF2B5EF4-FFF2-40B4-BE49-F238E27FC236}">
              <a16:creationId xmlns:a16="http://schemas.microsoft.com/office/drawing/2014/main" id="{00000000-0008-0000-0F00-00009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0" name="AutoShape 1">
          <a:extLst>
            <a:ext uri="{FF2B5EF4-FFF2-40B4-BE49-F238E27FC236}">
              <a16:creationId xmlns:a16="http://schemas.microsoft.com/office/drawing/2014/main" id="{00000000-0008-0000-0F00-00009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1" name="AutoShape 1">
          <a:extLst>
            <a:ext uri="{FF2B5EF4-FFF2-40B4-BE49-F238E27FC236}">
              <a16:creationId xmlns:a16="http://schemas.microsoft.com/office/drawing/2014/main" id="{00000000-0008-0000-0F00-00009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2" name="AutoShape 1">
          <a:extLst>
            <a:ext uri="{FF2B5EF4-FFF2-40B4-BE49-F238E27FC236}">
              <a16:creationId xmlns:a16="http://schemas.microsoft.com/office/drawing/2014/main" id="{00000000-0008-0000-0F00-00009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3" name="AutoShape 1">
          <a:extLst>
            <a:ext uri="{FF2B5EF4-FFF2-40B4-BE49-F238E27FC236}">
              <a16:creationId xmlns:a16="http://schemas.microsoft.com/office/drawing/2014/main" id="{00000000-0008-0000-0F00-00009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4" name="AutoShape 1">
          <a:extLst>
            <a:ext uri="{FF2B5EF4-FFF2-40B4-BE49-F238E27FC236}">
              <a16:creationId xmlns:a16="http://schemas.microsoft.com/office/drawing/2014/main" id="{00000000-0008-0000-0F00-00009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5" name="AutoShape 1">
          <a:extLst>
            <a:ext uri="{FF2B5EF4-FFF2-40B4-BE49-F238E27FC236}">
              <a16:creationId xmlns:a16="http://schemas.microsoft.com/office/drawing/2014/main" id="{00000000-0008-0000-0F00-00009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6" name="AutoShape 1">
          <a:extLst>
            <a:ext uri="{FF2B5EF4-FFF2-40B4-BE49-F238E27FC236}">
              <a16:creationId xmlns:a16="http://schemas.microsoft.com/office/drawing/2014/main" id="{00000000-0008-0000-0F00-00009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7" name="AutoShape 1">
          <a:extLst>
            <a:ext uri="{FF2B5EF4-FFF2-40B4-BE49-F238E27FC236}">
              <a16:creationId xmlns:a16="http://schemas.microsoft.com/office/drawing/2014/main" id="{00000000-0008-0000-0F00-00009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8" name="AutoShape 1">
          <a:extLst>
            <a:ext uri="{FF2B5EF4-FFF2-40B4-BE49-F238E27FC236}">
              <a16:creationId xmlns:a16="http://schemas.microsoft.com/office/drawing/2014/main" id="{00000000-0008-0000-0F00-00009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79" name="AutoShape 1">
          <a:extLst>
            <a:ext uri="{FF2B5EF4-FFF2-40B4-BE49-F238E27FC236}">
              <a16:creationId xmlns:a16="http://schemas.microsoft.com/office/drawing/2014/main" id="{00000000-0008-0000-0F00-00009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0" name="AutoShape 1">
          <a:extLst>
            <a:ext uri="{FF2B5EF4-FFF2-40B4-BE49-F238E27FC236}">
              <a16:creationId xmlns:a16="http://schemas.microsoft.com/office/drawing/2014/main" id="{00000000-0008-0000-0F00-00009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1" name="AutoShape 1">
          <a:extLst>
            <a:ext uri="{FF2B5EF4-FFF2-40B4-BE49-F238E27FC236}">
              <a16:creationId xmlns:a16="http://schemas.microsoft.com/office/drawing/2014/main" id="{00000000-0008-0000-0F00-00009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2" name="AutoShape 1">
          <a:extLst>
            <a:ext uri="{FF2B5EF4-FFF2-40B4-BE49-F238E27FC236}">
              <a16:creationId xmlns:a16="http://schemas.microsoft.com/office/drawing/2014/main" id="{00000000-0008-0000-0F00-00009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3" name="AutoShape 1">
          <a:extLst>
            <a:ext uri="{FF2B5EF4-FFF2-40B4-BE49-F238E27FC236}">
              <a16:creationId xmlns:a16="http://schemas.microsoft.com/office/drawing/2014/main" id="{00000000-0008-0000-0F00-00009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4" name="AutoShape 1">
          <a:extLst>
            <a:ext uri="{FF2B5EF4-FFF2-40B4-BE49-F238E27FC236}">
              <a16:creationId xmlns:a16="http://schemas.microsoft.com/office/drawing/2014/main" id="{00000000-0008-0000-0F00-0000A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5" name="AutoShape 1">
          <a:extLst>
            <a:ext uri="{FF2B5EF4-FFF2-40B4-BE49-F238E27FC236}">
              <a16:creationId xmlns:a16="http://schemas.microsoft.com/office/drawing/2014/main" id="{00000000-0008-0000-0F00-0000A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6" name="AutoShape 1">
          <a:extLst>
            <a:ext uri="{FF2B5EF4-FFF2-40B4-BE49-F238E27FC236}">
              <a16:creationId xmlns:a16="http://schemas.microsoft.com/office/drawing/2014/main" id="{00000000-0008-0000-0F00-0000A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7" name="AutoShape 1">
          <a:extLst>
            <a:ext uri="{FF2B5EF4-FFF2-40B4-BE49-F238E27FC236}">
              <a16:creationId xmlns:a16="http://schemas.microsoft.com/office/drawing/2014/main" id="{00000000-0008-0000-0F00-0000A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8" name="AutoShape 1">
          <a:extLst>
            <a:ext uri="{FF2B5EF4-FFF2-40B4-BE49-F238E27FC236}">
              <a16:creationId xmlns:a16="http://schemas.microsoft.com/office/drawing/2014/main" id="{00000000-0008-0000-0F00-0000A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89" name="AutoShape 1">
          <a:extLst>
            <a:ext uri="{FF2B5EF4-FFF2-40B4-BE49-F238E27FC236}">
              <a16:creationId xmlns:a16="http://schemas.microsoft.com/office/drawing/2014/main" id="{00000000-0008-0000-0F00-0000A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0" name="AutoShape 1">
          <a:extLst>
            <a:ext uri="{FF2B5EF4-FFF2-40B4-BE49-F238E27FC236}">
              <a16:creationId xmlns:a16="http://schemas.microsoft.com/office/drawing/2014/main" id="{00000000-0008-0000-0F00-0000A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1" name="AutoShape 1">
          <a:extLst>
            <a:ext uri="{FF2B5EF4-FFF2-40B4-BE49-F238E27FC236}">
              <a16:creationId xmlns:a16="http://schemas.microsoft.com/office/drawing/2014/main" id="{00000000-0008-0000-0F00-0000A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2" name="AutoShape 1">
          <a:extLst>
            <a:ext uri="{FF2B5EF4-FFF2-40B4-BE49-F238E27FC236}">
              <a16:creationId xmlns:a16="http://schemas.microsoft.com/office/drawing/2014/main" id="{00000000-0008-0000-0F00-0000A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3" name="AutoShape 1">
          <a:extLst>
            <a:ext uri="{FF2B5EF4-FFF2-40B4-BE49-F238E27FC236}">
              <a16:creationId xmlns:a16="http://schemas.microsoft.com/office/drawing/2014/main" id="{00000000-0008-0000-0F00-0000A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4" name="AutoShape 1">
          <a:extLst>
            <a:ext uri="{FF2B5EF4-FFF2-40B4-BE49-F238E27FC236}">
              <a16:creationId xmlns:a16="http://schemas.microsoft.com/office/drawing/2014/main" id="{00000000-0008-0000-0F00-0000A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5" name="AutoShape 1">
          <a:extLst>
            <a:ext uri="{FF2B5EF4-FFF2-40B4-BE49-F238E27FC236}">
              <a16:creationId xmlns:a16="http://schemas.microsoft.com/office/drawing/2014/main" id="{00000000-0008-0000-0F00-0000A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6" name="AutoShape 1">
          <a:extLst>
            <a:ext uri="{FF2B5EF4-FFF2-40B4-BE49-F238E27FC236}">
              <a16:creationId xmlns:a16="http://schemas.microsoft.com/office/drawing/2014/main" id="{00000000-0008-0000-0F00-0000A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7" name="AutoShape 1">
          <a:extLst>
            <a:ext uri="{FF2B5EF4-FFF2-40B4-BE49-F238E27FC236}">
              <a16:creationId xmlns:a16="http://schemas.microsoft.com/office/drawing/2014/main" id="{00000000-0008-0000-0F00-0000A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8" name="AutoShape 1">
          <a:extLst>
            <a:ext uri="{FF2B5EF4-FFF2-40B4-BE49-F238E27FC236}">
              <a16:creationId xmlns:a16="http://schemas.microsoft.com/office/drawing/2014/main" id="{00000000-0008-0000-0F00-0000A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599" name="AutoShape 1">
          <a:extLst>
            <a:ext uri="{FF2B5EF4-FFF2-40B4-BE49-F238E27FC236}">
              <a16:creationId xmlns:a16="http://schemas.microsoft.com/office/drawing/2014/main" id="{00000000-0008-0000-0F00-0000A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0" name="AutoShape 1">
          <a:extLst>
            <a:ext uri="{FF2B5EF4-FFF2-40B4-BE49-F238E27FC236}">
              <a16:creationId xmlns:a16="http://schemas.microsoft.com/office/drawing/2014/main" id="{00000000-0008-0000-0F00-0000B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1" name="AutoShape 1">
          <a:extLst>
            <a:ext uri="{FF2B5EF4-FFF2-40B4-BE49-F238E27FC236}">
              <a16:creationId xmlns:a16="http://schemas.microsoft.com/office/drawing/2014/main" id="{00000000-0008-0000-0F00-0000B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2" name="AutoShape 1">
          <a:extLst>
            <a:ext uri="{FF2B5EF4-FFF2-40B4-BE49-F238E27FC236}">
              <a16:creationId xmlns:a16="http://schemas.microsoft.com/office/drawing/2014/main" id="{00000000-0008-0000-0F00-0000B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3" name="AutoShape 1">
          <a:extLst>
            <a:ext uri="{FF2B5EF4-FFF2-40B4-BE49-F238E27FC236}">
              <a16:creationId xmlns:a16="http://schemas.microsoft.com/office/drawing/2014/main" id="{00000000-0008-0000-0F00-0000B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4" name="AutoShape 1">
          <a:extLst>
            <a:ext uri="{FF2B5EF4-FFF2-40B4-BE49-F238E27FC236}">
              <a16:creationId xmlns:a16="http://schemas.microsoft.com/office/drawing/2014/main" id="{00000000-0008-0000-0F00-0000B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5" name="AutoShape 1">
          <a:extLst>
            <a:ext uri="{FF2B5EF4-FFF2-40B4-BE49-F238E27FC236}">
              <a16:creationId xmlns:a16="http://schemas.microsoft.com/office/drawing/2014/main" id="{00000000-0008-0000-0F00-0000B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6" name="AutoShape 1">
          <a:extLst>
            <a:ext uri="{FF2B5EF4-FFF2-40B4-BE49-F238E27FC236}">
              <a16:creationId xmlns:a16="http://schemas.microsoft.com/office/drawing/2014/main" id="{00000000-0008-0000-0F00-0000B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7" name="AutoShape 1">
          <a:extLst>
            <a:ext uri="{FF2B5EF4-FFF2-40B4-BE49-F238E27FC236}">
              <a16:creationId xmlns:a16="http://schemas.microsoft.com/office/drawing/2014/main" id="{00000000-0008-0000-0F00-0000B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8" name="AutoShape 1">
          <a:extLst>
            <a:ext uri="{FF2B5EF4-FFF2-40B4-BE49-F238E27FC236}">
              <a16:creationId xmlns:a16="http://schemas.microsoft.com/office/drawing/2014/main" id="{00000000-0008-0000-0F00-0000B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09" name="AutoShape 1">
          <a:extLst>
            <a:ext uri="{FF2B5EF4-FFF2-40B4-BE49-F238E27FC236}">
              <a16:creationId xmlns:a16="http://schemas.microsoft.com/office/drawing/2014/main" id="{00000000-0008-0000-0F00-0000B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0" name="AutoShape 1">
          <a:extLst>
            <a:ext uri="{FF2B5EF4-FFF2-40B4-BE49-F238E27FC236}">
              <a16:creationId xmlns:a16="http://schemas.microsoft.com/office/drawing/2014/main" id="{00000000-0008-0000-0F00-0000B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1" name="AutoShape 1">
          <a:extLst>
            <a:ext uri="{FF2B5EF4-FFF2-40B4-BE49-F238E27FC236}">
              <a16:creationId xmlns:a16="http://schemas.microsoft.com/office/drawing/2014/main" id="{00000000-0008-0000-0F00-0000B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2" name="AutoShape 1">
          <a:extLst>
            <a:ext uri="{FF2B5EF4-FFF2-40B4-BE49-F238E27FC236}">
              <a16:creationId xmlns:a16="http://schemas.microsoft.com/office/drawing/2014/main" id="{00000000-0008-0000-0F00-0000B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3" name="AutoShape 1">
          <a:extLst>
            <a:ext uri="{FF2B5EF4-FFF2-40B4-BE49-F238E27FC236}">
              <a16:creationId xmlns:a16="http://schemas.microsoft.com/office/drawing/2014/main" id="{00000000-0008-0000-0F00-0000B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4" name="AutoShape 1">
          <a:extLst>
            <a:ext uri="{FF2B5EF4-FFF2-40B4-BE49-F238E27FC236}">
              <a16:creationId xmlns:a16="http://schemas.microsoft.com/office/drawing/2014/main" id="{00000000-0008-0000-0F00-0000B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5" name="AutoShape 1">
          <a:extLst>
            <a:ext uri="{FF2B5EF4-FFF2-40B4-BE49-F238E27FC236}">
              <a16:creationId xmlns:a16="http://schemas.microsoft.com/office/drawing/2014/main" id="{00000000-0008-0000-0F00-0000B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6" name="AutoShape 1">
          <a:extLst>
            <a:ext uri="{FF2B5EF4-FFF2-40B4-BE49-F238E27FC236}">
              <a16:creationId xmlns:a16="http://schemas.microsoft.com/office/drawing/2014/main" id="{00000000-0008-0000-0F00-0000C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7" name="AutoShape 1">
          <a:extLst>
            <a:ext uri="{FF2B5EF4-FFF2-40B4-BE49-F238E27FC236}">
              <a16:creationId xmlns:a16="http://schemas.microsoft.com/office/drawing/2014/main" id="{00000000-0008-0000-0F00-0000C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8" name="AutoShape 1">
          <a:extLst>
            <a:ext uri="{FF2B5EF4-FFF2-40B4-BE49-F238E27FC236}">
              <a16:creationId xmlns:a16="http://schemas.microsoft.com/office/drawing/2014/main" id="{00000000-0008-0000-0F00-0000C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19" name="AutoShape 1">
          <a:extLst>
            <a:ext uri="{FF2B5EF4-FFF2-40B4-BE49-F238E27FC236}">
              <a16:creationId xmlns:a16="http://schemas.microsoft.com/office/drawing/2014/main" id="{00000000-0008-0000-0F00-0000C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0" name="AutoShape 1">
          <a:extLst>
            <a:ext uri="{FF2B5EF4-FFF2-40B4-BE49-F238E27FC236}">
              <a16:creationId xmlns:a16="http://schemas.microsoft.com/office/drawing/2014/main" id="{00000000-0008-0000-0F00-0000C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1" name="AutoShape 1">
          <a:extLst>
            <a:ext uri="{FF2B5EF4-FFF2-40B4-BE49-F238E27FC236}">
              <a16:creationId xmlns:a16="http://schemas.microsoft.com/office/drawing/2014/main" id="{00000000-0008-0000-0F00-0000C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2" name="AutoShape 1">
          <a:extLst>
            <a:ext uri="{FF2B5EF4-FFF2-40B4-BE49-F238E27FC236}">
              <a16:creationId xmlns:a16="http://schemas.microsoft.com/office/drawing/2014/main" id="{00000000-0008-0000-0F00-0000C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3" name="AutoShape 1">
          <a:extLst>
            <a:ext uri="{FF2B5EF4-FFF2-40B4-BE49-F238E27FC236}">
              <a16:creationId xmlns:a16="http://schemas.microsoft.com/office/drawing/2014/main" id="{00000000-0008-0000-0F00-0000C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4" name="AutoShape 1">
          <a:extLst>
            <a:ext uri="{FF2B5EF4-FFF2-40B4-BE49-F238E27FC236}">
              <a16:creationId xmlns:a16="http://schemas.microsoft.com/office/drawing/2014/main" id="{00000000-0008-0000-0F00-0000C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5" name="AutoShape 1">
          <a:extLst>
            <a:ext uri="{FF2B5EF4-FFF2-40B4-BE49-F238E27FC236}">
              <a16:creationId xmlns:a16="http://schemas.microsoft.com/office/drawing/2014/main" id="{00000000-0008-0000-0F00-0000C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6" name="AutoShape 1">
          <a:extLst>
            <a:ext uri="{FF2B5EF4-FFF2-40B4-BE49-F238E27FC236}">
              <a16:creationId xmlns:a16="http://schemas.microsoft.com/office/drawing/2014/main" id="{00000000-0008-0000-0F00-0000C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7" name="AutoShape 1">
          <a:extLst>
            <a:ext uri="{FF2B5EF4-FFF2-40B4-BE49-F238E27FC236}">
              <a16:creationId xmlns:a16="http://schemas.microsoft.com/office/drawing/2014/main" id="{00000000-0008-0000-0F00-0000C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8" name="AutoShape 1">
          <a:extLst>
            <a:ext uri="{FF2B5EF4-FFF2-40B4-BE49-F238E27FC236}">
              <a16:creationId xmlns:a16="http://schemas.microsoft.com/office/drawing/2014/main" id="{00000000-0008-0000-0F00-0000C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29" name="AutoShape 1">
          <a:extLst>
            <a:ext uri="{FF2B5EF4-FFF2-40B4-BE49-F238E27FC236}">
              <a16:creationId xmlns:a16="http://schemas.microsoft.com/office/drawing/2014/main" id="{00000000-0008-0000-0F00-0000C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0" name="AutoShape 1">
          <a:extLst>
            <a:ext uri="{FF2B5EF4-FFF2-40B4-BE49-F238E27FC236}">
              <a16:creationId xmlns:a16="http://schemas.microsoft.com/office/drawing/2014/main" id="{00000000-0008-0000-0F00-0000C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1" name="AutoShape 1">
          <a:extLst>
            <a:ext uri="{FF2B5EF4-FFF2-40B4-BE49-F238E27FC236}">
              <a16:creationId xmlns:a16="http://schemas.microsoft.com/office/drawing/2014/main" id="{00000000-0008-0000-0F00-0000C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2" name="AutoShape 1">
          <a:extLst>
            <a:ext uri="{FF2B5EF4-FFF2-40B4-BE49-F238E27FC236}">
              <a16:creationId xmlns:a16="http://schemas.microsoft.com/office/drawing/2014/main" id="{00000000-0008-0000-0F00-0000D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3" name="AutoShape 1">
          <a:extLst>
            <a:ext uri="{FF2B5EF4-FFF2-40B4-BE49-F238E27FC236}">
              <a16:creationId xmlns:a16="http://schemas.microsoft.com/office/drawing/2014/main" id="{00000000-0008-0000-0F00-0000D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4" name="AutoShape 1">
          <a:extLst>
            <a:ext uri="{FF2B5EF4-FFF2-40B4-BE49-F238E27FC236}">
              <a16:creationId xmlns:a16="http://schemas.microsoft.com/office/drawing/2014/main" id="{00000000-0008-0000-0F00-0000D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5" name="AutoShape 1">
          <a:extLst>
            <a:ext uri="{FF2B5EF4-FFF2-40B4-BE49-F238E27FC236}">
              <a16:creationId xmlns:a16="http://schemas.microsoft.com/office/drawing/2014/main" id="{00000000-0008-0000-0F00-0000D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6" name="AutoShape 1">
          <a:extLst>
            <a:ext uri="{FF2B5EF4-FFF2-40B4-BE49-F238E27FC236}">
              <a16:creationId xmlns:a16="http://schemas.microsoft.com/office/drawing/2014/main" id="{00000000-0008-0000-0F00-0000D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7" name="AutoShape 1">
          <a:extLst>
            <a:ext uri="{FF2B5EF4-FFF2-40B4-BE49-F238E27FC236}">
              <a16:creationId xmlns:a16="http://schemas.microsoft.com/office/drawing/2014/main" id="{00000000-0008-0000-0F00-0000D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8" name="AutoShape 1">
          <a:extLst>
            <a:ext uri="{FF2B5EF4-FFF2-40B4-BE49-F238E27FC236}">
              <a16:creationId xmlns:a16="http://schemas.microsoft.com/office/drawing/2014/main" id="{00000000-0008-0000-0F00-0000D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39" name="AutoShape 1">
          <a:extLst>
            <a:ext uri="{FF2B5EF4-FFF2-40B4-BE49-F238E27FC236}">
              <a16:creationId xmlns:a16="http://schemas.microsoft.com/office/drawing/2014/main" id="{00000000-0008-0000-0F00-0000D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0" name="AutoShape 1">
          <a:extLst>
            <a:ext uri="{FF2B5EF4-FFF2-40B4-BE49-F238E27FC236}">
              <a16:creationId xmlns:a16="http://schemas.microsoft.com/office/drawing/2014/main" id="{00000000-0008-0000-0F00-0000D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1" name="AutoShape 1">
          <a:extLst>
            <a:ext uri="{FF2B5EF4-FFF2-40B4-BE49-F238E27FC236}">
              <a16:creationId xmlns:a16="http://schemas.microsoft.com/office/drawing/2014/main" id="{00000000-0008-0000-0F00-0000D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2" name="AutoShape 1">
          <a:extLst>
            <a:ext uri="{FF2B5EF4-FFF2-40B4-BE49-F238E27FC236}">
              <a16:creationId xmlns:a16="http://schemas.microsoft.com/office/drawing/2014/main" id="{00000000-0008-0000-0F00-0000D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3" name="AutoShape 1">
          <a:extLst>
            <a:ext uri="{FF2B5EF4-FFF2-40B4-BE49-F238E27FC236}">
              <a16:creationId xmlns:a16="http://schemas.microsoft.com/office/drawing/2014/main" id="{00000000-0008-0000-0F00-0000D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4" name="AutoShape 1">
          <a:extLst>
            <a:ext uri="{FF2B5EF4-FFF2-40B4-BE49-F238E27FC236}">
              <a16:creationId xmlns:a16="http://schemas.microsoft.com/office/drawing/2014/main" id="{00000000-0008-0000-0F00-0000D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5" name="AutoShape 1">
          <a:extLst>
            <a:ext uri="{FF2B5EF4-FFF2-40B4-BE49-F238E27FC236}">
              <a16:creationId xmlns:a16="http://schemas.microsoft.com/office/drawing/2014/main" id="{00000000-0008-0000-0F00-0000D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6" name="AutoShape 1">
          <a:extLst>
            <a:ext uri="{FF2B5EF4-FFF2-40B4-BE49-F238E27FC236}">
              <a16:creationId xmlns:a16="http://schemas.microsoft.com/office/drawing/2014/main" id="{00000000-0008-0000-0F00-0000D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7" name="AutoShape 1">
          <a:extLst>
            <a:ext uri="{FF2B5EF4-FFF2-40B4-BE49-F238E27FC236}">
              <a16:creationId xmlns:a16="http://schemas.microsoft.com/office/drawing/2014/main" id="{00000000-0008-0000-0F00-0000D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8" name="AutoShape 1">
          <a:extLst>
            <a:ext uri="{FF2B5EF4-FFF2-40B4-BE49-F238E27FC236}">
              <a16:creationId xmlns:a16="http://schemas.microsoft.com/office/drawing/2014/main" id="{00000000-0008-0000-0F00-0000E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49" name="AutoShape 1">
          <a:extLst>
            <a:ext uri="{FF2B5EF4-FFF2-40B4-BE49-F238E27FC236}">
              <a16:creationId xmlns:a16="http://schemas.microsoft.com/office/drawing/2014/main" id="{00000000-0008-0000-0F00-0000E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0" name="AutoShape 1">
          <a:extLst>
            <a:ext uri="{FF2B5EF4-FFF2-40B4-BE49-F238E27FC236}">
              <a16:creationId xmlns:a16="http://schemas.microsoft.com/office/drawing/2014/main" id="{00000000-0008-0000-0F00-0000E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1" name="AutoShape 1">
          <a:extLst>
            <a:ext uri="{FF2B5EF4-FFF2-40B4-BE49-F238E27FC236}">
              <a16:creationId xmlns:a16="http://schemas.microsoft.com/office/drawing/2014/main" id="{00000000-0008-0000-0F00-0000E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2" name="AutoShape 1">
          <a:extLst>
            <a:ext uri="{FF2B5EF4-FFF2-40B4-BE49-F238E27FC236}">
              <a16:creationId xmlns:a16="http://schemas.microsoft.com/office/drawing/2014/main" id="{00000000-0008-0000-0F00-0000E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3" name="AutoShape 1">
          <a:extLst>
            <a:ext uri="{FF2B5EF4-FFF2-40B4-BE49-F238E27FC236}">
              <a16:creationId xmlns:a16="http://schemas.microsoft.com/office/drawing/2014/main" id="{00000000-0008-0000-0F00-0000E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4" name="AutoShape 1">
          <a:extLst>
            <a:ext uri="{FF2B5EF4-FFF2-40B4-BE49-F238E27FC236}">
              <a16:creationId xmlns:a16="http://schemas.microsoft.com/office/drawing/2014/main" id="{00000000-0008-0000-0F00-0000E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5" name="AutoShape 1">
          <a:extLst>
            <a:ext uri="{FF2B5EF4-FFF2-40B4-BE49-F238E27FC236}">
              <a16:creationId xmlns:a16="http://schemas.microsoft.com/office/drawing/2014/main" id="{00000000-0008-0000-0F00-0000E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6" name="AutoShape 1">
          <a:extLst>
            <a:ext uri="{FF2B5EF4-FFF2-40B4-BE49-F238E27FC236}">
              <a16:creationId xmlns:a16="http://schemas.microsoft.com/office/drawing/2014/main" id="{00000000-0008-0000-0F00-0000E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7" name="AutoShape 1">
          <a:extLst>
            <a:ext uri="{FF2B5EF4-FFF2-40B4-BE49-F238E27FC236}">
              <a16:creationId xmlns:a16="http://schemas.microsoft.com/office/drawing/2014/main" id="{00000000-0008-0000-0F00-0000E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8" name="AutoShape 1">
          <a:extLst>
            <a:ext uri="{FF2B5EF4-FFF2-40B4-BE49-F238E27FC236}">
              <a16:creationId xmlns:a16="http://schemas.microsoft.com/office/drawing/2014/main" id="{00000000-0008-0000-0F00-0000E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59" name="AutoShape 1">
          <a:extLst>
            <a:ext uri="{FF2B5EF4-FFF2-40B4-BE49-F238E27FC236}">
              <a16:creationId xmlns:a16="http://schemas.microsoft.com/office/drawing/2014/main" id="{00000000-0008-0000-0F00-0000E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0" name="AutoShape 1">
          <a:extLst>
            <a:ext uri="{FF2B5EF4-FFF2-40B4-BE49-F238E27FC236}">
              <a16:creationId xmlns:a16="http://schemas.microsoft.com/office/drawing/2014/main" id="{00000000-0008-0000-0F00-0000E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1" name="AutoShape 1">
          <a:extLst>
            <a:ext uri="{FF2B5EF4-FFF2-40B4-BE49-F238E27FC236}">
              <a16:creationId xmlns:a16="http://schemas.microsoft.com/office/drawing/2014/main" id="{00000000-0008-0000-0F00-0000E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2" name="AutoShape 1">
          <a:extLst>
            <a:ext uri="{FF2B5EF4-FFF2-40B4-BE49-F238E27FC236}">
              <a16:creationId xmlns:a16="http://schemas.microsoft.com/office/drawing/2014/main" id="{00000000-0008-0000-0F00-0000E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3" name="AutoShape 1">
          <a:extLst>
            <a:ext uri="{FF2B5EF4-FFF2-40B4-BE49-F238E27FC236}">
              <a16:creationId xmlns:a16="http://schemas.microsoft.com/office/drawing/2014/main" id="{00000000-0008-0000-0F00-0000E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4" name="AutoShape 1">
          <a:extLst>
            <a:ext uri="{FF2B5EF4-FFF2-40B4-BE49-F238E27FC236}">
              <a16:creationId xmlns:a16="http://schemas.microsoft.com/office/drawing/2014/main" id="{00000000-0008-0000-0F00-0000F0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5" name="AutoShape 1">
          <a:extLst>
            <a:ext uri="{FF2B5EF4-FFF2-40B4-BE49-F238E27FC236}">
              <a16:creationId xmlns:a16="http://schemas.microsoft.com/office/drawing/2014/main" id="{00000000-0008-0000-0F00-0000F1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6" name="AutoShape 1">
          <a:extLst>
            <a:ext uri="{FF2B5EF4-FFF2-40B4-BE49-F238E27FC236}">
              <a16:creationId xmlns:a16="http://schemas.microsoft.com/office/drawing/2014/main" id="{00000000-0008-0000-0F00-0000F2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7" name="AutoShape 1">
          <a:extLst>
            <a:ext uri="{FF2B5EF4-FFF2-40B4-BE49-F238E27FC236}">
              <a16:creationId xmlns:a16="http://schemas.microsoft.com/office/drawing/2014/main" id="{00000000-0008-0000-0F00-0000F3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8" name="AutoShape 1">
          <a:extLst>
            <a:ext uri="{FF2B5EF4-FFF2-40B4-BE49-F238E27FC236}">
              <a16:creationId xmlns:a16="http://schemas.microsoft.com/office/drawing/2014/main" id="{00000000-0008-0000-0F00-0000F4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69" name="AutoShape 1">
          <a:extLst>
            <a:ext uri="{FF2B5EF4-FFF2-40B4-BE49-F238E27FC236}">
              <a16:creationId xmlns:a16="http://schemas.microsoft.com/office/drawing/2014/main" id="{00000000-0008-0000-0F00-0000F5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0" name="AutoShape 1">
          <a:extLst>
            <a:ext uri="{FF2B5EF4-FFF2-40B4-BE49-F238E27FC236}">
              <a16:creationId xmlns:a16="http://schemas.microsoft.com/office/drawing/2014/main" id="{00000000-0008-0000-0F00-0000F6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1" name="AutoShape 1">
          <a:extLst>
            <a:ext uri="{FF2B5EF4-FFF2-40B4-BE49-F238E27FC236}">
              <a16:creationId xmlns:a16="http://schemas.microsoft.com/office/drawing/2014/main" id="{00000000-0008-0000-0F00-0000F7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2" name="AutoShape 1">
          <a:extLst>
            <a:ext uri="{FF2B5EF4-FFF2-40B4-BE49-F238E27FC236}">
              <a16:creationId xmlns:a16="http://schemas.microsoft.com/office/drawing/2014/main" id="{00000000-0008-0000-0F00-0000F8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3" name="AutoShape 1">
          <a:extLst>
            <a:ext uri="{FF2B5EF4-FFF2-40B4-BE49-F238E27FC236}">
              <a16:creationId xmlns:a16="http://schemas.microsoft.com/office/drawing/2014/main" id="{00000000-0008-0000-0F00-0000F9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4" name="AutoShape 1">
          <a:extLst>
            <a:ext uri="{FF2B5EF4-FFF2-40B4-BE49-F238E27FC236}">
              <a16:creationId xmlns:a16="http://schemas.microsoft.com/office/drawing/2014/main" id="{00000000-0008-0000-0F00-0000FA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5" name="AutoShape 1">
          <a:extLst>
            <a:ext uri="{FF2B5EF4-FFF2-40B4-BE49-F238E27FC236}">
              <a16:creationId xmlns:a16="http://schemas.microsoft.com/office/drawing/2014/main" id="{00000000-0008-0000-0F00-0000FB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6" name="AutoShape 1">
          <a:extLst>
            <a:ext uri="{FF2B5EF4-FFF2-40B4-BE49-F238E27FC236}">
              <a16:creationId xmlns:a16="http://schemas.microsoft.com/office/drawing/2014/main" id="{00000000-0008-0000-0F00-0000FC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7" name="AutoShape 1">
          <a:extLst>
            <a:ext uri="{FF2B5EF4-FFF2-40B4-BE49-F238E27FC236}">
              <a16:creationId xmlns:a16="http://schemas.microsoft.com/office/drawing/2014/main" id="{00000000-0008-0000-0F00-0000FD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8" name="AutoShape 1">
          <a:extLst>
            <a:ext uri="{FF2B5EF4-FFF2-40B4-BE49-F238E27FC236}">
              <a16:creationId xmlns:a16="http://schemas.microsoft.com/office/drawing/2014/main" id="{00000000-0008-0000-0F00-0000FE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79" name="AutoShape 1">
          <a:extLst>
            <a:ext uri="{FF2B5EF4-FFF2-40B4-BE49-F238E27FC236}">
              <a16:creationId xmlns:a16="http://schemas.microsoft.com/office/drawing/2014/main" id="{00000000-0008-0000-0F00-0000FF1D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0" name="AutoShape 1">
          <a:extLst>
            <a:ext uri="{FF2B5EF4-FFF2-40B4-BE49-F238E27FC236}">
              <a16:creationId xmlns:a16="http://schemas.microsoft.com/office/drawing/2014/main" id="{00000000-0008-0000-0F00-00000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1" name="AutoShape 1">
          <a:extLst>
            <a:ext uri="{FF2B5EF4-FFF2-40B4-BE49-F238E27FC236}">
              <a16:creationId xmlns:a16="http://schemas.microsoft.com/office/drawing/2014/main" id="{00000000-0008-0000-0F00-00000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2" name="AutoShape 1">
          <a:extLst>
            <a:ext uri="{FF2B5EF4-FFF2-40B4-BE49-F238E27FC236}">
              <a16:creationId xmlns:a16="http://schemas.microsoft.com/office/drawing/2014/main" id="{00000000-0008-0000-0F00-00000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3" name="AutoShape 1">
          <a:extLst>
            <a:ext uri="{FF2B5EF4-FFF2-40B4-BE49-F238E27FC236}">
              <a16:creationId xmlns:a16="http://schemas.microsoft.com/office/drawing/2014/main" id="{00000000-0008-0000-0F00-00000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4" name="AutoShape 1">
          <a:extLst>
            <a:ext uri="{FF2B5EF4-FFF2-40B4-BE49-F238E27FC236}">
              <a16:creationId xmlns:a16="http://schemas.microsoft.com/office/drawing/2014/main" id="{00000000-0008-0000-0F00-00000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5" name="AutoShape 1">
          <a:extLst>
            <a:ext uri="{FF2B5EF4-FFF2-40B4-BE49-F238E27FC236}">
              <a16:creationId xmlns:a16="http://schemas.microsoft.com/office/drawing/2014/main" id="{00000000-0008-0000-0F00-00000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6" name="AutoShape 1">
          <a:extLst>
            <a:ext uri="{FF2B5EF4-FFF2-40B4-BE49-F238E27FC236}">
              <a16:creationId xmlns:a16="http://schemas.microsoft.com/office/drawing/2014/main" id="{00000000-0008-0000-0F00-00000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7" name="AutoShape 1">
          <a:extLst>
            <a:ext uri="{FF2B5EF4-FFF2-40B4-BE49-F238E27FC236}">
              <a16:creationId xmlns:a16="http://schemas.microsoft.com/office/drawing/2014/main" id="{00000000-0008-0000-0F00-00000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8" name="AutoShape 1">
          <a:extLst>
            <a:ext uri="{FF2B5EF4-FFF2-40B4-BE49-F238E27FC236}">
              <a16:creationId xmlns:a16="http://schemas.microsoft.com/office/drawing/2014/main" id="{00000000-0008-0000-0F00-00000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89" name="AutoShape 1">
          <a:extLst>
            <a:ext uri="{FF2B5EF4-FFF2-40B4-BE49-F238E27FC236}">
              <a16:creationId xmlns:a16="http://schemas.microsoft.com/office/drawing/2014/main" id="{00000000-0008-0000-0F00-00000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0" name="AutoShape 1">
          <a:extLst>
            <a:ext uri="{FF2B5EF4-FFF2-40B4-BE49-F238E27FC236}">
              <a16:creationId xmlns:a16="http://schemas.microsoft.com/office/drawing/2014/main" id="{00000000-0008-0000-0F00-00000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1" name="AutoShape 1">
          <a:extLst>
            <a:ext uri="{FF2B5EF4-FFF2-40B4-BE49-F238E27FC236}">
              <a16:creationId xmlns:a16="http://schemas.microsoft.com/office/drawing/2014/main" id="{00000000-0008-0000-0F00-00000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2" name="AutoShape 1">
          <a:extLst>
            <a:ext uri="{FF2B5EF4-FFF2-40B4-BE49-F238E27FC236}">
              <a16:creationId xmlns:a16="http://schemas.microsoft.com/office/drawing/2014/main" id="{00000000-0008-0000-0F00-00000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3" name="AutoShape 1">
          <a:extLst>
            <a:ext uri="{FF2B5EF4-FFF2-40B4-BE49-F238E27FC236}">
              <a16:creationId xmlns:a16="http://schemas.microsoft.com/office/drawing/2014/main" id="{00000000-0008-0000-0F00-00000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4" name="AutoShape 1">
          <a:extLst>
            <a:ext uri="{FF2B5EF4-FFF2-40B4-BE49-F238E27FC236}">
              <a16:creationId xmlns:a16="http://schemas.microsoft.com/office/drawing/2014/main" id="{00000000-0008-0000-0F00-00000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5" name="AutoShape 1">
          <a:extLst>
            <a:ext uri="{FF2B5EF4-FFF2-40B4-BE49-F238E27FC236}">
              <a16:creationId xmlns:a16="http://schemas.microsoft.com/office/drawing/2014/main" id="{00000000-0008-0000-0F00-00000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6" name="AutoShape 1">
          <a:extLst>
            <a:ext uri="{FF2B5EF4-FFF2-40B4-BE49-F238E27FC236}">
              <a16:creationId xmlns:a16="http://schemas.microsoft.com/office/drawing/2014/main" id="{00000000-0008-0000-0F00-00001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7" name="AutoShape 1">
          <a:extLst>
            <a:ext uri="{FF2B5EF4-FFF2-40B4-BE49-F238E27FC236}">
              <a16:creationId xmlns:a16="http://schemas.microsoft.com/office/drawing/2014/main" id="{00000000-0008-0000-0F00-00001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8" name="AutoShape 1">
          <a:extLst>
            <a:ext uri="{FF2B5EF4-FFF2-40B4-BE49-F238E27FC236}">
              <a16:creationId xmlns:a16="http://schemas.microsoft.com/office/drawing/2014/main" id="{00000000-0008-0000-0F00-00001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699" name="AutoShape 1">
          <a:extLst>
            <a:ext uri="{FF2B5EF4-FFF2-40B4-BE49-F238E27FC236}">
              <a16:creationId xmlns:a16="http://schemas.microsoft.com/office/drawing/2014/main" id="{00000000-0008-0000-0F00-00001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0" name="AutoShape 1">
          <a:extLst>
            <a:ext uri="{FF2B5EF4-FFF2-40B4-BE49-F238E27FC236}">
              <a16:creationId xmlns:a16="http://schemas.microsoft.com/office/drawing/2014/main" id="{00000000-0008-0000-0F00-00001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1" name="AutoShape 1">
          <a:extLst>
            <a:ext uri="{FF2B5EF4-FFF2-40B4-BE49-F238E27FC236}">
              <a16:creationId xmlns:a16="http://schemas.microsoft.com/office/drawing/2014/main" id="{00000000-0008-0000-0F00-00001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2" name="AutoShape 1">
          <a:extLst>
            <a:ext uri="{FF2B5EF4-FFF2-40B4-BE49-F238E27FC236}">
              <a16:creationId xmlns:a16="http://schemas.microsoft.com/office/drawing/2014/main" id="{00000000-0008-0000-0F00-00001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3" name="AutoShape 1">
          <a:extLst>
            <a:ext uri="{FF2B5EF4-FFF2-40B4-BE49-F238E27FC236}">
              <a16:creationId xmlns:a16="http://schemas.microsoft.com/office/drawing/2014/main" id="{00000000-0008-0000-0F00-00001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4" name="AutoShape 1">
          <a:extLst>
            <a:ext uri="{FF2B5EF4-FFF2-40B4-BE49-F238E27FC236}">
              <a16:creationId xmlns:a16="http://schemas.microsoft.com/office/drawing/2014/main" id="{00000000-0008-0000-0F00-00001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5" name="AutoShape 1">
          <a:extLst>
            <a:ext uri="{FF2B5EF4-FFF2-40B4-BE49-F238E27FC236}">
              <a16:creationId xmlns:a16="http://schemas.microsoft.com/office/drawing/2014/main" id="{00000000-0008-0000-0F00-00001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6" name="AutoShape 1">
          <a:extLst>
            <a:ext uri="{FF2B5EF4-FFF2-40B4-BE49-F238E27FC236}">
              <a16:creationId xmlns:a16="http://schemas.microsoft.com/office/drawing/2014/main" id="{00000000-0008-0000-0F00-00001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7" name="AutoShape 1">
          <a:extLst>
            <a:ext uri="{FF2B5EF4-FFF2-40B4-BE49-F238E27FC236}">
              <a16:creationId xmlns:a16="http://schemas.microsoft.com/office/drawing/2014/main" id="{00000000-0008-0000-0F00-00001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8" name="AutoShape 1">
          <a:extLst>
            <a:ext uri="{FF2B5EF4-FFF2-40B4-BE49-F238E27FC236}">
              <a16:creationId xmlns:a16="http://schemas.microsoft.com/office/drawing/2014/main" id="{00000000-0008-0000-0F00-00001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09" name="AutoShape 1">
          <a:extLst>
            <a:ext uri="{FF2B5EF4-FFF2-40B4-BE49-F238E27FC236}">
              <a16:creationId xmlns:a16="http://schemas.microsoft.com/office/drawing/2014/main" id="{00000000-0008-0000-0F00-00001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0" name="AutoShape 1">
          <a:extLst>
            <a:ext uri="{FF2B5EF4-FFF2-40B4-BE49-F238E27FC236}">
              <a16:creationId xmlns:a16="http://schemas.microsoft.com/office/drawing/2014/main" id="{00000000-0008-0000-0F00-00001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1" name="AutoShape 1">
          <a:extLst>
            <a:ext uri="{FF2B5EF4-FFF2-40B4-BE49-F238E27FC236}">
              <a16:creationId xmlns:a16="http://schemas.microsoft.com/office/drawing/2014/main" id="{00000000-0008-0000-0F00-00001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2" name="AutoShape 1">
          <a:extLst>
            <a:ext uri="{FF2B5EF4-FFF2-40B4-BE49-F238E27FC236}">
              <a16:creationId xmlns:a16="http://schemas.microsoft.com/office/drawing/2014/main" id="{00000000-0008-0000-0F00-00002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3" name="AutoShape 1">
          <a:extLst>
            <a:ext uri="{FF2B5EF4-FFF2-40B4-BE49-F238E27FC236}">
              <a16:creationId xmlns:a16="http://schemas.microsoft.com/office/drawing/2014/main" id="{00000000-0008-0000-0F00-00002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4" name="AutoShape 1">
          <a:extLst>
            <a:ext uri="{FF2B5EF4-FFF2-40B4-BE49-F238E27FC236}">
              <a16:creationId xmlns:a16="http://schemas.microsoft.com/office/drawing/2014/main" id="{00000000-0008-0000-0F00-00002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5" name="AutoShape 1">
          <a:extLst>
            <a:ext uri="{FF2B5EF4-FFF2-40B4-BE49-F238E27FC236}">
              <a16:creationId xmlns:a16="http://schemas.microsoft.com/office/drawing/2014/main" id="{00000000-0008-0000-0F00-00002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6" name="AutoShape 1">
          <a:extLst>
            <a:ext uri="{FF2B5EF4-FFF2-40B4-BE49-F238E27FC236}">
              <a16:creationId xmlns:a16="http://schemas.microsoft.com/office/drawing/2014/main" id="{00000000-0008-0000-0F00-00002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7" name="AutoShape 1">
          <a:extLst>
            <a:ext uri="{FF2B5EF4-FFF2-40B4-BE49-F238E27FC236}">
              <a16:creationId xmlns:a16="http://schemas.microsoft.com/office/drawing/2014/main" id="{00000000-0008-0000-0F00-00002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8" name="AutoShape 1">
          <a:extLst>
            <a:ext uri="{FF2B5EF4-FFF2-40B4-BE49-F238E27FC236}">
              <a16:creationId xmlns:a16="http://schemas.microsoft.com/office/drawing/2014/main" id="{00000000-0008-0000-0F00-00002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19" name="AutoShape 1">
          <a:extLst>
            <a:ext uri="{FF2B5EF4-FFF2-40B4-BE49-F238E27FC236}">
              <a16:creationId xmlns:a16="http://schemas.microsoft.com/office/drawing/2014/main" id="{00000000-0008-0000-0F00-00002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0" name="AutoShape 1">
          <a:extLst>
            <a:ext uri="{FF2B5EF4-FFF2-40B4-BE49-F238E27FC236}">
              <a16:creationId xmlns:a16="http://schemas.microsoft.com/office/drawing/2014/main" id="{00000000-0008-0000-0F00-00002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1" name="AutoShape 1">
          <a:extLst>
            <a:ext uri="{FF2B5EF4-FFF2-40B4-BE49-F238E27FC236}">
              <a16:creationId xmlns:a16="http://schemas.microsoft.com/office/drawing/2014/main" id="{00000000-0008-0000-0F00-00002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2" name="AutoShape 1">
          <a:extLst>
            <a:ext uri="{FF2B5EF4-FFF2-40B4-BE49-F238E27FC236}">
              <a16:creationId xmlns:a16="http://schemas.microsoft.com/office/drawing/2014/main" id="{00000000-0008-0000-0F00-00002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3" name="AutoShape 1">
          <a:extLst>
            <a:ext uri="{FF2B5EF4-FFF2-40B4-BE49-F238E27FC236}">
              <a16:creationId xmlns:a16="http://schemas.microsoft.com/office/drawing/2014/main" id="{00000000-0008-0000-0F00-00002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4" name="AutoShape 1">
          <a:extLst>
            <a:ext uri="{FF2B5EF4-FFF2-40B4-BE49-F238E27FC236}">
              <a16:creationId xmlns:a16="http://schemas.microsoft.com/office/drawing/2014/main" id="{00000000-0008-0000-0F00-00002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5" name="AutoShape 1">
          <a:extLst>
            <a:ext uri="{FF2B5EF4-FFF2-40B4-BE49-F238E27FC236}">
              <a16:creationId xmlns:a16="http://schemas.microsoft.com/office/drawing/2014/main" id="{00000000-0008-0000-0F00-00002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6" name="AutoShape 1">
          <a:extLst>
            <a:ext uri="{FF2B5EF4-FFF2-40B4-BE49-F238E27FC236}">
              <a16:creationId xmlns:a16="http://schemas.microsoft.com/office/drawing/2014/main" id="{00000000-0008-0000-0F00-00002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7" name="AutoShape 1">
          <a:extLst>
            <a:ext uri="{FF2B5EF4-FFF2-40B4-BE49-F238E27FC236}">
              <a16:creationId xmlns:a16="http://schemas.microsoft.com/office/drawing/2014/main" id="{00000000-0008-0000-0F00-00002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8" name="AutoShape 1">
          <a:extLst>
            <a:ext uri="{FF2B5EF4-FFF2-40B4-BE49-F238E27FC236}">
              <a16:creationId xmlns:a16="http://schemas.microsoft.com/office/drawing/2014/main" id="{00000000-0008-0000-0F00-00003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29" name="AutoShape 1">
          <a:extLst>
            <a:ext uri="{FF2B5EF4-FFF2-40B4-BE49-F238E27FC236}">
              <a16:creationId xmlns:a16="http://schemas.microsoft.com/office/drawing/2014/main" id="{00000000-0008-0000-0F00-00003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0" name="AutoShape 1">
          <a:extLst>
            <a:ext uri="{FF2B5EF4-FFF2-40B4-BE49-F238E27FC236}">
              <a16:creationId xmlns:a16="http://schemas.microsoft.com/office/drawing/2014/main" id="{00000000-0008-0000-0F00-00003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1" name="AutoShape 1">
          <a:extLst>
            <a:ext uri="{FF2B5EF4-FFF2-40B4-BE49-F238E27FC236}">
              <a16:creationId xmlns:a16="http://schemas.microsoft.com/office/drawing/2014/main" id="{00000000-0008-0000-0F00-00003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2" name="AutoShape 1">
          <a:extLst>
            <a:ext uri="{FF2B5EF4-FFF2-40B4-BE49-F238E27FC236}">
              <a16:creationId xmlns:a16="http://schemas.microsoft.com/office/drawing/2014/main" id="{00000000-0008-0000-0F00-00003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3" name="AutoShape 1">
          <a:extLst>
            <a:ext uri="{FF2B5EF4-FFF2-40B4-BE49-F238E27FC236}">
              <a16:creationId xmlns:a16="http://schemas.microsoft.com/office/drawing/2014/main" id="{00000000-0008-0000-0F00-00003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4" name="AutoShape 1">
          <a:extLst>
            <a:ext uri="{FF2B5EF4-FFF2-40B4-BE49-F238E27FC236}">
              <a16:creationId xmlns:a16="http://schemas.microsoft.com/office/drawing/2014/main" id="{00000000-0008-0000-0F00-00003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5" name="AutoShape 1">
          <a:extLst>
            <a:ext uri="{FF2B5EF4-FFF2-40B4-BE49-F238E27FC236}">
              <a16:creationId xmlns:a16="http://schemas.microsoft.com/office/drawing/2014/main" id="{00000000-0008-0000-0F00-00003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6" name="AutoShape 1">
          <a:extLst>
            <a:ext uri="{FF2B5EF4-FFF2-40B4-BE49-F238E27FC236}">
              <a16:creationId xmlns:a16="http://schemas.microsoft.com/office/drawing/2014/main" id="{00000000-0008-0000-0F00-00003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7" name="AutoShape 1">
          <a:extLst>
            <a:ext uri="{FF2B5EF4-FFF2-40B4-BE49-F238E27FC236}">
              <a16:creationId xmlns:a16="http://schemas.microsoft.com/office/drawing/2014/main" id="{00000000-0008-0000-0F00-00003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8" name="AutoShape 1">
          <a:extLst>
            <a:ext uri="{FF2B5EF4-FFF2-40B4-BE49-F238E27FC236}">
              <a16:creationId xmlns:a16="http://schemas.microsoft.com/office/drawing/2014/main" id="{00000000-0008-0000-0F00-00003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39" name="AutoShape 1">
          <a:extLst>
            <a:ext uri="{FF2B5EF4-FFF2-40B4-BE49-F238E27FC236}">
              <a16:creationId xmlns:a16="http://schemas.microsoft.com/office/drawing/2014/main" id="{00000000-0008-0000-0F00-00003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0" name="AutoShape 1">
          <a:extLst>
            <a:ext uri="{FF2B5EF4-FFF2-40B4-BE49-F238E27FC236}">
              <a16:creationId xmlns:a16="http://schemas.microsoft.com/office/drawing/2014/main" id="{00000000-0008-0000-0F00-00003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1" name="AutoShape 1">
          <a:extLst>
            <a:ext uri="{FF2B5EF4-FFF2-40B4-BE49-F238E27FC236}">
              <a16:creationId xmlns:a16="http://schemas.microsoft.com/office/drawing/2014/main" id="{00000000-0008-0000-0F00-00003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2" name="AutoShape 1">
          <a:extLst>
            <a:ext uri="{FF2B5EF4-FFF2-40B4-BE49-F238E27FC236}">
              <a16:creationId xmlns:a16="http://schemas.microsoft.com/office/drawing/2014/main" id="{00000000-0008-0000-0F00-00003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3" name="AutoShape 1">
          <a:extLst>
            <a:ext uri="{FF2B5EF4-FFF2-40B4-BE49-F238E27FC236}">
              <a16:creationId xmlns:a16="http://schemas.microsoft.com/office/drawing/2014/main" id="{00000000-0008-0000-0F00-00003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4" name="AutoShape 1">
          <a:extLst>
            <a:ext uri="{FF2B5EF4-FFF2-40B4-BE49-F238E27FC236}">
              <a16:creationId xmlns:a16="http://schemas.microsoft.com/office/drawing/2014/main" id="{00000000-0008-0000-0F00-00004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5" name="AutoShape 1">
          <a:extLst>
            <a:ext uri="{FF2B5EF4-FFF2-40B4-BE49-F238E27FC236}">
              <a16:creationId xmlns:a16="http://schemas.microsoft.com/office/drawing/2014/main" id="{00000000-0008-0000-0F00-00004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6" name="AutoShape 1">
          <a:extLst>
            <a:ext uri="{FF2B5EF4-FFF2-40B4-BE49-F238E27FC236}">
              <a16:creationId xmlns:a16="http://schemas.microsoft.com/office/drawing/2014/main" id="{00000000-0008-0000-0F00-00004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7" name="AutoShape 1">
          <a:extLst>
            <a:ext uri="{FF2B5EF4-FFF2-40B4-BE49-F238E27FC236}">
              <a16:creationId xmlns:a16="http://schemas.microsoft.com/office/drawing/2014/main" id="{00000000-0008-0000-0F00-00004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8" name="AutoShape 1">
          <a:extLst>
            <a:ext uri="{FF2B5EF4-FFF2-40B4-BE49-F238E27FC236}">
              <a16:creationId xmlns:a16="http://schemas.microsoft.com/office/drawing/2014/main" id="{00000000-0008-0000-0F00-00004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49" name="AutoShape 1">
          <a:extLst>
            <a:ext uri="{FF2B5EF4-FFF2-40B4-BE49-F238E27FC236}">
              <a16:creationId xmlns:a16="http://schemas.microsoft.com/office/drawing/2014/main" id="{00000000-0008-0000-0F00-00004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0" name="AutoShape 1">
          <a:extLst>
            <a:ext uri="{FF2B5EF4-FFF2-40B4-BE49-F238E27FC236}">
              <a16:creationId xmlns:a16="http://schemas.microsoft.com/office/drawing/2014/main" id="{00000000-0008-0000-0F00-00004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1" name="AutoShape 1">
          <a:extLst>
            <a:ext uri="{FF2B5EF4-FFF2-40B4-BE49-F238E27FC236}">
              <a16:creationId xmlns:a16="http://schemas.microsoft.com/office/drawing/2014/main" id="{00000000-0008-0000-0F00-00004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2" name="AutoShape 1">
          <a:extLst>
            <a:ext uri="{FF2B5EF4-FFF2-40B4-BE49-F238E27FC236}">
              <a16:creationId xmlns:a16="http://schemas.microsoft.com/office/drawing/2014/main" id="{00000000-0008-0000-0F00-00004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3" name="AutoShape 1">
          <a:extLst>
            <a:ext uri="{FF2B5EF4-FFF2-40B4-BE49-F238E27FC236}">
              <a16:creationId xmlns:a16="http://schemas.microsoft.com/office/drawing/2014/main" id="{00000000-0008-0000-0F00-00004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4" name="AutoShape 1">
          <a:extLst>
            <a:ext uri="{FF2B5EF4-FFF2-40B4-BE49-F238E27FC236}">
              <a16:creationId xmlns:a16="http://schemas.microsoft.com/office/drawing/2014/main" id="{00000000-0008-0000-0F00-00004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5" name="AutoShape 1">
          <a:extLst>
            <a:ext uri="{FF2B5EF4-FFF2-40B4-BE49-F238E27FC236}">
              <a16:creationId xmlns:a16="http://schemas.microsoft.com/office/drawing/2014/main" id="{00000000-0008-0000-0F00-00004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6" name="AutoShape 1">
          <a:extLst>
            <a:ext uri="{FF2B5EF4-FFF2-40B4-BE49-F238E27FC236}">
              <a16:creationId xmlns:a16="http://schemas.microsoft.com/office/drawing/2014/main" id="{00000000-0008-0000-0F00-00004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7" name="AutoShape 1">
          <a:extLst>
            <a:ext uri="{FF2B5EF4-FFF2-40B4-BE49-F238E27FC236}">
              <a16:creationId xmlns:a16="http://schemas.microsoft.com/office/drawing/2014/main" id="{00000000-0008-0000-0F00-00004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8" name="AutoShape 1">
          <a:extLst>
            <a:ext uri="{FF2B5EF4-FFF2-40B4-BE49-F238E27FC236}">
              <a16:creationId xmlns:a16="http://schemas.microsoft.com/office/drawing/2014/main" id="{00000000-0008-0000-0F00-00004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59" name="AutoShape 1">
          <a:extLst>
            <a:ext uri="{FF2B5EF4-FFF2-40B4-BE49-F238E27FC236}">
              <a16:creationId xmlns:a16="http://schemas.microsoft.com/office/drawing/2014/main" id="{00000000-0008-0000-0F00-00004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0" name="AutoShape 1">
          <a:extLst>
            <a:ext uri="{FF2B5EF4-FFF2-40B4-BE49-F238E27FC236}">
              <a16:creationId xmlns:a16="http://schemas.microsoft.com/office/drawing/2014/main" id="{00000000-0008-0000-0F00-00005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1" name="AutoShape 1">
          <a:extLst>
            <a:ext uri="{FF2B5EF4-FFF2-40B4-BE49-F238E27FC236}">
              <a16:creationId xmlns:a16="http://schemas.microsoft.com/office/drawing/2014/main" id="{00000000-0008-0000-0F00-00005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2" name="AutoShape 1">
          <a:extLst>
            <a:ext uri="{FF2B5EF4-FFF2-40B4-BE49-F238E27FC236}">
              <a16:creationId xmlns:a16="http://schemas.microsoft.com/office/drawing/2014/main" id="{00000000-0008-0000-0F00-00005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3" name="AutoShape 1">
          <a:extLst>
            <a:ext uri="{FF2B5EF4-FFF2-40B4-BE49-F238E27FC236}">
              <a16:creationId xmlns:a16="http://schemas.microsoft.com/office/drawing/2014/main" id="{00000000-0008-0000-0F00-00005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4" name="AutoShape 1">
          <a:extLst>
            <a:ext uri="{FF2B5EF4-FFF2-40B4-BE49-F238E27FC236}">
              <a16:creationId xmlns:a16="http://schemas.microsoft.com/office/drawing/2014/main" id="{00000000-0008-0000-0F00-00005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5" name="AutoShape 1">
          <a:extLst>
            <a:ext uri="{FF2B5EF4-FFF2-40B4-BE49-F238E27FC236}">
              <a16:creationId xmlns:a16="http://schemas.microsoft.com/office/drawing/2014/main" id="{00000000-0008-0000-0F00-00005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6" name="AutoShape 1">
          <a:extLst>
            <a:ext uri="{FF2B5EF4-FFF2-40B4-BE49-F238E27FC236}">
              <a16:creationId xmlns:a16="http://schemas.microsoft.com/office/drawing/2014/main" id="{00000000-0008-0000-0F00-00005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7" name="AutoShape 1">
          <a:extLst>
            <a:ext uri="{FF2B5EF4-FFF2-40B4-BE49-F238E27FC236}">
              <a16:creationId xmlns:a16="http://schemas.microsoft.com/office/drawing/2014/main" id="{00000000-0008-0000-0F00-00005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8" name="AutoShape 1">
          <a:extLst>
            <a:ext uri="{FF2B5EF4-FFF2-40B4-BE49-F238E27FC236}">
              <a16:creationId xmlns:a16="http://schemas.microsoft.com/office/drawing/2014/main" id="{00000000-0008-0000-0F00-00005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69" name="AutoShape 1">
          <a:extLst>
            <a:ext uri="{FF2B5EF4-FFF2-40B4-BE49-F238E27FC236}">
              <a16:creationId xmlns:a16="http://schemas.microsoft.com/office/drawing/2014/main" id="{00000000-0008-0000-0F00-00005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0" name="AutoShape 1">
          <a:extLst>
            <a:ext uri="{FF2B5EF4-FFF2-40B4-BE49-F238E27FC236}">
              <a16:creationId xmlns:a16="http://schemas.microsoft.com/office/drawing/2014/main" id="{00000000-0008-0000-0F00-00005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1" name="AutoShape 1">
          <a:extLst>
            <a:ext uri="{FF2B5EF4-FFF2-40B4-BE49-F238E27FC236}">
              <a16:creationId xmlns:a16="http://schemas.microsoft.com/office/drawing/2014/main" id="{00000000-0008-0000-0F00-00005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2" name="AutoShape 1">
          <a:extLst>
            <a:ext uri="{FF2B5EF4-FFF2-40B4-BE49-F238E27FC236}">
              <a16:creationId xmlns:a16="http://schemas.microsoft.com/office/drawing/2014/main" id="{00000000-0008-0000-0F00-00005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3" name="AutoShape 1">
          <a:extLst>
            <a:ext uri="{FF2B5EF4-FFF2-40B4-BE49-F238E27FC236}">
              <a16:creationId xmlns:a16="http://schemas.microsoft.com/office/drawing/2014/main" id="{00000000-0008-0000-0F00-00005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4" name="AutoShape 1">
          <a:extLst>
            <a:ext uri="{FF2B5EF4-FFF2-40B4-BE49-F238E27FC236}">
              <a16:creationId xmlns:a16="http://schemas.microsoft.com/office/drawing/2014/main" id="{00000000-0008-0000-0F00-00005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5" name="AutoShape 1">
          <a:extLst>
            <a:ext uri="{FF2B5EF4-FFF2-40B4-BE49-F238E27FC236}">
              <a16:creationId xmlns:a16="http://schemas.microsoft.com/office/drawing/2014/main" id="{00000000-0008-0000-0F00-00005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6" name="AutoShape 1">
          <a:extLst>
            <a:ext uri="{FF2B5EF4-FFF2-40B4-BE49-F238E27FC236}">
              <a16:creationId xmlns:a16="http://schemas.microsoft.com/office/drawing/2014/main" id="{00000000-0008-0000-0F00-00006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7" name="AutoShape 1">
          <a:extLst>
            <a:ext uri="{FF2B5EF4-FFF2-40B4-BE49-F238E27FC236}">
              <a16:creationId xmlns:a16="http://schemas.microsoft.com/office/drawing/2014/main" id="{00000000-0008-0000-0F00-00006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8" name="AutoShape 1">
          <a:extLst>
            <a:ext uri="{FF2B5EF4-FFF2-40B4-BE49-F238E27FC236}">
              <a16:creationId xmlns:a16="http://schemas.microsoft.com/office/drawing/2014/main" id="{00000000-0008-0000-0F00-00006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79" name="AutoShape 1">
          <a:extLst>
            <a:ext uri="{FF2B5EF4-FFF2-40B4-BE49-F238E27FC236}">
              <a16:creationId xmlns:a16="http://schemas.microsoft.com/office/drawing/2014/main" id="{00000000-0008-0000-0F00-00006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0" name="AutoShape 1">
          <a:extLst>
            <a:ext uri="{FF2B5EF4-FFF2-40B4-BE49-F238E27FC236}">
              <a16:creationId xmlns:a16="http://schemas.microsoft.com/office/drawing/2014/main" id="{00000000-0008-0000-0F00-00006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1" name="AutoShape 1">
          <a:extLst>
            <a:ext uri="{FF2B5EF4-FFF2-40B4-BE49-F238E27FC236}">
              <a16:creationId xmlns:a16="http://schemas.microsoft.com/office/drawing/2014/main" id="{00000000-0008-0000-0F00-00006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2" name="AutoShape 1">
          <a:extLst>
            <a:ext uri="{FF2B5EF4-FFF2-40B4-BE49-F238E27FC236}">
              <a16:creationId xmlns:a16="http://schemas.microsoft.com/office/drawing/2014/main" id="{00000000-0008-0000-0F00-00006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3" name="AutoShape 1">
          <a:extLst>
            <a:ext uri="{FF2B5EF4-FFF2-40B4-BE49-F238E27FC236}">
              <a16:creationId xmlns:a16="http://schemas.microsoft.com/office/drawing/2014/main" id="{00000000-0008-0000-0F00-00006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4" name="AutoShape 1">
          <a:extLst>
            <a:ext uri="{FF2B5EF4-FFF2-40B4-BE49-F238E27FC236}">
              <a16:creationId xmlns:a16="http://schemas.microsoft.com/office/drawing/2014/main" id="{00000000-0008-0000-0F00-00006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5" name="AutoShape 1">
          <a:extLst>
            <a:ext uri="{FF2B5EF4-FFF2-40B4-BE49-F238E27FC236}">
              <a16:creationId xmlns:a16="http://schemas.microsoft.com/office/drawing/2014/main" id="{00000000-0008-0000-0F00-00006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6" name="AutoShape 1">
          <a:extLst>
            <a:ext uri="{FF2B5EF4-FFF2-40B4-BE49-F238E27FC236}">
              <a16:creationId xmlns:a16="http://schemas.microsoft.com/office/drawing/2014/main" id="{00000000-0008-0000-0F00-00006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7" name="AutoShape 1">
          <a:extLst>
            <a:ext uri="{FF2B5EF4-FFF2-40B4-BE49-F238E27FC236}">
              <a16:creationId xmlns:a16="http://schemas.microsoft.com/office/drawing/2014/main" id="{00000000-0008-0000-0F00-00006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8" name="AutoShape 1">
          <a:extLst>
            <a:ext uri="{FF2B5EF4-FFF2-40B4-BE49-F238E27FC236}">
              <a16:creationId xmlns:a16="http://schemas.microsoft.com/office/drawing/2014/main" id="{00000000-0008-0000-0F00-00006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89" name="AutoShape 1">
          <a:extLst>
            <a:ext uri="{FF2B5EF4-FFF2-40B4-BE49-F238E27FC236}">
              <a16:creationId xmlns:a16="http://schemas.microsoft.com/office/drawing/2014/main" id="{00000000-0008-0000-0F00-00006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0" name="AutoShape 1">
          <a:extLst>
            <a:ext uri="{FF2B5EF4-FFF2-40B4-BE49-F238E27FC236}">
              <a16:creationId xmlns:a16="http://schemas.microsoft.com/office/drawing/2014/main" id="{00000000-0008-0000-0F00-00006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1" name="AutoShape 1">
          <a:extLst>
            <a:ext uri="{FF2B5EF4-FFF2-40B4-BE49-F238E27FC236}">
              <a16:creationId xmlns:a16="http://schemas.microsoft.com/office/drawing/2014/main" id="{00000000-0008-0000-0F00-00006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2" name="AutoShape 1">
          <a:extLst>
            <a:ext uri="{FF2B5EF4-FFF2-40B4-BE49-F238E27FC236}">
              <a16:creationId xmlns:a16="http://schemas.microsoft.com/office/drawing/2014/main" id="{00000000-0008-0000-0F00-00007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3" name="AutoShape 1">
          <a:extLst>
            <a:ext uri="{FF2B5EF4-FFF2-40B4-BE49-F238E27FC236}">
              <a16:creationId xmlns:a16="http://schemas.microsoft.com/office/drawing/2014/main" id="{00000000-0008-0000-0F00-00007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4" name="AutoShape 1">
          <a:extLst>
            <a:ext uri="{FF2B5EF4-FFF2-40B4-BE49-F238E27FC236}">
              <a16:creationId xmlns:a16="http://schemas.microsoft.com/office/drawing/2014/main" id="{00000000-0008-0000-0F00-00007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5" name="AutoShape 1">
          <a:extLst>
            <a:ext uri="{FF2B5EF4-FFF2-40B4-BE49-F238E27FC236}">
              <a16:creationId xmlns:a16="http://schemas.microsoft.com/office/drawing/2014/main" id="{00000000-0008-0000-0F00-00007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6" name="AutoShape 1">
          <a:extLst>
            <a:ext uri="{FF2B5EF4-FFF2-40B4-BE49-F238E27FC236}">
              <a16:creationId xmlns:a16="http://schemas.microsoft.com/office/drawing/2014/main" id="{00000000-0008-0000-0F00-00007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7" name="AutoShape 1">
          <a:extLst>
            <a:ext uri="{FF2B5EF4-FFF2-40B4-BE49-F238E27FC236}">
              <a16:creationId xmlns:a16="http://schemas.microsoft.com/office/drawing/2014/main" id="{00000000-0008-0000-0F00-00007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8" name="AutoShape 1">
          <a:extLst>
            <a:ext uri="{FF2B5EF4-FFF2-40B4-BE49-F238E27FC236}">
              <a16:creationId xmlns:a16="http://schemas.microsoft.com/office/drawing/2014/main" id="{00000000-0008-0000-0F00-00007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799" name="AutoShape 1">
          <a:extLst>
            <a:ext uri="{FF2B5EF4-FFF2-40B4-BE49-F238E27FC236}">
              <a16:creationId xmlns:a16="http://schemas.microsoft.com/office/drawing/2014/main" id="{00000000-0008-0000-0F00-00007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0" name="AutoShape 1">
          <a:extLst>
            <a:ext uri="{FF2B5EF4-FFF2-40B4-BE49-F238E27FC236}">
              <a16:creationId xmlns:a16="http://schemas.microsoft.com/office/drawing/2014/main" id="{00000000-0008-0000-0F00-00007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1" name="AutoShape 1">
          <a:extLst>
            <a:ext uri="{FF2B5EF4-FFF2-40B4-BE49-F238E27FC236}">
              <a16:creationId xmlns:a16="http://schemas.microsoft.com/office/drawing/2014/main" id="{00000000-0008-0000-0F00-00007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2" name="AutoShape 1">
          <a:extLst>
            <a:ext uri="{FF2B5EF4-FFF2-40B4-BE49-F238E27FC236}">
              <a16:creationId xmlns:a16="http://schemas.microsoft.com/office/drawing/2014/main" id="{00000000-0008-0000-0F00-00007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3" name="AutoShape 1">
          <a:extLst>
            <a:ext uri="{FF2B5EF4-FFF2-40B4-BE49-F238E27FC236}">
              <a16:creationId xmlns:a16="http://schemas.microsoft.com/office/drawing/2014/main" id="{00000000-0008-0000-0F00-00007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4" name="AutoShape 1">
          <a:extLst>
            <a:ext uri="{FF2B5EF4-FFF2-40B4-BE49-F238E27FC236}">
              <a16:creationId xmlns:a16="http://schemas.microsoft.com/office/drawing/2014/main" id="{00000000-0008-0000-0F00-00007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5" name="AutoShape 1">
          <a:extLst>
            <a:ext uri="{FF2B5EF4-FFF2-40B4-BE49-F238E27FC236}">
              <a16:creationId xmlns:a16="http://schemas.microsoft.com/office/drawing/2014/main" id="{00000000-0008-0000-0F00-00007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6" name="AutoShape 1">
          <a:extLst>
            <a:ext uri="{FF2B5EF4-FFF2-40B4-BE49-F238E27FC236}">
              <a16:creationId xmlns:a16="http://schemas.microsoft.com/office/drawing/2014/main" id="{00000000-0008-0000-0F00-00007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7" name="AutoShape 1">
          <a:extLst>
            <a:ext uri="{FF2B5EF4-FFF2-40B4-BE49-F238E27FC236}">
              <a16:creationId xmlns:a16="http://schemas.microsoft.com/office/drawing/2014/main" id="{00000000-0008-0000-0F00-00007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8" name="AutoShape 1">
          <a:extLst>
            <a:ext uri="{FF2B5EF4-FFF2-40B4-BE49-F238E27FC236}">
              <a16:creationId xmlns:a16="http://schemas.microsoft.com/office/drawing/2014/main" id="{00000000-0008-0000-0F00-00008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09" name="AutoShape 1">
          <a:extLst>
            <a:ext uri="{FF2B5EF4-FFF2-40B4-BE49-F238E27FC236}">
              <a16:creationId xmlns:a16="http://schemas.microsoft.com/office/drawing/2014/main" id="{00000000-0008-0000-0F00-00008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0" name="AutoShape 1">
          <a:extLst>
            <a:ext uri="{FF2B5EF4-FFF2-40B4-BE49-F238E27FC236}">
              <a16:creationId xmlns:a16="http://schemas.microsoft.com/office/drawing/2014/main" id="{00000000-0008-0000-0F00-00008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1" name="AutoShape 1">
          <a:extLst>
            <a:ext uri="{FF2B5EF4-FFF2-40B4-BE49-F238E27FC236}">
              <a16:creationId xmlns:a16="http://schemas.microsoft.com/office/drawing/2014/main" id="{00000000-0008-0000-0F00-00008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2" name="AutoShape 1">
          <a:extLst>
            <a:ext uri="{FF2B5EF4-FFF2-40B4-BE49-F238E27FC236}">
              <a16:creationId xmlns:a16="http://schemas.microsoft.com/office/drawing/2014/main" id="{00000000-0008-0000-0F00-00008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3" name="AutoShape 1">
          <a:extLst>
            <a:ext uri="{FF2B5EF4-FFF2-40B4-BE49-F238E27FC236}">
              <a16:creationId xmlns:a16="http://schemas.microsoft.com/office/drawing/2014/main" id="{00000000-0008-0000-0F00-00008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4" name="AutoShape 1">
          <a:extLst>
            <a:ext uri="{FF2B5EF4-FFF2-40B4-BE49-F238E27FC236}">
              <a16:creationId xmlns:a16="http://schemas.microsoft.com/office/drawing/2014/main" id="{00000000-0008-0000-0F00-00008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5" name="AutoShape 1">
          <a:extLst>
            <a:ext uri="{FF2B5EF4-FFF2-40B4-BE49-F238E27FC236}">
              <a16:creationId xmlns:a16="http://schemas.microsoft.com/office/drawing/2014/main" id="{00000000-0008-0000-0F00-00008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6" name="AutoShape 1">
          <a:extLst>
            <a:ext uri="{FF2B5EF4-FFF2-40B4-BE49-F238E27FC236}">
              <a16:creationId xmlns:a16="http://schemas.microsoft.com/office/drawing/2014/main" id="{00000000-0008-0000-0F00-00008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7" name="AutoShape 1">
          <a:extLst>
            <a:ext uri="{FF2B5EF4-FFF2-40B4-BE49-F238E27FC236}">
              <a16:creationId xmlns:a16="http://schemas.microsoft.com/office/drawing/2014/main" id="{00000000-0008-0000-0F00-00008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8" name="AutoShape 1">
          <a:extLst>
            <a:ext uri="{FF2B5EF4-FFF2-40B4-BE49-F238E27FC236}">
              <a16:creationId xmlns:a16="http://schemas.microsoft.com/office/drawing/2014/main" id="{00000000-0008-0000-0F00-00008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19" name="AutoShape 1">
          <a:extLst>
            <a:ext uri="{FF2B5EF4-FFF2-40B4-BE49-F238E27FC236}">
              <a16:creationId xmlns:a16="http://schemas.microsoft.com/office/drawing/2014/main" id="{00000000-0008-0000-0F00-00008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0" name="AutoShape 1">
          <a:extLst>
            <a:ext uri="{FF2B5EF4-FFF2-40B4-BE49-F238E27FC236}">
              <a16:creationId xmlns:a16="http://schemas.microsoft.com/office/drawing/2014/main" id="{00000000-0008-0000-0F00-00008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1" name="AutoShape 1">
          <a:extLst>
            <a:ext uri="{FF2B5EF4-FFF2-40B4-BE49-F238E27FC236}">
              <a16:creationId xmlns:a16="http://schemas.microsoft.com/office/drawing/2014/main" id="{00000000-0008-0000-0F00-00008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2" name="AutoShape 1">
          <a:extLst>
            <a:ext uri="{FF2B5EF4-FFF2-40B4-BE49-F238E27FC236}">
              <a16:creationId xmlns:a16="http://schemas.microsoft.com/office/drawing/2014/main" id="{00000000-0008-0000-0F00-00008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3" name="AutoShape 1">
          <a:extLst>
            <a:ext uri="{FF2B5EF4-FFF2-40B4-BE49-F238E27FC236}">
              <a16:creationId xmlns:a16="http://schemas.microsoft.com/office/drawing/2014/main" id="{00000000-0008-0000-0F00-00008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4" name="AutoShape 1">
          <a:extLst>
            <a:ext uri="{FF2B5EF4-FFF2-40B4-BE49-F238E27FC236}">
              <a16:creationId xmlns:a16="http://schemas.microsoft.com/office/drawing/2014/main" id="{00000000-0008-0000-0F00-00009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5" name="AutoShape 1">
          <a:extLst>
            <a:ext uri="{FF2B5EF4-FFF2-40B4-BE49-F238E27FC236}">
              <a16:creationId xmlns:a16="http://schemas.microsoft.com/office/drawing/2014/main" id="{00000000-0008-0000-0F00-00009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6" name="AutoShape 1">
          <a:extLst>
            <a:ext uri="{FF2B5EF4-FFF2-40B4-BE49-F238E27FC236}">
              <a16:creationId xmlns:a16="http://schemas.microsoft.com/office/drawing/2014/main" id="{00000000-0008-0000-0F00-00009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7" name="AutoShape 1">
          <a:extLst>
            <a:ext uri="{FF2B5EF4-FFF2-40B4-BE49-F238E27FC236}">
              <a16:creationId xmlns:a16="http://schemas.microsoft.com/office/drawing/2014/main" id="{00000000-0008-0000-0F00-00009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8" name="AutoShape 1">
          <a:extLst>
            <a:ext uri="{FF2B5EF4-FFF2-40B4-BE49-F238E27FC236}">
              <a16:creationId xmlns:a16="http://schemas.microsoft.com/office/drawing/2014/main" id="{00000000-0008-0000-0F00-00009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29" name="AutoShape 1">
          <a:extLst>
            <a:ext uri="{FF2B5EF4-FFF2-40B4-BE49-F238E27FC236}">
              <a16:creationId xmlns:a16="http://schemas.microsoft.com/office/drawing/2014/main" id="{00000000-0008-0000-0F00-00009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0" name="AutoShape 1">
          <a:extLst>
            <a:ext uri="{FF2B5EF4-FFF2-40B4-BE49-F238E27FC236}">
              <a16:creationId xmlns:a16="http://schemas.microsoft.com/office/drawing/2014/main" id="{00000000-0008-0000-0F00-00009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1" name="AutoShape 1">
          <a:extLst>
            <a:ext uri="{FF2B5EF4-FFF2-40B4-BE49-F238E27FC236}">
              <a16:creationId xmlns:a16="http://schemas.microsoft.com/office/drawing/2014/main" id="{00000000-0008-0000-0F00-00009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2" name="AutoShape 1">
          <a:extLst>
            <a:ext uri="{FF2B5EF4-FFF2-40B4-BE49-F238E27FC236}">
              <a16:creationId xmlns:a16="http://schemas.microsoft.com/office/drawing/2014/main" id="{00000000-0008-0000-0F00-00009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3" name="AutoShape 1">
          <a:extLst>
            <a:ext uri="{FF2B5EF4-FFF2-40B4-BE49-F238E27FC236}">
              <a16:creationId xmlns:a16="http://schemas.microsoft.com/office/drawing/2014/main" id="{00000000-0008-0000-0F00-00009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4" name="AutoShape 1">
          <a:extLst>
            <a:ext uri="{FF2B5EF4-FFF2-40B4-BE49-F238E27FC236}">
              <a16:creationId xmlns:a16="http://schemas.microsoft.com/office/drawing/2014/main" id="{00000000-0008-0000-0F00-00009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5" name="AutoShape 1">
          <a:extLst>
            <a:ext uri="{FF2B5EF4-FFF2-40B4-BE49-F238E27FC236}">
              <a16:creationId xmlns:a16="http://schemas.microsoft.com/office/drawing/2014/main" id="{00000000-0008-0000-0F00-00009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6" name="AutoShape 1">
          <a:extLst>
            <a:ext uri="{FF2B5EF4-FFF2-40B4-BE49-F238E27FC236}">
              <a16:creationId xmlns:a16="http://schemas.microsoft.com/office/drawing/2014/main" id="{00000000-0008-0000-0F00-00009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7" name="AutoShape 1">
          <a:extLst>
            <a:ext uri="{FF2B5EF4-FFF2-40B4-BE49-F238E27FC236}">
              <a16:creationId xmlns:a16="http://schemas.microsoft.com/office/drawing/2014/main" id="{00000000-0008-0000-0F00-00009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8" name="AutoShape 1">
          <a:extLst>
            <a:ext uri="{FF2B5EF4-FFF2-40B4-BE49-F238E27FC236}">
              <a16:creationId xmlns:a16="http://schemas.microsoft.com/office/drawing/2014/main" id="{00000000-0008-0000-0F00-00009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39" name="AutoShape 1">
          <a:extLst>
            <a:ext uri="{FF2B5EF4-FFF2-40B4-BE49-F238E27FC236}">
              <a16:creationId xmlns:a16="http://schemas.microsoft.com/office/drawing/2014/main" id="{00000000-0008-0000-0F00-00009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0" name="AutoShape 1">
          <a:extLst>
            <a:ext uri="{FF2B5EF4-FFF2-40B4-BE49-F238E27FC236}">
              <a16:creationId xmlns:a16="http://schemas.microsoft.com/office/drawing/2014/main" id="{00000000-0008-0000-0F00-0000A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1" name="AutoShape 1">
          <a:extLst>
            <a:ext uri="{FF2B5EF4-FFF2-40B4-BE49-F238E27FC236}">
              <a16:creationId xmlns:a16="http://schemas.microsoft.com/office/drawing/2014/main" id="{00000000-0008-0000-0F00-0000A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2" name="AutoShape 1">
          <a:extLst>
            <a:ext uri="{FF2B5EF4-FFF2-40B4-BE49-F238E27FC236}">
              <a16:creationId xmlns:a16="http://schemas.microsoft.com/office/drawing/2014/main" id="{00000000-0008-0000-0F00-0000A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3" name="AutoShape 1">
          <a:extLst>
            <a:ext uri="{FF2B5EF4-FFF2-40B4-BE49-F238E27FC236}">
              <a16:creationId xmlns:a16="http://schemas.microsoft.com/office/drawing/2014/main" id="{00000000-0008-0000-0F00-0000A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4" name="AutoShape 1">
          <a:extLst>
            <a:ext uri="{FF2B5EF4-FFF2-40B4-BE49-F238E27FC236}">
              <a16:creationId xmlns:a16="http://schemas.microsoft.com/office/drawing/2014/main" id="{00000000-0008-0000-0F00-0000A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5" name="AutoShape 1">
          <a:extLst>
            <a:ext uri="{FF2B5EF4-FFF2-40B4-BE49-F238E27FC236}">
              <a16:creationId xmlns:a16="http://schemas.microsoft.com/office/drawing/2014/main" id="{00000000-0008-0000-0F00-0000A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6" name="AutoShape 1">
          <a:extLst>
            <a:ext uri="{FF2B5EF4-FFF2-40B4-BE49-F238E27FC236}">
              <a16:creationId xmlns:a16="http://schemas.microsoft.com/office/drawing/2014/main" id="{00000000-0008-0000-0F00-0000A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7" name="AutoShape 1">
          <a:extLst>
            <a:ext uri="{FF2B5EF4-FFF2-40B4-BE49-F238E27FC236}">
              <a16:creationId xmlns:a16="http://schemas.microsoft.com/office/drawing/2014/main" id="{00000000-0008-0000-0F00-0000A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8" name="AutoShape 1">
          <a:extLst>
            <a:ext uri="{FF2B5EF4-FFF2-40B4-BE49-F238E27FC236}">
              <a16:creationId xmlns:a16="http://schemas.microsoft.com/office/drawing/2014/main" id="{00000000-0008-0000-0F00-0000A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49" name="AutoShape 1">
          <a:extLst>
            <a:ext uri="{FF2B5EF4-FFF2-40B4-BE49-F238E27FC236}">
              <a16:creationId xmlns:a16="http://schemas.microsoft.com/office/drawing/2014/main" id="{00000000-0008-0000-0F00-0000A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0" name="AutoShape 1">
          <a:extLst>
            <a:ext uri="{FF2B5EF4-FFF2-40B4-BE49-F238E27FC236}">
              <a16:creationId xmlns:a16="http://schemas.microsoft.com/office/drawing/2014/main" id="{00000000-0008-0000-0F00-0000A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1" name="AutoShape 1">
          <a:extLst>
            <a:ext uri="{FF2B5EF4-FFF2-40B4-BE49-F238E27FC236}">
              <a16:creationId xmlns:a16="http://schemas.microsoft.com/office/drawing/2014/main" id="{00000000-0008-0000-0F00-0000A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2" name="AutoShape 1">
          <a:extLst>
            <a:ext uri="{FF2B5EF4-FFF2-40B4-BE49-F238E27FC236}">
              <a16:creationId xmlns:a16="http://schemas.microsoft.com/office/drawing/2014/main" id="{00000000-0008-0000-0F00-0000A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3" name="AutoShape 1">
          <a:extLst>
            <a:ext uri="{FF2B5EF4-FFF2-40B4-BE49-F238E27FC236}">
              <a16:creationId xmlns:a16="http://schemas.microsoft.com/office/drawing/2014/main" id="{00000000-0008-0000-0F00-0000A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4" name="AutoShape 1">
          <a:extLst>
            <a:ext uri="{FF2B5EF4-FFF2-40B4-BE49-F238E27FC236}">
              <a16:creationId xmlns:a16="http://schemas.microsoft.com/office/drawing/2014/main" id="{00000000-0008-0000-0F00-0000A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5" name="AutoShape 1">
          <a:extLst>
            <a:ext uri="{FF2B5EF4-FFF2-40B4-BE49-F238E27FC236}">
              <a16:creationId xmlns:a16="http://schemas.microsoft.com/office/drawing/2014/main" id="{00000000-0008-0000-0F00-0000A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6" name="AutoShape 1">
          <a:extLst>
            <a:ext uri="{FF2B5EF4-FFF2-40B4-BE49-F238E27FC236}">
              <a16:creationId xmlns:a16="http://schemas.microsoft.com/office/drawing/2014/main" id="{00000000-0008-0000-0F00-0000B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7" name="AutoShape 1">
          <a:extLst>
            <a:ext uri="{FF2B5EF4-FFF2-40B4-BE49-F238E27FC236}">
              <a16:creationId xmlns:a16="http://schemas.microsoft.com/office/drawing/2014/main" id="{00000000-0008-0000-0F00-0000B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8" name="AutoShape 1">
          <a:extLst>
            <a:ext uri="{FF2B5EF4-FFF2-40B4-BE49-F238E27FC236}">
              <a16:creationId xmlns:a16="http://schemas.microsoft.com/office/drawing/2014/main" id="{00000000-0008-0000-0F00-0000B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59" name="AutoShape 1">
          <a:extLst>
            <a:ext uri="{FF2B5EF4-FFF2-40B4-BE49-F238E27FC236}">
              <a16:creationId xmlns:a16="http://schemas.microsoft.com/office/drawing/2014/main" id="{00000000-0008-0000-0F00-0000B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0" name="AutoShape 1">
          <a:extLst>
            <a:ext uri="{FF2B5EF4-FFF2-40B4-BE49-F238E27FC236}">
              <a16:creationId xmlns:a16="http://schemas.microsoft.com/office/drawing/2014/main" id="{00000000-0008-0000-0F00-0000B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1" name="AutoShape 1">
          <a:extLst>
            <a:ext uri="{FF2B5EF4-FFF2-40B4-BE49-F238E27FC236}">
              <a16:creationId xmlns:a16="http://schemas.microsoft.com/office/drawing/2014/main" id="{00000000-0008-0000-0F00-0000B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2" name="AutoShape 1">
          <a:extLst>
            <a:ext uri="{FF2B5EF4-FFF2-40B4-BE49-F238E27FC236}">
              <a16:creationId xmlns:a16="http://schemas.microsoft.com/office/drawing/2014/main" id="{00000000-0008-0000-0F00-0000B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3" name="AutoShape 1">
          <a:extLst>
            <a:ext uri="{FF2B5EF4-FFF2-40B4-BE49-F238E27FC236}">
              <a16:creationId xmlns:a16="http://schemas.microsoft.com/office/drawing/2014/main" id="{00000000-0008-0000-0F00-0000B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4" name="AutoShape 1">
          <a:extLst>
            <a:ext uri="{FF2B5EF4-FFF2-40B4-BE49-F238E27FC236}">
              <a16:creationId xmlns:a16="http://schemas.microsoft.com/office/drawing/2014/main" id="{00000000-0008-0000-0F00-0000B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5" name="AutoShape 1">
          <a:extLst>
            <a:ext uri="{FF2B5EF4-FFF2-40B4-BE49-F238E27FC236}">
              <a16:creationId xmlns:a16="http://schemas.microsoft.com/office/drawing/2014/main" id="{00000000-0008-0000-0F00-0000B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6" name="AutoShape 1">
          <a:extLst>
            <a:ext uri="{FF2B5EF4-FFF2-40B4-BE49-F238E27FC236}">
              <a16:creationId xmlns:a16="http://schemas.microsoft.com/office/drawing/2014/main" id="{00000000-0008-0000-0F00-0000B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7" name="AutoShape 1">
          <a:extLst>
            <a:ext uri="{FF2B5EF4-FFF2-40B4-BE49-F238E27FC236}">
              <a16:creationId xmlns:a16="http://schemas.microsoft.com/office/drawing/2014/main" id="{00000000-0008-0000-0F00-0000B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8" name="AutoShape 1">
          <a:extLst>
            <a:ext uri="{FF2B5EF4-FFF2-40B4-BE49-F238E27FC236}">
              <a16:creationId xmlns:a16="http://schemas.microsoft.com/office/drawing/2014/main" id="{00000000-0008-0000-0F00-0000BC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69" name="AutoShape 1">
          <a:extLst>
            <a:ext uri="{FF2B5EF4-FFF2-40B4-BE49-F238E27FC236}">
              <a16:creationId xmlns:a16="http://schemas.microsoft.com/office/drawing/2014/main" id="{00000000-0008-0000-0F00-0000BD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0" name="AutoShape 1">
          <a:extLst>
            <a:ext uri="{FF2B5EF4-FFF2-40B4-BE49-F238E27FC236}">
              <a16:creationId xmlns:a16="http://schemas.microsoft.com/office/drawing/2014/main" id="{00000000-0008-0000-0F00-0000BE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1" name="AutoShape 1">
          <a:extLst>
            <a:ext uri="{FF2B5EF4-FFF2-40B4-BE49-F238E27FC236}">
              <a16:creationId xmlns:a16="http://schemas.microsoft.com/office/drawing/2014/main" id="{00000000-0008-0000-0F00-0000BF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2" name="AutoShape 1">
          <a:extLst>
            <a:ext uri="{FF2B5EF4-FFF2-40B4-BE49-F238E27FC236}">
              <a16:creationId xmlns:a16="http://schemas.microsoft.com/office/drawing/2014/main" id="{00000000-0008-0000-0F00-0000C0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3" name="AutoShape 1">
          <a:extLst>
            <a:ext uri="{FF2B5EF4-FFF2-40B4-BE49-F238E27FC236}">
              <a16:creationId xmlns:a16="http://schemas.microsoft.com/office/drawing/2014/main" id="{00000000-0008-0000-0F00-0000C1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4" name="AutoShape 1">
          <a:extLst>
            <a:ext uri="{FF2B5EF4-FFF2-40B4-BE49-F238E27FC236}">
              <a16:creationId xmlns:a16="http://schemas.microsoft.com/office/drawing/2014/main" id="{00000000-0008-0000-0F00-0000C2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5" name="AutoShape 1">
          <a:extLst>
            <a:ext uri="{FF2B5EF4-FFF2-40B4-BE49-F238E27FC236}">
              <a16:creationId xmlns:a16="http://schemas.microsoft.com/office/drawing/2014/main" id="{00000000-0008-0000-0F00-0000C3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6" name="AutoShape 1">
          <a:extLst>
            <a:ext uri="{FF2B5EF4-FFF2-40B4-BE49-F238E27FC236}">
              <a16:creationId xmlns:a16="http://schemas.microsoft.com/office/drawing/2014/main" id="{00000000-0008-0000-0F00-0000C4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7" name="AutoShape 1">
          <a:extLst>
            <a:ext uri="{FF2B5EF4-FFF2-40B4-BE49-F238E27FC236}">
              <a16:creationId xmlns:a16="http://schemas.microsoft.com/office/drawing/2014/main" id="{00000000-0008-0000-0F00-0000C5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8" name="AutoShape 1">
          <a:extLst>
            <a:ext uri="{FF2B5EF4-FFF2-40B4-BE49-F238E27FC236}">
              <a16:creationId xmlns:a16="http://schemas.microsoft.com/office/drawing/2014/main" id="{00000000-0008-0000-0F00-0000C6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79" name="AutoShape 1">
          <a:extLst>
            <a:ext uri="{FF2B5EF4-FFF2-40B4-BE49-F238E27FC236}">
              <a16:creationId xmlns:a16="http://schemas.microsoft.com/office/drawing/2014/main" id="{00000000-0008-0000-0F00-0000C7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80" name="AutoShape 1">
          <a:extLst>
            <a:ext uri="{FF2B5EF4-FFF2-40B4-BE49-F238E27FC236}">
              <a16:creationId xmlns:a16="http://schemas.microsoft.com/office/drawing/2014/main" id="{00000000-0008-0000-0F00-0000C8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81" name="AutoShape 1">
          <a:extLst>
            <a:ext uri="{FF2B5EF4-FFF2-40B4-BE49-F238E27FC236}">
              <a16:creationId xmlns:a16="http://schemas.microsoft.com/office/drawing/2014/main" id="{00000000-0008-0000-0F00-0000C9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82" name="AutoShape 1">
          <a:extLst>
            <a:ext uri="{FF2B5EF4-FFF2-40B4-BE49-F238E27FC236}">
              <a16:creationId xmlns:a16="http://schemas.microsoft.com/office/drawing/2014/main" id="{00000000-0008-0000-0F00-0000CA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04800" cy="304800"/>
    <xdr:sp macro="" textlink="">
      <xdr:nvSpPr>
        <xdr:cNvPr id="7883" name="AutoShape 1">
          <a:extLst>
            <a:ext uri="{FF2B5EF4-FFF2-40B4-BE49-F238E27FC236}">
              <a16:creationId xmlns:a16="http://schemas.microsoft.com/office/drawing/2014/main" id="{00000000-0008-0000-0F00-0000CB1E0000}"/>
            </a:ext>
          </a:extLst>
        </xdr:cNvPr>
        <xdr:cNvSpPr>
          <a:spLocks noChangeAspect="1" noChangeArrowheads="1"/>
        </xdr:cNvSpPr>
      </xdr:nvSpPr>
      <xdr:spPr bwMode="auto">
        <a:xfrm>
          <a:off x="9779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xdr:col>
      <xdr:colOff>28575</xdr:colOff>
      <xdr:row>0</xdr:row>
      <xdr:rowOff>85725</xdr:rowOff>
    </xdr:from>
    <xdr:to>
      <xdr:col>9</xdr:col>
      <xdr:colOff>299200</xdr:colOff>
      <xdr:row>2</xdr:row>
      <xdr:rowOff>109057</xdr:rowOff>
    </xdr:to>
    <xdr:sp macro="" textlink="">
      <xdr:nvSpPr>
        <xdr:cNvPr id="8858" name="Retângulo: Cantos Arredondados 8857">
          <a:extLst>
            <a:ext uri="{FF2B5EF4-FFF2-40B4-BE49-F238E27FC236}">
              <a16:creationId xmlns:a16="http://schemas.microsoft.com/office/drawing/2014/main" id="{267BAFFC-B1E2-4FAA-8AC9-DBE701F6C024}"/>
            </a:ext>
          </a:extLst>
        </xdr:cNvPr>
        <xdr:cNvSpPr/>
      </xdr:nvSpPr>
      <xdr:spPr>
        <a:xfrm>
          <a:off x="3848100" y="85725"/>
          <a:ext cx="4137775" cy="404332"/>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pt-BR" sz="1400" b="1"/>
            <a:t>CONTROLE</a:t>
          </a:r>
          <a:r>
            <a:rPr lang="pt-BR" sz="1400" b="1" baseline="0"/>
            <a:t> DE KM - 2024</a:t>
          </a:r>
          <a:endParaRPr lang="pt-BR" sz="1400" b="1"/>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276226</xdr:colOff>
      <xdr:row>0</xdr:row>
      <xdr:rowOff>133350</xdr:rowOff>
    </xdr:from>
    <xdr:to>
      <xdr:col>0</xdr:col>
      <xdr:colOff>1019176</xdr:colOff>
      <xdr:row>0</xdr:row>
      <xdr:rowOff>371475</xdr:rowOff>
    </xdr:to>
    <xdr:pic>
      <xdr:nvPicPr>
        <xdr:cNvPr id="2" name="0 Imagen">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6" y="133350"/>
          <a:ext cx="742950" cy="238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ffice 6" id="{917192ED-61AC-45C1-BACF-FA46EB55430B}" userId="S::office.6@proyfebrasil.com.br::fdc362f8-eb02-4ca9-bcee-c84e1920055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a3" displayName="Tabela3" ref="A13:T74" totalsRowShown="0" headerRowDxfId="112" dataDxfId="110" headerRowBorderDxfId="111" tableBorderDxfId="109">
  <autoFilter ref="A13:T74" xr:uid="{00000000-0009-0000-0100-000003000000}"/>
  <tableColumns count="20">
    <tableColumn id="1" xr3:uid="{00000000-0010-0000-0000-000001000000}" name="Quant" dataDxfId="108"/>
    <tableColumn id="2" xr3:uid="{00000000-0010-0000-0000-000002000000}" name="RETIRADA" dataDxfId="107"/>
    <tableColumn id="3" xr3:uid="{00000000-0010-0000-0000-000003000000}" name="PLACA" dataDxfId="106"/>
    <tableColumn id="4" xr3:uid="{00000000-0010-0000-0000-000004000000}" name="CARRO" dataDxfId="105"/>
    <tableColumn id="5" xr3:uid="{00000000-0010-0000-0000-000005000000}" name="Categoria" dataDxfId="104"/>
    <tableColumn id="6" xr3:uid="{00000000-0010-0000-0000-000006000000}" name="DATA SUBS" dataDxfId="103"/>
    <tableColumn id="7" xr3:uid="{00000000-0010-0000-0000-000007000000}" name="CARRO SUBS" dataDxfId="102"/>
    <tableColumn id="8" xr3:uid="{00000000-0010-0000-0000-000008000000}" name="DATA SUBS2" dataDxfId="101"/>
    <tableColumn id="9" xr3:uid="{00000000-0010-0000-0000-000009000000}" name="CARRO SUBS2" dataDxfId="100"/>
    <tableColumn id="12" xr3:uid="{00000000-0010-0000-0000-00000C000000}" name="DATA SUBS4" dataDxfId="99"/>
    <tableColumn id="13" xr3:uid="{00000000-0010-0000-0000-00000D000000}" name="CARRO SUBS5" dataDxfId="98"/>
    <tableColumn id="14" xr3:uid="{00000000-0010-0000-0000-00000E000000}" name="DATA       ENCERRAMENTO" dataDxfId="97"/>
    <tableColumn id="15" xr3:uid="{00000000-0010-0000-0000-00000F000000}" name="STATUS" dataDxfId="96"/>
    <tableColumn id="16" xr3:uid="{00000000-0010-0000-0000-000010000000}" name="USUARIO" dataDxfId="95"/>
    <tableColumn id="17" xr3:uid="{00000000-0010-0000-0000-000011000000}" name="Obra" dataDxfId="94"/>
    <tableColumn id="18" xr3:uid="{00000000-0010-0000-0000-000012000000}" name="CODIGO" dataDxfId="93"/>
    <tableColumn id="19" xr3:uid="{00000000-0010-0000-0000-000013000000}" name="LOCADORA" dataDxfId="92"/>
    <tableColumn id="20" xr3:uid="{00000000-0010-0000-0000-000014000000}" name="LOCAL DE RETIRADA" dataDxfId="91"/>
    <tableColumn id="21" xr3:uid="{00000000-0010-0000-0000-000015000000}" name="OBS" dataDxfId="90"/>
    <tableColumn id="22" xr3:uid="{00000000-0010-0000-0000-000016000000}" name="KM CONTRATADO" dataDxfId="89"/>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Tabela3111211131111121111121113" displayName="Tabela3111211131111121111121113" ref="A3:AD485" totalsRowShown="0" headerRowDxfId="88" dataDxfId="86" headerRowBorderDxfId="87" tableBorderDxfId="85">
  <autoFilter ref="A3:AD485" xr:uid="{00000000-000C-0000-FFFF-FFFF01000000}">
    <filterColumn colId="1">
      <customFilters>
        <customFilter operator="notEqual" val=" "/>
      </customFilters>
    </filterColumn>
    <filterColumn colId="5">
      <filters>
        <filter val="AUGUSTO JAEGER"/>
        <filter val="FRANCISCO AUGUSTO"/>
      </filters>
    </filterColumn>
  </autoFilter>
  <sortState xmlns:xlrd2="http://schemas.microsoft.com/office/spreadsheetml/2017/richdata2" ref="A6:AD222">
    <sortCondition ref="F3:F485"/>
  </sortState>
  <tableColumns count="30">
    <tableColumn id="1" xr3:uid="{00000000-0010-0000-0100-000001000000}" name="Quant" dataDxfId="84"/>
    <tableColumn id="27" xr3:uid="{00000000-0010-0000-0100-00001B000000}" name="STATUS" dataDxfId="83"/>
    <tableColumn id="25" xr3:uid="{00000000-0010-0000-0100-000019000000}" name="OBRA" dataDxfId="82"/>
    <tableColumn id="15" xr3:uid="{00000000-0010-0000-0100-00000F000000}" name="CÓDIGO" dataDxfId="81"/>
    <tableColumn id="2" xr3:uid="{00000000-0010-0000-0100-000002000000}" name="RETIRADA" dataDxfId="80"/>
    <tableColumn id="14" xr3:uid="{00000000-0010-0000-0100-00000E000000}" name="USUARIO" dataDxfId="79"/>
    <tableColumn id="18" xr3:uid="{55F15D80-A3DF-409F-BFDF-0609ECE7B34A}" name="LOCAL" dataDxfId="78"/>
    <tableColumn id="3" xr3:uid="{00000000-0010-0000-0100-000003000000}" name="PLACA" dataDxfId="77"/>
    <tableColumn id="10" xr3:uid="{00000000-0010-0000-0100-00000A000000}" name="CARRO" dataDxfId="76"/>
    <tableColumn id="13" xr3:uid="{00000000-0010-0000-0100-00000D000000}" name="CARRO COM RASTREADOR" dataDxfId="75"/>
    <tableColumn id="26" xr3:uid="{00000000-0010-0000-0100-00001A000000}" name="CATEGORIA" dataDxfId="74"/>
    <tableColumn id="29" xr3:uid="{A66D9411-8F43-4D71-83E9-41618EB115E3}" name="TESTE FUMAÇA PRETA" dataDxfId="73"/>
    <tableColumn id="30" xr3:uid="{BF6752BC-A016-4C85-8548-991574758543}" name="DATA TESTE DE FUMAÇA PRETA" dataDxfId="72"/>
    <tableColumn id="24" xr3:uid="{00000000-0010-0000-0100-000018000000}" name="LOCADORA" dataDxfId="71"/>
    <tableColumn id="4" xr3:uid="{00000000-0010-0000-0100-000004000000}" name="DATA 1ª SUBS" dataDxfId="70"/>
    <tableColumn id="5" xr3:uid="{00000000-0010-0000-0100-000005000000}" name="MODELO" dataDxfId="69"/>
    <tableColumn id="6" xr3:uid="{00000000-0010-0000-0100-000006000000}" name="DATA 2ª SUBS" dataDxfId="68"/>
    <tableColumn id="7" xr3:uid="{00000000-0010-0000-0100-000007000000}" name="MODELO2" dataDxfId="67"/>
    <tableColumn id="8" xr3:uid="{00000000-0010-0000-0100-000008000000}" name="DATA 3 SUBS" dataDxfId="66"/>
    <tableColumn id="9" xr3:uid="{00000000-0010-0000-0100-000009000000}" name="MODELO3" dataDxfId="65"/>
    <tableColumn id="20" xr3:uid="{00000000-0010-0000-0100-000014000000}" name="DATA 4ª SUBS" dataDxfId="64"/>
    <tableColumn id="12" xr3:uid="{00000000-0010-0000-0100-00000C000000}" name="MODELO4" dataDxfId="63"/>
    <tableColumn id="16" xr3:uid="{00000000-0010-0000-0100-000010000000}" name="DATA 5ª SUBS2" dataDxfId="62"/>
    <tableColumn id="17" xr3:uid="{00000000-0010-0000-0100-000011000000}" name="MODELO6" dataDxfId="61"/>
    <tableColumn id="23" xr3:uid="{00000000-0010-0000-0100-000017000000}" name="DATA 6ª SUBS22" dataDxfId="60"/>
    <tableColumn id="28" xr3:uid="{00000000-0010-0000-0100-00001C000000}" name="MODELO7" dataDxfId="59"/>
    <tableColumn id="21" xr3:uid="{00000000-0010-0000-0100-000015000000}" name="DATA ENCERRAMENTO" dataDxfId="58"/>
    <tableColumn id="19" xr3:uid="{00000000-0010-0000-0100-000013000000}" name="KM CONTRATADO" dataDxfId="57"/>
    <tableColumn id="22" xr3:uid="{00000000-0010-0000-0100-000016000000}" name="LOCAL DE RETIRADA" dataDxfId="56"/>
    <tableColumn id="11" xr3:uid="{00000000-0010-0000-0100-00000B000000}" name="OBS" dataDxfId="55"/>
  </tableColumns>
  <tableStyleInfo name="TableStyleMedium3"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6" dT="2026-03-10T10:08:40.27" personId="{917192ED-61AC-45C1-BACF-FA46EB55430B}" id="{9AB7EB86-3E90-454F-B5D0-D6FDA9B05D4E}">
    <text>1º teste de fumaça preta 27/02/2025</text>
  </threadedComment>
  <threadedComment ref="Q7" dT="2026-03-09T13:14:30.13" personId="{917192ED-61AC-45C1-BACF-FA46EB55430B}" id="{927D02BB-2430-4387-BCF4-9CD552E700C8}">
    <text xml:space="preserve">Veículo TEL5D67 guinchado na sexta 06/03/26 por motivo de perda da placa e táxi agendado para o mesmo dia a tarde, Alire chegou no táxi até a loja do aeroporto de Pertrolina PE no sábado 07/03/26 de manhã para retirada do novo veículo.
</text>
  </threadedComment>
  <threadedComment ref="AD114" dT="2026-04-27T18:19:31.17" personId="{917192ED-61AC-45C1-BACF-FA46EB55430B}" id="{C337C4E7-57C4-40A8-9794-BF6EA6001F3C}">
    <text>Foi cobrado R$3.371,73 de taxa de deslocamento</text>
  </threadedComment>
  <threadedComment ref="M133" dT="2026-04-09T19:27:40.35" personId="{917192ED-61AC-45C1-BACF-FA46EB55430B}" id="{22826C5B-0DA8-46BB-BDE5-1D4041B940EE}">
    <text>1º 16/04/2025
2º 09/04/2026</text>
  </threadedComment>
  <threadedComment ref="R157" dT="2026-04-20T11:21:02.43" personId="{917192ED-61AC-45C1-BACF-FA46EB55430B}" id="{579BFBAE-A82F-4FF8-859C-C4B52D2592E7}">
    <text xml:space="preserve">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ext>
  </threadedComment>
  <threadedComment ref="S157" dT="2026-04-20T11:24:33.83" personId="{917192ED-61AC-45C1-BACF-FA46EB55430B}" id="{8712EFC3-5516-4459-99E5-5C183CF71FE9}">
    <text>C3 TES6H46 guinchado em 09/04/26 e o táxi chegou só a tarde para direcionar Claudio para a loja Unidas em Belo Horizonte e chegaram na loja no dia 10/04/26 para retirar o novo veículo.</text>
  </threadedComment>
  <threadedComment ref="AA160" dT="2026-04-20T14:33:38.81" personId="{917192ED-61AC-45C1-BACF-FA46EB55430B}" id="{2055C634-62B3-404B-93F3-68F4464F8F84}">
    <text>Veículo deixado na oficina Ponto Car em Pirapora MG no dia 07/04/26 para verificar os problemas: o ar condicionado está fazendo um barulho e com mau funcionamento, o carro está apresentando falha para dar partida, quando está em transito algumas vezes para e depois volta a funcionar e no dia 06/04/26 apresentou aquecimento - Ficou na oficina aguardando diagnostico até 13/04/26 e eles identificaram apenas que estava sumindo água mas não sabem o que ocasionou e para onde a água está indo. Devido a falta de diagnostico e demora para manutenção foi solicitado por e-mail o cancelamento do contrato do veículo TCZ6B67 a contar do dia 07/04/26.</text>
  </threadedComment>
  <threadedComment ref="F192" dT="2026-03-17T13:40:41.95" personId="{917192ED-61AC-45C1-BACF-FA46EB55430B}" id="{D7D8E9E9-53BA-49A1-9AA7-ADE9637DBBCA}">
    <text>Veículo FZP1E71 locado 18/01/25 por Isaac e em 13/03/26 com 31.871km foi transferido para Ualace.</text>
  </threadedComment>
  <threadedComment ref="H192" dT="2026-03-30T14:58:36.03" personId="{917192ED-61AC-45C1-BACF-FA46EB55430B}" id="{79E80C58-570B-4F18-BA27-99825DE5B8B8}">
    <text xml:space="preserve">*Motivo Substituição FZP1E71*: 
Ualace identificou um barulho no veículo, levou o carro 2x na oficina e na segunda identificou que o barulho seria na pinça de freio traseiro, o carro ficou na oficina de sexta 20/03 até a segunda 24/03 aguardando aprovação e, como ainda não constava a autorização, o veículo foi retirado da oficina porque a ausência iria impactar nas atividades, mesmo quando houvesse aprovação, a oficina só teria a peça com mais alguns dias para frente.
</text>
  </threadedComment>
  <threadedComment ref="F205" dT="2026-03-11T13:02:58.46" personId="{917192ED-61AC-45C1-BACF-FA46EB55430B}" id="{8C382A98-4691-4CDB-BF21-855C15FBB8C3}">
    <text xml:space="preserve">Lazaro saiu do projeto e repassou o veículo TXD7J30 para Ualace no dia 06/03/26, com 19.951km
</text>
  </threadedComment>
  <threadedComment ref="P205" dT="2026-03-02T16:41:44.46" personId="{917192ED-61AC-45C1-BACF-FA46EB55430B}" id="{7A3F3671-2132-44FC-89D9-E62A113FBFDB}">
    <text>Devolução_Substituição motivo - Solicitação da locadora</text>
  </threadedComment>
  <threadedComment ref="R205" dT="2026-03-11T13:03:26.40" personId="{917192ED-61AC-45C1-BACF-FA46EB55430B}" id="{8ACFE0BF-AE70-4120-B4D7-70FF38F11913}">
    <text xml:space="preserve">Lazaro saiu do projeto e repassou o veículo TXD7J30 para Ualace no dia 06/03/26, com 19.951km
</text>
  </threadedComment>
  <threadedComment ref="F214" dT="2026-04-22T14:27:16.83" personId="{917192ED-61AC-45C1-BACF-FA46EB55430B}" id="{A7BEFBDD-15CD-464C-8A72-510B3FE5D11C}">
    <text>TCU0B50 era do Robson Costa, mas ao sair do projeto em 10/04/2026 foi repassado para o Leandro, em 18/04/26 o veículo foi guinchado e o táxi para retirada do novo carro ficou agendado para o domingo 19/04/26 e a locação ocorreu por Wendel</text>
  </threadedComment>
  <threadedComment ref="H214" dT="2026-04-22T14:24:26.10" personId="{917192ED-61AC-45C1-BACF-FA46EB55430B}" id="{0A3E6725-CA66-4D77-A50C-C2B9C3E8A85E}">
    <text xml:space="preserve">Motivo da solicitação de guincho Argo TCU0B50: 
no final da tarde da segunda 14/04/26 o veículo apresentou barulho estranho oriundo do motor, foi realizada a lavagem do carro e na terça o carro passou o dia na oficina Lider Pneus (credenciada à Unidas) aguardando diagnostico e no dia seguinte o mecânico informou que o barulho é no motor e que precisaria abrir para entender se o problema é na corrente, mas lá eles não fazem o serviço e devido a suspeita, foi indicado a solicitação de guincho porque a locadora não tem outra oficina cadastrada na cidade. 
</text>
  </threadedComment>
  <threadedComment ref="O214" dT="2026-04-22T20:02:58.92" personId="{917192ED-61AC-45C1-BACF-FA46EB55430B}" id="{9150E1A0-87FD-43A6-B756-6B2E95881829}">
    <text xml:space="preserve">Guinchado 18/04/26 e taxi para retirada de novo veículo agendado para 19/04/2026.
Motivo da solicitação de guincho Argo TCU0B50: 
no final da tarde da segunda 14/04/26 o veículo apresentou barulho estranho oriundo do motor, foi realizada a lavagem do carro e na terça o carro passou o dia na oficina Lider Pneus (credenciada à Unidas) aguardando diagnostico e no dia seguinte o mecânico informou que o barulho é no motor e que precisaria abrir para entender se o problema é na corrente, mas lá eles não fazem o serviço e devido a suspeita, foi indicado a solicitação de guincho porque a locadora não tem outra oficina cadastrada na cidade. 
</text>
  </threadedComment>
  <threadedComment ref="AA217" dT="2026-01-06T12:56:25.19" personId="{917192ED-61AC-45C1-BACF-FA46EB55430B}" id="{93B6D9CF-B20D-4F1B-A981-1FB152394636}">
    <text>Devolvido devido a problema na caixa de machas - Oficina checkup de Irecê BA (agendado através do atendimento da locadora) informou que estava ainda na garantia e que não foi identificado através deles de que o problema foi decorrente a mau uso</text>
  </threadedComment>
  <threadedComment ref="H221" dT="2026-03-02T12:31:36.51" personId="{917192ED-61AC-45C1-BACF-FA46EB55430B}" id="{8FFC8AFF-0C8F-42A0-92C7-55F489C97383}">
    <text>DKU8J41 Devolução_Substituição 28/02/2026 - Veículo parou de funcionar, ascendia as luzes do painel mas não dava partida, a unidas enviou mecânico para dar recarga na bateria e não funcionou, precisou ser guinchado.</text>
  </threadedComment>
  <threadedComment ref="F222" dT="2026-02-02T18:31:41.05" personId="{917192ED-61AC-45C1-BACF-FA46EB55430B}" id="{B2613222-3371-4F76-8C4F-DF455A3E5A56}">
    <text>Locado por Wildson e transferido para Ubiratan</text>
  </threadedComment>
  <threadedComment ref="F222" dT="2026-05-11T12:56:23.30" personId="{917192ED-61AC-45C1-BACF-FA46EB55430B}" id="{2361D2D5-3790-4C42-BE05-B68919334F76}" parentId="{B2613222-3371-4F76-8C4F-DF455A3E5A56}">
    <text xml:space="preserve">Troca de titularidade de Ubiratan para Ilo Hilton 08/05/2026 - Na desmobilização de Ubiratan em 08/05/26 o carro dele TJF8C34 ficou com Ilo Hilton por estar com km mais baixa e o de Ilo DHQ9H62 é que foi devolvido por estar acima de 60.000km.
</text>
  </threadedComment>
  <threadedComment ref="F228" dT="2026-03-16T17:57:26.97" personId="{917192ED-61AC-45C1-BACF-FA46EB55430B}" id="{8DEBE6C9-F9FE-4189-9826-3CDEF63F2997}">
    <text xml:space="preserve">T-Cross SWH5H35 - Troca de condutor de Francisco Iranildo para Diego Parisio em 13/03/26 com 55.705km
</text>
  </threadedComment>
  <threadedComment ref="AA228" dT="2026-04-24T14:10:46.93" personId="{917192ED-61AC-45C1-BACF-FA46EB55430B}" id="{96F750E3-D7CA-42B2-814B-D8F6DDCDEC59}">
    <text xml:space="preserve">Diego Parisio foi desmobilizado do projeto em 26/03/26 e o veículo permaneceu lá até a chegada do novo profissional.
Como não chegou o novo profissional o cliente informou que não estaria em medição e precisou devolver de imediato - Devolvido em 10/04/26 por Iranildo.
</text>
  </threadedComment>
  <threadedComment ref="AB229" dT="2026-04-08T18:22:23.64" personId="{917192ED-61AC-45C1-BACF-FA46EB55430B}" id="{675A42A8-3B9A-4413-8768-DCEF48D582A7}">
    <text>Alterado em março 2026, antes era 3000km</text>
  </threadedComment>
  <threadedComment ref="AA230" dT="2026-05-11T12:02:20.75" personId="{917192ED-61AC-45C1-BACF-FA46EB55430B}" id="{9CE3CAC4-58A0-4D5C-BB56-3A331E35B080}">
    <text>Na desmobilização de Ubiratan em 08/05/26 o carro dele TJF8C34 ficou com Ilo Hilton por estar com km mais baixa e o de Ilo DHQ9H62 é que foi devolvido por estar acima de 60.000km.</text>
  </threadedComment>
  <threadedComment ref="AB232" dT="2026-04-08T18:22:23.64" personId="{917192ED-61AC-45C1-BACF-FA46EB55430B}" id="{55BC2B51-0447-448E-A714-7AC27498D969}">
    <text>Alterado em março 2026, antes era 3000km</text>
  </threadedComment>
  <threadedComment ref="AB240" dT="2026-02-23T14:23:28.74" personId="{917192ED-61AC-45C1-BACF-FA46EB55430B}" id="{574F4D13-5342-4D85-BBFF-2CE9CB084029}">
    <text>Contratado 3000km e em 23/02/26 conferindo a planilha de medição identifiquei que está sendo associada mensalidade de 4500km, devido as necessidades do projeto RSH de alguns carros ultrapassarem 3000km iremos manter os 4500km.</text>
  </threadedComment>
  <threadedComment ref="J242" dT="2026-02-13T14:58:42.50" personId="{917192ED-61AC-45C1-BACF-FA46EB55430B}" id="{56D413C7-7AFC-4564-93E2-759BF5AF3B1E}">
    <text>Instalado em 24/11/25</text>
  </threadedComment>
  <threadedComment ref="H244" dT="2026-01-29T16:59:48.82" personId="{917192ED-61AC-45C1-BACF-FA46EB55430B}" id="{FEDC5CC1-2ED7-4F1C-AB70-98F0B5DD2145}">
    <text>De 20 a 26/01/26 foi disponibilizado o veículo TR4 QFA7C17, enquanto a ASX GGM4J35 estava em manutenção de avarias.</text>
  </threadedComment>
  <threadedComment ref="C245" dT="2026-06-15T14:20:59.15" personId="{917192ED-61AC-45C1-BACF-FA46EB55430B}" id="{B958D95B-C6B8-4B3C-B07F-40F36D96836F}">
    <text>Até 15/06/26 veículo S10 TDA9S62 - Rogerio sendo medido pelo projeto 25.018 RSH Rio Solar Hybrid</text>
  </threadedComment>
  <threadedComment ref="F245" dT="2026-06-15T14:19:53.74" personId="{917192ED-61AC-45C1-BACF-FA46EB55430B}" id="{B3B3946A-A3B3-4B2D-A18A-40170BC0356A}">
    <text xml:space="preserve">S10 TDA9D62 41.584km - Rogerio Salustiano (25.018 RSH) devolveu o veículo na sede da Proyfe em 15/06/26 por orientação nossa, pois o veículo será utilizado por Tony Laboratorista para viagem programada 16 a 23/06/26 projeto 25016_Cisalhamento Direto – Cajazeiras-PB - Alya, como na locadora não tinha disponibilidade de veículo 4x4 para o período supracitado aproveitamos o veículo que o Rogerio já iria devolver neste dia 15/06/26.
</text>
  </threadedComment>
  <threadedComment ref="J248" dT="2026-02-13T13:47:13.29" personId="{917192ED-61AC-45C1-BACF-FA46EB55430B}" id="{55092A39-01BE-4FE7-AC09-FA83D5B5BA05}">
    <text>Instalado 20/01/26</text>
  </threadedComment>
  <threadedComment ref="J249" dT="2026-02-13T13:33:40.86" personId="{917192ED-61AC-45C1-BACF-FA46EB55430B}" id="{81B0571D-3572-47E9-999B-9A066E80A351}">
    <text>16/01/2026 - Rastreador dela estava com Eric que teve folga prolongada e por isso foi instalado depois.</text>
  </threadedComment>
  <threadedComment ref="F250" dT="2026-02-02T18:28:41.33" personId="{917192ED-61AC-45C1-BACF-FA46EB55430B}" id="{E5FDD8C5-7AA3-4714-8F00-8B78D19AB857}">
    <text>Locado por Tiago Gonçalves em 09/01/2026 e transferido para Wildson em 22/01/2026 com 19.700km</text>
  </threadedComment>
  <threadedComment ref="F251" dT="2026-02-12T14:04:42.27" personId="{917192ED-61AC-45C1-BACF-FA46EB55430B}" id="{89C56715-3BDD-422C-8C24-7F5BA3D8BBF9}">
    <text>Locado por Marcilio 10/01/26 e transferido para Rigoberto em 12/01/2026</text>
  </threadedComment>
  <threadedComment ref="J253" dT="2026-02-13T13:31:53.29" personId="{917192ED-61AC-45C1-BACF-FA46EB55430B}" id="{076770A8-344D-490A-BDB3-F7CAA6BF950C}">
    <text>19/01/2026</text>
  </threadedComment>
  <threadedComment ref="F254" dT="2026-02-02T18:27:10.07" personId="{917192ED-61AC-45C1-BACF-FA46EB55430B}" id="{98E6EDE6-D437-452F-A40D-8274FAFD3980}">
    <text>Veículo era de Eider Breno e foi devolvido em 31/01/2026 por Marcilio - seria retirado um novo veículo porém foi locado novamente o mesmo carro na mesma data, devido a indisponibilidade de outros veículos com km baixa, os demais estavam acima de 50.000km.
 - Marcilio transferiu para Mizael em 08/02/2026</text>
  </threadedComment>
  <threadedComment ref="J254" dT="2026-02-02T17:36:56.64" personId="{917192ED-61AC-45C1-BACF-FA46EB55430B}" id="{7C36F89E-568D-48D2-8525-964B015E63F1}">
    <text>Instalado 31/01/2026</text>
  </threadedComment>
  <threadedComment ref="J255" dT="2026-02-03T17:25:07.84" personId="{917192ED-61AC-45C1-BACF-FA46EB55430B}" id="{7FF6A931-4F24-44A7-A4E3-D97C44A35A9B}">
    <text>Instalação realizada em 03/02/26 - técnico Rene Juazeiro BA</text>
  </threadedComment>
  <threadedComment ref="AB255" dT="2026-03-11T13:50:29.37" personId="{917192ED-61AC-45C1-BACF-FA46EB55430B}" id="{46193DD8-50D2-4640-AF15-1854AAD7FB5E}">
    <text>Jaqueline solicitou esta quilometragem devido a previsão do Cleberson precisar rodar muito em campo e se deslocar a outros locais</text>
  </threadedComment>
  <threadedComment ref="J256" dT="2026-02-13T13:32:35.45" personId="{917192ED-61AC-45C1-BACF-FA46EB55430B}" id="{C8765792-8908-4AA0-A5EE-1649D061CDB2}">
    <text>Testando telemetria Unidas</text>
  </threadedComment>
  <threadedComment ref="N257" dT="2026-02-24T18:29:09.97" personId="{917192ED-61AC-45C1-BACF-FA46EB55430B}" id="{50C1FEAB-AF53-4168-ACA0-BCF27F98AC33}">
    <text>Carro locado da proprietária, não é locadora.</text>
  </threadedComment>
  <threadedComment ref="J258" dT="2026-02-25T17:57:02.67" personId="{917192ED-61AC-45C1-BACF-FA46EB55430B}" id="{124C10E6-B8DB-42EA-93E7-4C115D5EB713}">
    <text>Telemetria Recife GPS</text>
  </threadedComment>
  <threadedComment ref="J259" dT="2026-03-09T14:14:33.39" personId="{917192ED-61AC-45C1-BACF-FA46EB55430B}" id="{7A104DF7-195A-426A-91F9-6D4214CAF8C9}">
    <text>Telemetria Localiza</text>
  </threadedComment>
  <threadedComment ref="J260" dT="2026-03-24T11:39:24.79" personId="{917192ED-61AC-45C1-BACF-FA46EB55430B}" id="{590FB05C-9EB5-41C2-8076-F35C6B701004}">
    <text>Telemetria Unidas</text>
  </threadedComment>
  <threadedComment ref="J261" dT="2026-03-24T11:39:24.79" personId="{917192ED-61AC-45C1-BACF-FA46EB55430B}" id="{DD7EE425-2CE8-427D-A125-560EC5F9BE48}">
    <text>Telemetria Unidas</text>
  </threadedComment>
  <threadedComment ref="N262" dT="2026-03-27T16:49:05.85" personId="{917192ED-61AC-45C1-BACF-FA46EB55430B}" id="{F79B387B-A36C-493A-BC1F-4FBD4B533F1E}">
    <text xml:space="preserve">Carro locado do proprietário, não é locadora.
</text>
  </threadedComment>
  <threadedComment ref="F263" dT="2026-03-31T17:06:49.00" personId="{917192ED-61AC-45C1-BACF-FA46EB55430B}" id="{4CA3B387-5040-4260-BB50-2ECA44FF4207}">
    <text>Veículo Polo EWF6F13 locado por Bruno, porque o Eduardo possui impedimento na Unidas (ao Bruno foi justificado como uma questão de logística) - Eduardo recebeu o carro em 01/04/26</text>
  </threadedComment>
  <threadedComment ref="J263" dT="2026-03-31T17:07:56.04" personId="{917192ED-61AC-45C1-BACF-FA46EB55430B}" id="{5F53D230-E5C7-43C2-B987-4A185A8C4FB8}">
    <text xml:space="preserve">Telemetria Unidas
</text>
  </threadedComment>
  <threadedComment ref="H264" dT="2026-04-14T13:49:46.97" personId="{917192ED-61AC-45C1-BACF-FA46EB55430B}" id="{F54D3303-B396-46A4-B47F-DF70980DBF28}">
    <text>Reservado o Grupo J - 3000km R$7.553,00 e ao chegar lá o carro estava precisando de revisão, troca de pneu e foi disponibilizado Toro TEBIJ42 que está no grupo TT com mensalidade R$6.049,13. A substituição para a caminhonete S10 PVR4B99 só foi realizada em 11/04/26 - 7 diárias, solicitar desconto R$1.762,40</text>
  </threadedComment>
  <threadedComment ref="J264" dT="2026-04-13T18:39:36.67" personId="{917192ED-61AC-45C1-BACF-FA46EB55430B}" id="{8EE7DE61-BE71-4FD1-99D6-9C4F08FF31D6}">
    <text>Toro TEB1J42 - Telemetria Unidas</text>
  </threadedComment>
  <threadedComment ref="J264" dT="2026-04-13T18:57:53.71" personId="{917192ED-61AC-45C1-BACF-FA46EB55430B}" id="{EF0E779B-85D9-4AA6-8DF4-424A19FBDD53}" parentId="{8EE7DE61-BE71-4FD1-99D6-9C4F08FF31D6}">
    <text>S10 PVR4B92 - Telemetria Unidas</text>
  </threadedComment>
  <threadedComment ref="M264" dT="2026-04-30T12:06:01.94" personId="{917192ED-61AC-45C1-BACF-FA46EB55430B}" id="{39EEF479-6431-4880-AE87-3610A54B9AE8}">
    <text>S10 PVR4B99 - 11/04/2026</text>
  </threadedComment>
  <threadedComment ref="J265" dT="2026-04-13T19:01:34.00" personId="{917192ED-61AC-45C1-BACF-FA46EB55430B}" id="{0ED78D23-07A5-4090-BF41-A1CFA883730E}">
    <text>Telemetria Unidas - 3S</text>
  </threadedComment>
  <threadedComment ref="J266" dT="2026-04-13T19:01:34.00" personId="{917192ED-61AC-45C1-BACF-FA46EB55430B}" id="{D3BA6C45-E1F8-4F48-A76F-38F17A41B378}">
    <text>Telemetria Unidas - 3S</text>
  </threadedComment>
  <threadedComment ref="J267" dT="2026-04-13T19:01:34.00" personId="{917192ED-61AC-45C1-BACF-FA46EB55430B}" id="{85C329A4-DDB1-4318-9C9F-F6B25A832AE3}">
    <text>Telemetria Unidas - 3S</text>
  </threadedComment>
  <threadedComment ref="J268" dT="2026-04-13T19:01:34.00" personId="{917192ED-61AC-45C1-BACF-FA46EB55430B}" id="{265E30D1-FA64-40D6-A2FE-36EC8E2B4F1C}">
    <text>Telemetria Unidas - 3S</text>
  </threadedComment>
  <threadedComment ref="H269" dT="2026-04-28T11:36:44.98" personId="{917192ED-61AC-45C1-BACF-FA46EB55430B}" id="{51911419-1D48-4357-B095-46200205BA1B}">
    <text>Realizada a reserva do grupo B e ao chegar na loja não tinha o carro, então foi disponibilizado provisoriamente o Polo UEK4H95 do grupo EA.</text>
  </threadedComment>
  <threadedComment ref="J270" dT="2026-03-31T17:07:56.04" personId="{917192ED-61AC-45C1-BACF-FA46EB55430B}" id="{896C2B40-530A-468F-B09A-925326A4F2F1}">
    <text xml:space="preserve">Telemetria Unidas
</text>
  </threadedComment>
  <threadedComment ref="D271" dT="2026-05-28T13:21:43.70" personId="{917192ED-61AC-45C1-BACF-FA46EB55430B}" id="{99816EBE-7492-4D50-A1CB-A37A84217B48}">
    <text>24.024 UFV RIACHO - ATÉ 04/05/26 O VEÍCULO ARGO TCY1C84 - UALACE ERA DO PROJETO RIACHO</text>
  </threadedComment>
  <threadedComment ref="D271" dT="2026-05-28T13:23:18.30" personId="{917192ED-61AC-45C1-BACF-FA46EB55430B}" id="{1071530E-7724-4368-8DB8-0D98982E640E}" parentId="{99816EBE-7492-4D50-A1CB-A37A84217B48}">
    <text>A partir de 04/05/26 o veículo TCY1C84 está sendo medido no projeto 25.031 - Filtro Harmõnico</text>
  </threadedComment>
  <threadedComment ref="H271" dT="2026-05-28T13:24:31.12" personId="{917192ED-61AC-45C1-BACF-FA46EB55430B}" id="{CE312DA4-17EB-430D-A9D3-FD5FD77EDE71}">
    <text>24.024 UFV RIACHO - ATÉ 04/05/26 O VEÍCULO ARGO TCY1C84 - UALACE ERA DO PROJETO RIACHO</text>
  </threadedComment>
  <threadedComment ref="H271" dT="2026-05-28T13:24:46.29" personId="{917192ED-61AC-45C1-BACF-FA46EB55430B}" id="{9A6A2367-9C32-4F8E-A163-A01EED89EFF5}" parentId="{CE312DA4-17EB-430D-A9D3-FD5FD77EDE71}">
    <text xml:space="preserve">A partir de 04/05/26 o veículo TCY1C84 está sendo medido no projeto 25.031 - Filtro Harmõnico
</text>
  </threadedComment>
  <threadedComment ref="J271" dT="2026-03-31T17:07:56.04" personId="{917192ED-61AC-45C1-BACF-FA46EB55430B}" id="{28C0BAC5-3A0B-4876-9A6F-5F4E9119E46E}">
    <text xml:space="preserve">Telemetria Unidas
</text>
  </threadedComment>
  <threadedComment ref="F272" dT="2026-05-27T16:26:36.99" personId="{917192ED-61AC-45C1-BACF-FA46EB55430B}" id="{68645099-3E6D-41BC-AA80-9DC95C316F77}">
    <text>Condutor anterior era o Wendel, mas na desmobilização dele em 22/05/26 o veículo foi repassado para o Leandro Mattos - comunicado a equipe de Frotas na segunda 25/05/26</text>
  </threadedComment>
  <threadedComment ref="J272" dT="2026-04-30T18:00:19.38" personId="{917192ED-61AC-45C1-BACF-FA46EB55430B}" id="{097A9749-D442-46B3-8CA8-400A580978B4}">
    <text>Unidas 3s</text>
  </threadedComment>
  <threadedComment ref="J273" dT="2026-05-07T13:56:28.23" personId="{917192ED-61AC-45C1-BACF-FA46EB55430B}" id="{1F23B199-0BCB-46C3-837E-CE76AF258278}">
    <text>Unidas - 3s</text>
  </threadedComment>
  <threadedComment ref="H274" dT="2026-05-07T17:23:15.37" personId="{917192ED-61AC-45C1-BACF-FA46EB55430B}" id="{25E46B60-C967-4B17-BA15-83A304DFD68F}">
    <text>Após locação no caminho para o projeto, Gideoni identificou que o ar-condicionado não estava funcionando e no final da tarde ele retornou na loja para fazer a substituição.</text>
  </threadedComment>
  <threadedComment ref="J274" dT="2026-05-07T13:56:28.23" personId="{917192ED-61AC-45C1-BACF-FA46EB55430B}" id="{4DBAFC71-2EAE-4E7E-96CD-BF1B831DCE95}">
    <text>Unidas - 3s TJU3G71</text>
  </threadedComment>
  <threadedComment ref="J275" dT="2026-05-25T17:55:55.39" personId="{917192ED-61AC-45C1-BACF-FA46EB55430B}" id="{CBA38FD3-AB19-49A0-8FA5-68F6002B8F1B}">
    <text>Recife GPS 24/05/26 - SOLICITAR UNIDAS</text>
  </threadedComment>
  <threadedComment ref="J276" dT="2026-05-25T17:55:55.39" personId="{917192ED-61AC-45C1-BACF-FA46EB55430B}" id="{38D8914D-D0CB-4120-85FA-3C235A515D17}">
    <text>Recife GPS 25/05/26 - SOLICITAR UNIDAS</text>
  </threadedComment>
  <threadedComment ref="I277" dT="2026-05-26T18:52:13.07" personId="{917192ED-61AC-45C1-BACF-FA46EB55430B}" id="{F35CCE4A-8BC5-4194-8E82-4EFA2C3A6786}">
    <text>O Carro é SUV mas na medição do cliente será considerado o valor de veículo passeio, que foi o que eles solicitaram locar para ela. Mas, devido a algumas exigência de veículo que a Marcia precisava foi visto que o ideal seria locar o veículo particular dela que já seria o mais apropriado, sendo que o carro é T-Cross mas negociamos para pagar o valor mensal R$2.600,00 - na Unidas o veículo passeio de 3000km custa R$2.606,00</text>
  </threadedComment>
  <threadedComment ref="AA277" dT="2026-06-09T13:18:51.29" personId="{917192ED-61AC-45C1-BACF-FA46EB55430B}" id="{7926DE9F-7571-44F2-96D2-E66026FF6870}">
    <text xml:space="preserve">Ultimo dia de Marcia no projeto foi 05/06/2026 e na segunda 08/06 ela comunicou a saída dela. </text>
  </threadedComment>
  <threadedComment ref="H281" dT="2026-01-29T16:59:48.82" personId="{917192ED-61AC-45C1-BACF-FA46EB55430B}" id="{4A88859E-90E2-42E9-A2E3-7392F0324C48}">
    <text>De 04 a 05/06/26  foi disponibilizado o veículo TR4 QFA7C17, enquanto a ASX GGM4J35 estava em manutenção.</text>
  </threadedComment>
  <threadedComment ref="H281" dT="2026-06-04T14:13:50.08" personId="{917192ED-61AC-45C1-BACF-FA46EB55430B}" id="{D1E1A53B-26F7-483D-B3DD-E577CFB6FDF6}" parentId="{4A88859E-90E2-42E9-A2E3-7392F0324C48}">
    <text xml:space="preserve">
Gostaria de registrar algumas observações identificadas durante a utilização do veículo:
O veículo encontra-se sem o documento referente ao exercício de 2026, no ato da retirada fui informado que tinha, mas no modelo pdf. 
A solicitação do pdf já foi realizada ao proprietário da locadora, porém, até o momento deste e-mail, não obtive retorno.
Foram identificados alguns pontos de ferrugem na lataria, ficando registrado apenas para acompanhamento.
Foi identificado problema no sistema de som do veículo, apresentando áudio excessivamente agudo, mesmo após tentativas de equalização.
A entrada USB/pendrive não está funcionando, impossibilitando a utilização de mídia externa. 
Em alguns momentos também não é possível conectar via Bluetooth.
Foi identificado problema no sistema de ar-condicionado. 
O equipamento demora para atingir uma temperatura adequada e não alcança o nível de refrigeração indicado no painel de controle. 
Considerando as altas temperaturas da região, que podem ultrapassar os 40°C, essa situação impacta diretamente no conforto e na utilização do veículo.
Durante a condução, observei demora na resposta da aceleração. 
Em alguns momentos, ao pressionar o acelerador, o veículo responde de forma tardia e com arrancada brusca, situação que pode gerar risco à segurança e ocasionar acidentes.
Ao esterçar o volante, é possível ouvir um estalo na parte mecânica, havendo a possibilidade de estar relacionado ao sistema da homocinética ou outro componente da suspensão/direção.
Diante das situações apresentadas, irei verificar junto à locadora a possibilidade de substituição do veículo. Solicito, por gentileza, o apoio de vocês na avaliação e tratativa dessa solicitação, pois alguns pontos identificados estão fora das condições adequadas de utilização e segurança.
</text>
  </threadedComment>
  <threadedComment ref="J283" dT="2026-06-09T16:35:46.50" personId="{917192ED-61AC-45C1-BACF-FA46EB55430B}" id="{D3120A53-6EC8-4C30-8E27-15FCB6E92935}">
    <text>Recife GPS - INSTALADO 09/06/26</text>
  </threadedComment>
  <threadedComment ref="F285" dT="2026-06-12T12:13:40.00" personId="{917192ED-61AC-45C1-BACF-FA46EB55430B}" id="{66122591-41EE-476B-91D5-09766553E026}">
    <text>Veículo locado por Alain em 06/06/26 e ao chegar no projeto o Leandro solicitou que seja repassado para a Helen 09/06/2026</text>
  </threadedComment>
  <threadedComment ref="J285" dT="2026-06-12T12:14:59.55" personId="{917192ED-61AC-45C1-BACF-FA46EB55430B}" id="{2FF5AC1A-EC47-4E68-8D47-3A0DCCC3D6B5}">
    <text>Unidas - 3s</text>
  </threadedComment>
</ThreadedComments>
</file>

<file path=xl/threadedComments/threadedComment2.xml><?xml version="1.0" encoding="utf-8"?>
<ThreadedComments xmlns="http://schemas.microsoft.com/office/spreadsheetml/2018/threadedcomments" xmlns:x="http://schemas.openxmlformats.org/spreadsheetml/2006/main">
  <threadedComment ref="F7" dT="2026-05-11T11:15:51.62" personId="{917192ED-61AC-45C1-BACF-FA46EB55430B}" id="{DE551511-8A8F-4F18-B991-5B447D2E6EDD}">
    <text>Andre: 08/05 33.374km a 10/05/2026 34.145km - Utilizado 771km (Ida a Belo Horizonte)</text>
  </threadedComment>
  <threadedComment ref="F12" dT="2026-05-12T17:32:44.96" personId="{917192ED-61AC-45C1-BACF-FA46EB55430B}" id="{43197F48-A546-4D23-A919-6C2297B7256F}">
    <text>uso particular não solicitado 15 a 26.04 Queimada nova PI x Petrolina PE - 366km</text>
  </threadedComment>
  <threadedComment ref="F13" dT="2026-01-08T12:16:28.05" personId="{917192ED-61AC-45C1-BACF-FA46EB55430B}" id="{FD004A71-F3C2-4AB7-A46D-BBEFF694886B}">
    <text>Fez uso Particular de 20/12 a 05/01/26 para caetite BA que fica a 918km de distancia de queimada nova PI (projeto) e não enviou os registros do uso</text>
  </threadedComment>
  <threadedComment ref="F14" dT="2026-05-12T17:46:09.23" personId="{917192ED-61AC-45C1-BACF-FA46EB55430B}" id="{81800A2C-46EA-47A5-A401-B663D0003018}">
    <text xml:space="preserve">22 a 26/04 Queimada Nova PI x Salgueiro PE x Limoeiro do Norte CE utilizado 1.569km - autorizado por Jaqueline sem formalização;
</text>
  </threadedComment>
  <threadedComment ref="F18" dT="2026-02-25T17:18:18.59" personId="{917192ED-61AC-45C1-BACF-FA46EB55430B}" id="{6B137B78-BC46-415D-AC56-BEFF05D7F611}">
    <text>Alire: 13/02 14.956km a 22/02/26 17.288km - Utilizado 2.332km (local da obra Umburanas BA, foi para Natal RN 13/02 a 21/02 - uso particular_folga e em 22/02 chegou em Queimada Nova PI para atender a solicitação da cliente previsão de ficar 22 a 27/02/26)</text>
  </threadedComment>
  <threadedComment ref="F24" dT="2026-01-09T20:46:44.88" personId="{917192ED-61AC-45C1-BACF-FA46EB55430B}" id="{2D8C1B3E-BEBD-4512-BF3E-C88A1C66E82A}">
    <text>22 A 24/12/25 fez uso particular de irece para Ibitira BA (469km - ida e volta 938km) sem envio de informação</text>
  </threadedComment>
  <threadedComment ref="F25" dT="2026-04-09T12:51:54.75" personId="{917192ED-61AC-45C1-BACF-FA46EB55430B}" id="{042CCDC4-AE2E-44C9-8A4F-3D2C04D3F93C}">
    <text xml:space="preserve">Augusto: Uso particular não solicitado_01 a 05/04/26 - Irecê x Ibitiara BA -Utilizado 530km (telemetria)
</text>
  </threadedComment>
  <threadedComment ref="F25" dT="2026-05-11T19:04:12.99" personId="{917192ED-61AC-45C1-BACF-FA46EB55430B}" id="{6E6AC8DA-DE25-4CCD-BAA6-BF36CB03B8B8}" parentId="{042CCDC4-AE2E-44C9-8A4F-3D2C04D3F93C}">
    <text xml:space="preserve">Uso particular não solicitado 30/04 a 03/05/26 - irece x Ibitiara BA (após seabra) - estimativa 466km telemetria - houve uso noturno
</text>
  </threadedComment>
  <threadedComment ref="F28" dT="2026-03-31T14:29:28.10" personId="{917192ED-61AC-45C1-BACF-FA46EB55430B}" id="{E9F7D332-67EF-462C-9160-9BB560AB4E49}">
    <text>Nilberto: 14 a 16/03/26 - Bonito BA estimativa de uso 390km (uso não solicitado)
Nilberto: 27 a 29/03/26 - Bonito BA estimativa de uso 390km (uso não solicitado)</text>
  </threadedComment>
  <threadedComment ref="F28" dT="2026-04-27T14:09:24.08" personId="{917192ED-61AC-45C1-BACF-FA46EB55430B}" id="{1DF22E7E-E66D-4E91-9992-DF33AA42F595}" parentId="{E9F7D332-67EF-462C-9160-9BB560AB4E49}">
    <text>Telemetria: 20 a 21/04/26 Irecê x Bonito BA_Estimado 284km - Uso particular não solicitado</text>
  </threadedComment>
  <threadedComment ref="F30" dT="2026-02-20T11:36:19.47" personId="{917192ED-61AC-45C1-BACF-FA46EB55430B}" id="{346055E8-A3CF-4840-9C28-9D6C4D7F6EB0}">
    <text>Ana Caroline: 13/02 42.102km a 23/02/26 42.995km - Utilizado 893km</text>
  </threadedComment>
  <threadedComment ref="F30" dT="2026-04-28T10:57:19.49" personId="{917192ED-61AC-45C1-BACF-FA46EB55430B}" id="{5E0AF8DC-0E37-4DCD-B3B2-2A42619AA77C}" parentId="{346055E8-A3CF-4840-9C28-9D6C4D7F6EB0}">
    <text>Ana Caroline: Solicitou autorização para 18 a 26/04/26, porém a viagem ocorreu em 16/04 46.796km a 27/04/26 47.696km (identificado na telemetria) - Utilizado 900km</text>
  </threadedComment>
  <threadedComment ref="F31" dT="2026-01-09T20:33:59.34" personId="{917192ED-61AC-45C1-BACF-FA46EB55430B}" id="{5E068A19-FEE2-4A9B-8E31-8B3C2D0978E6}">
    <text>01 a 02/03/2025 - Utilizado
19/12 50.581km a faltou de retorno</text>
  </threadedComment>
  <threadedComment ref="F33" dT="2026-01-09T20:53:21.51" personId="{917192ED-61AC-45C1-BACF-FA46EB55430B}" id="{01446C18-C6A4-448C-AA5E-92FCEA2803A5}">
    <text>Francisco de Morais e Ana Luiza - 18/12 41.449km a 05/01/26 43.893km (Utilizado 2.444km)</text>
  </threadedComment>
  <threadedComment ref="F34" dT="2026-05-11T18:54:21.11" personId="{917192ED-61AC-45C1-BACF-FA46EB55430B}" id="{E2189709-6293-4AA7-A543-FE0637BE9032}">
    <text>Telemetria: 10/05/26 foi para Itaguaçu da Bahia BA que fica há 700m (3min) próximo de Uibaí e à noite foi para João Dourado BA (ida e volta estimado 116km) - retornou 11/05/26 de madrugada - uso não autorizado.</text>
  </threadedComment>
  <threadedComment ref="F36" dT="2026-01-09T20:42:22.79" personId="{917192ED-61AC-45C1-BACF-FA46EB55430B}" id="{703E6F1A-4BBF-4574-B6C1-B7AB97A4A255}">
    <text>Inicio de recesso (emendou com folgas) 12/12 22.926km a 06/01/26 25.621km - Utilizado 2.695km</text>
  </threadedComment>
  <threadedComment ref="F38" dT="2026-05-29T14:52:45.08" personId="{917192ED-61AC-45C1-BACF-FA46EB55430B}" id="{A3755630-5D65-422B-80F5-8F631209F98E}">
    <text>Renegade TXL2A88 - Luis Daladiuer - uso particular 26.05.26 20.032km a  29/05/26 20.932km uibai x petrolina PE - utilizado 900km (NO E-MAIL INFORMOU QUE VOLTARIA DIA 27, enviou o registro completo só em 02/06 junto ao checklist de fechamento)</text>
  </threadedComment>
  <threadedComment ref="F39" dT="2026-01-08T16:39:30.35" personId="{917192ED-61AC-45C1-BACF-FA46EB55430B}" id="{84E4DF98-D0DB-43F0-AE75-170268F03200}">
    <text>Izadora: 30/12 7.473km a 01/01/26 falta informação de retorno</text>
  </threadedComment>
  <threadedComment ref="F39" dT="2026-04-07T19:13:16.92" personId="{917192ED-61AC-45C1-BACF-FA46EB55430B}" id="{208ADA30-8BB0-4E22-BC95-91C7E51227FC}" parentId="{84E4DF98-D0DB-43F0-AE75-170268F03200}">
    <text>Izadora: 04/04 16.610km a 05/04/26 16.772km ida para Galinhos-RN - Utilizado 162km</text>
  </threadedComment>
  <threadedComment ref="F39" dT="2026-04-22T12:25:41.44" personId="{917192ED-61AC-45C1-BACF-FA46EB55430B}" id="{3AEBB98A-BCD0-4FF5-9DB2-B7BF59BC9A6B}" parentId="{84E4DF98-D0DB-43F0-AE75-170268F03200}">
    <text>Izadora: 17/04 17.610km a 18/04/26 17.774km - Utilizado 164km (Rio do Fogo RN)</text>
  </threadedComment>
  <threadedComment ref="F40" dT="2026-01-08T18:37:20.70" personId="{917192ED-61AC-45C1-BACF-FA46EB55430B}" id="{C4352BD9-6877-42D2-85FE-A9AC803A8BB6}">
    <text>26 a 28/12/25 - durante o recesso consta na telemetria que Geferson fez uso particular para Lagoa Seca e Ponta Negra RN de  26 a 28/12 - Lajes x ponta Negra 130km - no mínimo 260km de uso ida e volta</text>
  </threadedComment>
  <threadedComment ref="F40" dT="2026-03-31T11:11:51.48" personId="{917192ED-61AC-45C1-BACF-FA46EB55430B}" id="{81C2B1F9-BE35-4943-A964-8F76D3581855}" parentId="{C4352BD9-6877-42D2-85FE-A9AC803A8BB6}">
    <text xml:space="preserve">Telemetria: 28 a 29/03/26 sitio novo RN 101km de lajes _ em média 202km - uso particular não solicitado </text>
  </threadedComment>
  <threadedComment ref="F40" dT="2026-04-27T11:59:13.98" personId="{917192ED-61AC-45C1-BACF-FA46EB55430B}" id="{F8774565-4CF3-4D82-996D-5750BB778F30}" parentId="{C4352BD9-6877-42D2-85FE-A9AC803A8BB6}">
    <text xml:space="preserve">Telemetria:18 a 19/04/26 Sitio Novo RN 109km de Lajes RN_ em média 218km (veículo ficou parado) - uso particular não solicitado 
</text>
  </threadedComment>
  <threadedComment ref="F40" dT="2026-04-27T12:01:10.49" personId="{917192ED-61AC-45C1-BACF-FA46EB55430B}" id="{4A5BDEF3-4311-436D-B140-EEC2DF905DDB}" parentId="{C4352BD9-6877-42D2-85FE-A9AC803A8BB6}">
    <text xml:space="preserve">Telemetria: 23 a 27/04/26 Sitio Novo RN 109km de Lajes RN_ em média 218km (veículo ficou parado) - uso particular não solicitado 
</text>
  </threadedComment>
  <threadedComment ref="F40" dT="2026-05-11T13:46:21.08" personId="{917192ED-61AC-45C1-BACF-FA46EB55430B}" id="{F5D5B88C-AE58-4A65-8F3E-636E6936FC66}" parentId="{C4352BD9-6877-42D2-85FE-A9AC803A8BB6}">
    <text>Telemetria: 02 a 03/05/2026 - Sitio Novo RN utilizado 218km</text>
  </threadedComment>
  <threadedComment ref="F40" dT="2026-05-28T11:01:35.24" personId="{917192ED-61AC-45C1-BACF-FA46EB55430B}" id="{46C76C76-75F4-4A7A-9F90-B34EC64358D4}" parentId="{C4352BD9-6877-42D2-85FE-A9AC803A8BB6}">
    <text>Uso particular autorizado: 23/05 24.247km a 24/05/26 24.431km - utilizado 184km</text>
  </threadedComment>
  <threadedComment ref="F40" dT="2026-06-15T18:24:02.07" personId="{917192ED-61AC-45C1-BACF-FA46EB55430B}" id="{A28BEED7-F040-426E-B73E-2EB65FF3CEBE}" parentId="{C4352BD9-6877-42D2-85FE-A9AC803A8BB6}">
    <text>Uso autorizado Lajes x Sitio Novo RN: 12/06 26.512km a 15/06/26  26.693km - Utilizado 181km</text>
  </threadedComment>
  <threadedComment ref="F41" dT="2026-01-08T18:41:50.67" personId="{917192ED-61AC-45C1-BACF-FA46EB55430B}" id="{2D3ABF99-E499-45A6-9F5E-4A57FE9E1052}">
    <text>Geraldo: 23/12 42.138km a 26/12/25 42.395km - Utilizado 257km</text>
  </threadedComment>
  <threadedComment ref="F41" dT="2026-06-01T12:02:36.63" personId="{917192ED-61AC-45C1-BACF-FA46EB55430B}" id="{51235069-A5D2-4A5A-A693-6612EDF3ABA6}" parentId="{2D3ABF99-E499-45A6-9F5E-4A57FE9E1052}">
    <text>Uso particular não autorizado: 22/05 a 25/05/26 - Lajes x Açu RN 82KM - Estimativa 164km ida e volta</text>
  </threadedComment>
  <threadedComment ref="F42" dT="2026-02-20T11:41:44.47" personId="{917192ED-61AC-45C1-BACF-FA46EB55430B}" id="{2314F3E0-A6D8-4F0A-B890-AD42F1AB5AEE}">
    <text>João - Uso não autorizado: 07/02 46.374km a 08/02/26 46.611km - Utilizado 237km.
- Enviou o e-mail de solicitação na sexta 06/02 às 17:43h e a viagem seria para o sábado, devido ao horário fora de expediente da sede não foi possível dar e retorno e mesmo assim João seguiu viagem.</text>
  </threadedComment>
  <threadedComment ref="F42" dT="2026-04-27T12:36:21.04" personId="{917192ED-61AC-45C1-BACF-FA46EB55430B}" id="{16969E5F-9241-4BD0-8130-EF38DE8B0B9C}" parentId="{2314F3E0-A6D8-4F0A-B890-AD42F1AB5AEE}">
    <text>Telemetria: 19/04/26 ida e volta João Camara x Natal RN - utilizado 197km</text>
  </threadedComment>
  <threadedComment ref="F46" dT="2026-04-27T13:13:44.78" personId="{917192ED-61AC-45C1-BACF-FA46EB55430B}" id="{09613E59-25D7-47F4-92FB-BE7A4A42E167}">
    <text>Telemetria: 24 a 27/04/26 Lajes x Açu RN _ estimado 181km - Uso particular não solicitado</text>
  </threadedComment>
  <threadedComment ref="F46" dT="2026-05-11T16:33:24.09" personId="{917192ED-61AC-45C1-BACF-FA46EB55430B}" id="{5B4A9B61-F9ED-4491-B4BE-9170F37AD6C1}" parentId="{09613E59-25D7-47F4-92FB-BE7A4A42E167}">
    <text xml:space="preserve">02 a 04/05/26 Lajes x Açu RN - uso particular não solicitado estimado 181km - em 04/05/26 Laura e Jaqueline conversou com Railson e ficou esclarecido para ele de que não pode haver uso particular sem autorização
</text>
  </threadedComment>
  <threadedComment ref="F47" dT="2026-03-31T13:12:59.33" personId="{917192ED-61AC-45C1-BACF-FA46EB55430B}" id="{2C68119B-E300-41B3-918A-FA1A500C8F81}">
    <text>Uliana: 28 a 29/03/26: ida para Natal 79km de distancia de João Camara - Utilizado 234km (não houve solicitação prévia, comunicou depois - emergência com o pai)</text>
  </threadedComment>
  <threadedComment ref="F47" dT="2026-04-20T13:51:41.64" personId="{917192ED-61AC-45C1-BACF-FA46EB55430B}" id="{E43DAF28-022B-4A16-AB55-EB03E5459EF2}" parentId="{2C68119B-E300-41B3-918A-FA1A500C8F81}">
    <text>Paulo e Claudio: 10/04/26 bate e volta para Natal - Ida 15.468km e Retorno 15.676km - Utilizado 208km (Foi solicitado o uso para Paulo ir com veículo à Natal porque estava saindo de folga e Claudio que estava em Natal retornaria com o veículo no mesmo dia 10/04/26) - as fotos não foram enviadas no exato dia de uso.</text>
  </threadedComment>
  <threadedComment ref="F48" dT="2026-01-08T11:40:31.04" personId="{917192ED-61AC-45C1-BACF-FA46EB55430B}" id="{6321B9D3-2C14-4FCA-B57D-7133D6EE13D0}">
    <text>Marcelo: 23/12 662km a 23/12/25 956km - Utilizado 294km</text>
  </threadedComment>
  <threadedComment ref="F48" dT="2026-06-01T13:53:16.32" personId="{917192ED-61AC-45C1-BACF-FA46EB55430B}" id="{DEF8C462-1415-4546-AB73-08ABFE582432}" parentId="{6321B9D3-2C14-4FCA-B57D-7133D6EE13D0}">
    <text xml:space="preserve">Uso particular 15 anos Proyfe - Gideoni, Caio, Luana e Airismilla - 29/05 7.722km a 31/05/26 8.584km - utilizado 862km (liberado o carro de Marcelo por ter o consumo menor da quilometragem)
</text>
  </threadedComment>
  <threadedComment ref="F49" dT="2026-01-08T15:04:02.55" personId="{917192ED-61AC-45C1-BACF-FA46EB55430B}" id="{F942DF2A-EED7-4C03-93C1-F4BA9131CA36}">
    <text xml:space="preserve">Esdras: 22/12/25 12.950km a 04/01/26 - falta informação de retorno </text>
  </threadedComment>
  <threadedComment ref="F49" dT="2026-06-01T13:14:52.81" personId="{917192ED-61AC-45C1-BACF-FA46EB55430B}" id="{39ABE81B-A01B-4178-9DD4-97FE45ECDA34}" parentId="{F942DF2A-EED7-4C03-93C1-F4BA9131CA36}">
    <text xml:space="preserve">Uso particular 15 anos Proyfe - Paulo, Claudio e a esposa - 30/05 20.096 a 31/05/26 20.672km (estipulado – faltou enviar a foto de retorno) - utilizado 576km (liberado o carro de Esdras por ter o consumo menor da quilometragem)
</text>
  </threadedComment>
  <threadedComment ref="F50" dT="2026-02-20T13:14:06.42" personId="{917192ED-61AC-45C1-BACF-FA46EB55430B}" id="{95A54046-5353-4BB9-AD51-186A41A331CB}">
    <text xml:space="preserve">Weiller: 14/02 8.972km a 16/02/2026 9.167km - Utilizado 195km
</text>
  </threadedComment>
  <threadedComment ref="F50" dT="2026-05-28T11:08:01.37" personId="{917192ED-61AC-45C1-BACF-FA46EB55430B}" id="{BFE92D33-838C-4C7F-AC59-3E0D22967C20}" parentId="{95A54046-5353-4BB9-AD51-186A41A331CB}">
    <text>Uso particular autorizado  João camara x Touros RN - 23/05 22.029 a 25.05.26 - 22.249km - utilizado 220km</text>
  </threadedComment>
  <threadedComment ref="F50" dT="2026-06-15T16:41:18.56" personId="{917192ED-61AC-45C1-BACF-FA46EB55430B}" id="{C2741B82-3FDD-4454-A659-3D2F5C9627D0}" parentId="{95A54046-5353-4BB9-AD51-186A41A331CB}">
    <text xml:space="preserve">Luis Franco: uso particular não autorizado de João camara para São Bento do Norte e Pureza RN - 30/05 23.205km a 31/05/26 23.367km - utilizado 162km </text>
  </threadedComment>
  <threadedComment ref="F50" dT="2026-06-15T16:51:23.05" personId="{917192ED-61AC-45C1-BACF-FA46EB55430B}" id="{5F2C56D9-907D-4936-BA02-B661867614B1}" parentId="{95A54046-5353-4BB9-AD51-186A41A331CB}">
    <text>Weiller: uso particular não autorizado de João camara para Natal RN - 06/06 24.388KM a 07/06/26 24.625km - utilizado 237km</text>
  </threadedComment>
  <threadedComment ref="F51" dT="2026-06-01T14:27:44.52" personId="{917192ED-61AC-45C1-BACF-FA46EB55430B}" id="{16EDB0B5-3370-4039-A887-2475E1AD3799}">
    <text>uso particular não solicitado ida 13:30H e volta 14:39H Touros RN 13.05.26 - estimado 118km</text>
  </threadedComment>
  <threadedComment ref="F55" dT="2026-04-08T12:23:59.99" personId="{917192ED-61AC-45C1-BACF-FA46EB55430B}" id="{25E5C359-DF83-4183-A121-2EABC16483AD}">
    <text>Yanca: 07 a 09/03/26 esteve em João Camara 75km de Lajes - uso estimado 150km (não houve solicitação)</text>
  </threadedComment>
  <threadedComment ref="F59" dT="2026-01-09T21:33:10.57" personId="{917192ED-61AC-45C1-BACF-FA46EB55430B}" id="{3627B0E1-13BD-49B4-85D7-595CBCBC8B58}">
    <text xml:space="preserve">19/12/25 14.948KM A </text>
  </threadedComment>
  <threadedComment ref="F60" dT="2026-06-01T19:10:40.48" personId="{917192ED-61AC-45C1-BACF-FA46EB55430B}" id="{3D220C26-FE94-4DEA-AFDD-8A7215C2AE13}">
    <text>Uso particular 15 anos Proyfe Brasil - Idalecio e Alverson - 29/05 27.930km a 01/06/26 28.892km Lajes x Jaboatão dos Guararapes - utilizado 962km - entregou o veículo sem abastecer e sem registrar as fotos</text>
  </threadedComment>
  <threadedComment ref="F61" dT="2026-06-15T17:03:39.97" personId="{917192ED-61AC-45C1-BACF-FA46EB55430B}" id="{156476EA-ADC0-4330-9AA4-5B97837FB5B9}">
    <text>Eduardo - Uso do veículo para treinamento GWO - 11/06 ás 06:53h 51.019km a 11/06/26 19:58h 51.180km - utilizado 161km</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74"/>
  <sheetViews>
    <sheetView showGridLines="0" zoomScale="106" zoomScaleNormal="106" workbookViewId="0">
      <selection activeCell="B1" sqref="B1:S2"/>
    </sheetView>
  </sheetViews>
  <sheetFormatPr defaultRowHeight="15" x14ac:dyDescent="0.25"/>
  <cols>
    <col min="1" max="1" width="10.42578125" style="67" bestFit="1" customWidth="1"/>
    <col min="2" max="2" width="15.28515625" style="68" customWidth="1"/>
    <col min="3" max="3" width="10.7109375" style="68" bestFit="1" customWidth="1"/>
    <col min="4" max="4" width="11" style="68" bestFit="1" customWidth="1"/>
    <col min="5" max="5" width="16.5703125" style="68" bestFit="1" customWidth="1"/>
    <col min="6" max="6" width="14.140625" style="68" bestFit="1" customWidth="1"/>
    <col min="7" max="7" width="18" style="68" bestFit="1" customWidth="1"/>
    <col min="8" max="8" width="15.140625" style="68" bestFit="1" customWidth="1"/>
    <col min="9" max="9" width="18" style="68" bestFit="1" customWidth="1"/>
    <col min="10" max="10" width="15.140625" style="69" bestFit="1" customWidth="1"/>
    <col min="11" max="11" width="16.28515625" style="68" bestFit="1" customWidth="1"/>
    <col min="12" max="12" width="15.140625" style="68" customWidth="1"/>
    <col min="13" max="13" width="11.28515625" style="68" bestFit="1" customWidth="1"/>
    <col min="14" max="14" width="20.42578125" style="68" bestFit="1" customWidth="1"/>
    <col min="15" max="15" width="20.7109375" style="68" bestFit="1" customWidth="1"/>
    <col min="16" max="16" width="11.85546875" style="68" bestFit="1" customWidth="1"/>
    <col min="17" max="17" width="13.28515625" style="68" customWidth="1"/>
    <col min="18" max="18" width="27" style="68" bestFit="1" customWidth="1"/>
    <col min="19" max="19" width="90.85546875" style="68" customWidth="1"/>
    <col min="20" max="20" width="19.7109375" bestFit="1" customWidth="1"/>
  </cols>
  <sheetData>
    <row r="1" spans="1:20" ht="15.75" customHeight="1" x14ac:dyDescent="0.25">
      <c r="A1" s="696"/>
      <c r="B1" s="697" t="s">
        <v>66</v>
      </c>
      <c r="C1" s="697"/>
      <c r="D1" s="697"/>
      <c r="E1" s="697"/>
      <c r="F1" s="697"/>
      <c r="G1" s="697"/>
      <c r="H1" s="697"/>
      <c r="I1" s="697"/>
      <c r="J1" s="697"/>
      <c r="K1" s="697"/>
      <c r="L1" s="697"/>
      <c r="M1" s="697"/>
      <c r="N1" s="697"/>
      <c r="O1" s="697"/>
      <c r="P1" s="697"/>
      <c r="Q1" s="697"/>
      <c r="R1" s="697"/>
      <c r="S1" s="697"/>
    </row>
    <row r="2" spans="1:20" ht="39.75" customHeight="1" x14ac:dyDescent="0.25">
      <c r="A2" s="696"/>
      <c r="B2" s="697"/>
      <c r="C2" s="697"/>
      <c r="D2" s="697"/>
      <c r="E2" s="697"/>
      <c r="F2" s="697"/>
      <c r="G2" s="697"/>
      <c r="H2" s="697"/>
      <c r="I2" s="697"/>
      <c r="J2" s="697"/>
      <c r="K2" s="697"/>
      <c r="L2" s="697"/>
      <c r="M2" s="697"/>
      <c r="N2" s="697"/>
      <c r="O2" s="697"/>
      <c r="P2" s="697"/>
      <c r="Q2" s="697"/>
      <c r="R2" s="697"/>
      <c r="S2" s="697"/>
    </row>
    <row r="3" spans="1:20" ht="15.75" x14ac:dyDescent="0.25">
      <c r="A3" s="698" t="s">
        <v>120</v>
      </c>
      <c r="B3" s="699"/>
      <c r="C3" s="699"/>
      <c r="D3" s="699"/>
      <c r="E3" s="699"/>
      <c r="F3" s="700"/>
      <c r="G3" s="22"/>
      <c r="H3" s="22"/>
      <c r="I3" s="22"/>
      <c r="J3" s="23"/>
      <c r="K3" s="22"/>
      <c r="L3" s="22"/>
      <c r="M3" s="22"/>
      <c r="N3" s="22"/>
      <c r="O3" s="22"/>
      <c r="P3" s="22"/>
      <c r="Q3"/>
      <c r="R3"/>
      <c r="S3"/>
    </row>
    <row r="4" spans="1:20" ht="15.75" x14ac:dyDescent="0.25">
      <c r="A4" s="701" t="s">
        <v>117</v>
      </c>
      <c r="B4" s="701"/>
      <c r="C4" s="25"/>
      <c r="D4" s="701" t="s">
        <v>38</v>
      </c>
      <c r="E4" s="701"/>
      <c r="F4" s="33"/>
      <c r="G4" s="22"/>
      <c r="H4" s="22"/>
      <c r="I4" s="22"/>
      <c r="J4" s="23"/>
      <c r="K4" s="22"/>
      <c r="L4" s="22"/>
      <c r="M4" s="22"/>
      <c r="N4" s="22"/>
      <c r="O4" s="22"/>
      <c r="P4" s="22"/>
      <c r="Q4"/>
      <c r="R4"/>
      <c r="S4"/>
    </row>
    <row r="5" spans="1:20" ht="15.75" x14ac:dyDescent="0.25">
      <c r="A5" s="701" t="s">
        <v>30</v>
      </c>
      <c r="B5" s="701"/>
      <c r="C5" s="27"/>
      <c r="D5" s="702" t="s">
        <v>46</v>
      </c>
      <c r="E5" s="702"/>
      <c r="F5" s="38"/>
      <c r="G5" s="22"/>
      <c r="H5" s="22"/>
      <c r="I5" s="22"/>
      <c r="J5" s="23"/>
      <c r="K5" s="22"/>
      <c r="L5" s="22"/>
      <c r="M5" s="22"/>
      <c r="N5" s="22"/>
      <c r="O5" s="22"/>
      <c r="P5" s="22"/>
      <c r="Q5"/>
      <c r="R5"/>
      <c r="S5"/>
    </row>
    <row r="6" spans="1:20" ht="15.75" x14ac:dyDescent="0.25">
      <c r="A6" s="701" t="s">
        <v>52</v>
      </c>
      <c r="B6" s="701"/>
      <c r="C6" s="28"/>
      <c r="D6" s="703" t="s">
        <v>121</v>
      </c>
      <c r="E6" s="704"/>
      <c r="F6" s="34"/>
      <c r="G6" s="22"/>
      <c r="H6" s="22"/>
      <c r="I6" s="22"/>
      <c r="J6" s="23"/>
      <c r="K6" s="22"/>
      <c r="L6" s="22"/>
      <c r="M6" s="22"/>
      <c r="N6" s="22"/>
      <c r="O6" s="22"/>
      <c r="P6" s="22"/>
      <c r="Q6"/>
      <c r="R6"/>
      <c r="S6"/>
    </row>
    <row r="7" spans="1:20" ht="15.75" x14ac:dyDescent="0.25">
      <c r="A7" s="701" t="s">
        <v>133</v>
      </c>
      <c r="B7" s="701"/>
      <c r="C7" s="83"/>
      <c r="D7" s="701" t="s">
        <v>45</v>
      </c>
      <c r="E7" s="701"/>
      <c r="F7" s="35"/>
      <c r="G7" s="22"/>
      <c r="H7" s="22"/>
      <c r="I7" s="22"/>
      <c r="J7" s="23"/>
      <c r="K7" s="22"/>
      <c r="L7" s="22"/>
      <c r="M7" s="22"/>
      <c r="N7" s="22"/>
      <c r="O7" s="22"/>
      <c r="P7" s="22"/>
      <c r="Q7"/>
      <c r="R7"/>
      <c r="S7"/>
    </row>
    <row r="8" spans="1:20" ht="15.75" x14ac:dyDescent="0.25">
      <c r="A8" s="701" t="s">
        <v>104</v>
      </c>
      <c r="B8" s="701"/>
      <c r="C8" s="30"/>
      <c r="D8" s="703" t="s">
        <v>65</v>
      </c>
      <c r="E8" s="704"/>
      <c r="F8" s="37"/>
      <c r="G8" s="22"/>
      <c r="H8" s="22"/>
      <c r="I8" s="22"/>
      <c r="J8" s="23"/>
      <c r="K8" s="22"/>
      <c r="L8" s="22"/>
      <c r="M8" s="22"/>
      <c r="N8" s="22"/>
      <c r="O8" s="22"/>
      <c r="P8" s="22"/>
      <c r="Q8"/>
      <c r="R8"/>
      <c r="S8"/>
    </row>
    <row r="9" spans="1:20" ht="15.75" x14ac:dyDescent="0.25">
      <c r="A9" s="701" t="s">
        <v>49</v>
      </c>
      <c r="B9" s="701"/>
      <c r="C9" s="31"/>
      <c r="D9" s="703" t="s">
        <v>96</v>
      </c>
      <c r="E9" s="704"/>
      <c r="F9" s="86"/>
      <c r="G9" s="22"/>
      <c r="H9" s="22"/>
      <c r="I9" s="22"/>
      <c r="J9" s="23"/>
      <c r="K9" s="22"/>
      <c r="L9" s="22"/>
      <c r="M9" s="22"/>
      <c r="N9" s="22"/>
      <c r="O9" s="22"/>
      <c r="P9" s="22"/>
      <c r="Q9"/>
      <c r="R9"/>
      <c r="S9"/>
    </row>
    <row r="10" spans="1:20" ht="15.75" x14ac:dyDescent="0.25">
      <c r="A10" s="701" t="s">
        <v>155</v>
      </c>
      <c r="B10" s="701"/>
      <c r="C10" s="92"/>
      <c r="D10" s="703" t="s">
        <v>166</v>
      </c>
      <c r="E10" s="704"/>
      <c r="F10" s="98"/>
      <c r="G10" s="22"/>
      <c r="H10" s="22"/>
      <c r="I10" s="22"/>
      <c r="J10" s="23"/>
      <c r="K10" s="22"/>
      <c r="L10" s="22"/>
      <c r="M10" s="22"/>
      <c r="N10" s="22"/>
      <c r="O10" s="22"/>
      <c r="P10" s="22"/>
      <c r="Q10"/>
      <c r="R10"/>
      <c r="S10"/>
    </row>
    <row r="11" spans="1:20" ht="15.75" x14ac:dyDescent="0.25">
      <c r="A11" s="701" t="s">
        <v>171</v>
      </c>
      <c r="B11" s="701"/>
      <c r="C11" s="101"/>
      <c r="D11" s="701"/>
      <c r="E11" s="701"/>
      <c r="F11" s="86"/>
      <c r="G11" s="22"/>
      <c r="H11" s="22"/>
      <c r="I11" s="22"/>
      <c r="J11" s="23"/>
      <c r="K11" s="22"/>
      <c r="L11" s="22"/>
      <c r="M11" s="22"/>
      <c r="N11" s="22"/>
      <c r="O11" s="22"/>
      <c r="P11" s="22"/>
      <c r="Q11"/>
      <c r="R11"/>
      <c r="S11"/>
    </row>
    <row r="12" spans="1:20" ht="15.75" x14ac:dyDescent="0.25">
      <c r="A12" s="21"/>
      <c r="B12"/>
      <c r="C12"/>
      <c r="D12" s="22"/>
      <c r="E12" s="22"/>
      <c r="F12" s="22"/>
      <c r="G12" s="22"/>
      <c r="H12" s="22"/>
      <c r="I12" s="22"/>
      <c r="J12" s="23"/>
      <c r="K12" s="22"/>
      <c r="L12" s="22"/>
      <c r="M12" s="22"/>
      <c r="N12" s="22"/>
      <c r="O12" s="22"/>
      <c r="P12" s="22"/>
      <c r="Q12"/>
      <c r="R12"/>
      <c r="S12"/>
    </row>
    <row r="13" spans="1:20" s="10" customFormat="1" ht="25.5" x14ac:dyDescent="0.25">
      <c r="A13" s="40" t="s">
        <v>95</v>
      </c>
      <c r="B13" s="41" t="s">
        <v>88</v>
      </c>
      <c r="C13" s="41" t="s">
        <v>0</v>
      </c>
      <c r="D13" s="42" t="s">
        <v>1</v>
      </c>
      <c r="E13" s="41" t="s">
        <v>18</v>
      </c>
      <c r="F13" s="41" t="s">
        <v>19</v>
      </c>
      <c r="G13" s="41" t="s">
        <v>20</v>
      </c>
      <c r="H13" s="41" t="s">
        <v>21</v>
      </c>
      <c r="I13" s="41" t="s">
        <v>22</v>
      </c>
      <c r="J13" s="41" t="s">
        <v>122</v>
      </c>
      <c r="K13" s="41" t="s">
        <v>123</v>
      </c>
      <c r="L13" s="45" t="s">
        <v>23</v>
      </c>
      <c r="M13" s="41" t="s">
        <v>24</v>
      </c>
      <c r="N13" s="41" t="s">
        <v>25</v>
      </c>
      <c r="O13" s="41" t="s">
        <v>26</v>
      </c>
      <c r="P13" s="41" t="s">
        <v>27</v>
      </c>
      <c r="Q13" s="41" t="s">
        <v>2</v>
      </c>
      <c r="R13" s="43" t="s">
        <v>28</v>
      </c>
      <c r="S13" s="44" t="s">
        <v>4</v>
      </c>
      <c r="T13" s="125" t="s">
        <v>241</v>
      </c>
    </row>
    <row r="14" spans="1:20" x14ac:dyDescent="0.25">
      <c r="A14" s="48">
        <v>1</v>
      </c>
      <c r="B14" s="49">
        <v>44135</v>
      </c>
      <c r="C14" s="53" t="s">
        <v>48</v>
      </c>
      <c r="D14" s="2" t="s">
        <v>33</v>
      </c>
      <c r="E14" s="2" t="s">
        <v>29</v>
      </c>
      <c r="F14" s="51">
        <v>44260</v>
      </c>
      <c r="G14" s="2" t="s">
        <v>93</v>
      </c>
      <c r="H14" s="51">
        <v>44303</v>
      </c>
      <c r="I14" s="2" t="s">
        <v>102</v>
      </c>
      <c r="J14" s="2"/>
      <c r="K14" s="2"/>
      <c r="L14" s="51"/>
      <c r="M14" s="50" t="s">
        <v>34</v>
      </c>
      <c r="N14" s="2" t="s">
        <v>92</v>
      </c>
      <c r="O14" s="1" t="s">
        <v>44</v>
      </c>
      <c r="P14" s="50">
        <v>20022</v>
      </c>
      <c r="Q14" s="2" t="s">
        <v>13</v>
      </c>
      <c r="R14" s="47" t="s">
        <v>49</v>
      </c>
      <c r="S14" s="39" t="s">
        <v>50</v>
      </c>
      <c r="T14" s="124" t="s">
        <v>242</v>
      </c>
    </row>
    <row r="15" spans="1:20" x14ac:dyDescent="0.25">
      <c r="A15" s="48">
        <v>2</v>
      </c>
      <c r="B15" s="49">
        <v>44169</v>
      </c>
      <c r="C15" s="54" t="s">
        <v>58</v>
      </c>
      <c r="D15" s="2" t="s">
        <v>15</v>
      </c>
      <c r="E15" s="2" t="s">
        <v>43</v>
      </c>
      <c r="F15" s="51">
        <v>44552</v>
      </c>
      <c r="G15" s="2" t="s">
        <v>131</v>
      </c>
      <c r="H15" s="2"/>
      <c r="I15" s="2"/>
      <c r="J15" s="2"/>
      <c r="K15" s="2"/>
      <c r="L15" s="51"/>
      <c r="M15" s="50" t="s">
        <v>34</v>
      </c>
      <c r="N15" s="2" t="s">
        <v>42</v>
      </c>
      <c r="O15" s="1" t="s">
        <v>37</v>
      </c>
      <c r="P15" s="50">
        <v>20003</v>
      </c>
      <c r="Q15" s="2" t="s">
        <v>13</v>
      </c>
      <c r="R15" s="46" t="s">
        <v>46</v>
      </c>
      <c r="S15" s="39" t="s">
        <v>142</v>
      </c>
      <c r="T15" s="124" t="s">
        <v>242</v>
      </c>
    </row>
    <row r="16" spans="1:20" x14ac:dyDescent="0.25">
      <c r="A16" s="48">
        <v>3</v>
      </c>
      <c r="B16" s="49">
        <v>44182</v>
      </c>
      <c r="C16" s="54" t="s">
        <v>60</v>
      </c>
      <c r="D16" s="2" t="s">
        <v>61</v>
      </c>
      <c r="E16" s="2" t="s">
        <v>62</v>
      </c>
      <c r="F16" s="51">
        <v>44344</v>
      </c>
      <c r="G16" s="2" t="s">
        <v>113</v>
      </c>
      <c r="H16" s="2"/>
      <c r="I16" s="2"/>
      <c r="J16" s="2"/>
      <c r="K16" s="2"/>
      <c r="L16" s="51"/>
      <c r="M16" s="50" t="s">
        <v>34</v>
      </c>
      <c r="N16" s="2" t="s">
        <v>103</v>
      </c>
      <c r="O16" s="1" t="s">
        <v>37</v>
      </c>
      <c r="P16" s="50">
        <v>20003</v>
      </c>
      <c r="Q16" s="2" t="s">
        <v>56</v>
      </c>
      <c r="R16" s="46" t="s">
        <v>46</v>
      </c>
      <c r="S16" s="39" t="s">
        <v>59</v>
      </c>
      <c r="T16" s="124" t="s">
        <v>245</v>
      </c>
    </row>
    <row r="17" spans="1:1020 1030:2040 2050:3071 3073:5117 5127:6137 6147:7168 7170:8191 8193:9214 9224:10234 10244:12288 12290:13311 13321:14331 14341:15351 15361:16382" x14ac:dyDescent="0.25">
      <c r="A17" s="48">
        <v>4</v>
      </c>
      <c r="B17" s="49">
        <v>44188</v>
      </c>
      <c r="C17" s="54" t="s">
        <v>63</v>
      </c>
      <c r="D17" s="2" t="s">
        <v>61</v>
      </c>
      <c r="E17" s="2" t="s">
        <v>43</v>
      </c>
      <c r="F17" s="2"/>
      <c r="G17" s="2"/>
      <c r="H17" s="2"/>
      <c r="I17" s="2"/>
      <c r="J17" s="2"/>
      <c r="K17" s="2"/>
      <c r="L17" s="51"/>
      <c r="M17" s="50" t="s">
        <v>34</v>
      </c>
      <c r="N17" s="2" t="s">
        <v>64</v>
      </c>
      <c r="O17" s="1" t="s">
        <v>37</v>
      </c>
      <c r="P17" s="50">
        <v>20003</v>
      </c>
      <c r="Q17" s="2" t="s">
        <v>56</v>
      </c>
      <c r="R17" s="46" t="s">
        <v>46</v>
      </c>
      <c r="S17" s="39" t="s">
        <v>59</v>
      </c>
      <c r="T17" s="124" t="s">
        <v>245</v>
      </c>
    </row>
    <row r="18" spans="1:1020 1030:2040 2050:3071 3073:5117 5127:6137 6147:7168 7170:8191 8193:9214 9224:10234 10244:12288 12290:13311 13321:14331 14341:15351 15361:16382" s="3" customFormat="1" x14ac:dyDescent="0.25">
      <c r="A18" s="48">
        <v>5</v>
      </c>
      <c r="B18" s="55">
        <v>44262</v>
      </c>
      <c r="C18" s="76" t="s">
        <v>89</v>
      </c>
      <c r="D18" s="56" t="s">
        <v>5</v>
      </c>
      <c r="E18" s="56" t="s">
        <v>32</v>
      </c>
      <c r="F18" s="57">
        <v>44529</v>
      </c>
      <c r="G18" s="56" t="s">
        <v>127</v>
      </c>
      <c r="H18" s="56"/>
      <c r="I18" s="56"/>
      <c r="J18" s="56"/>
      <c r="K18" s="56"/>
      <c r="L18" s="57"/>
      <c r="M18" s="58" t="s">
        <v>34</v>
      </c>
      <c r="N18" s="56" t="s">
        <v>90</v>
      </c>
      <c r="O18" s="59" t="s">
        <v>37</v>
      </c>
      <c r="P18" s="58">
        <v>20003</v>
      </c>
      <c r="Q18" s="56" t="s">
        <v>13</v>
      </c>
      <c r="R18" s="36" t="s">
        <v>65</v>
      </c>
      <c r="S18" s="60" t="s">
        <v>128</v>
      </c>
      <c r="T18" s="124" t="s">
        <v>242</v>
      </c>
      <c r="U18" s="5"/>
      <c r="V18" s="5"/>
      <c r="W18" s="5"/>
      <c r="X18" s="5"/>
      <c r="Y18" s="5"/>
      <c r="Z18" s="5"/>
      <c r="AA18" s="8"/>
      <c r="AB18" s="11"/>
      <c r="AC18" s="5"/>
      <c r="AD18" s="7"/>
      <c r="AE18" s="11"/>
      <c r="AF18" s="5"/>
      <c r="AG18" s="14"/>
      <c r="AH18" s="6"/>
      <c r="AI18" s="5"/>
      <c r="AJ18" s="5"/>
      <c r="AK18" s="5"/>
      <c r="AL18" s="5"/>
      <c r="AM18" s="5"/>
      <c r="AN18" s="5"/>
      <c r="AO18" s="5"/>
      <c r="AP18" s="5"/>
      <c r="AQ18" s="5"/>
      <c r="AR18" s="8"/>
      <c r="AS18" s="11"/>
      <c r="AT18" s="5"/>
      <c r="AU18" s="7"/>
      <c r="AV18" s="11"/>
      <c r="AW18" s="5"/>
      <c r="AX18" s="14"/>
      <c r="AY18" s="6"/>
      <c r="AZ18" s="5"/>
      <c r="BA18" s="5"/>
      <c r="BB18" s="5"/>
      <c r="BC18" s="5"/>
      <c r="BD18" s="5"/>
      <c r="BE18" s="5"/>
      <c r="BF18" s="5"/>
      <c r="BG18" s="5"/>
      <c r="BH18" s="5"/>
      <c r="BI18" s="8"/>
      <c r="BJ18" s="11"/>
      <c r="BK18" s="5"/>
      <c r="BL18" s="7"/>
      <c r="BM18" s="11"/>
      <c r="BN18" s="5"/>
      <c r="BO18" s="14"/>
      <c r="BP18" s="6"/>
      <c r="BQ18" s="5"/>
      <c r="BR18" s="5"/>
      <c r="BS18" s="5"/>
      <c r="BT18" s="5"/>
      <c r="BU18" s="5"/>
      <c r="BV18" s="5"/>
      <c r="BW18" s="5"/>
      <c r="BX18" s="5"/>
      <c r="BY18" s="5"/>
      <c r="BZ18" s="8"/>
      <c r="CA18" s="11"/>
      <c r="CB18" s="5"/>
      <c r="CC18" s="7"/>
      <c r="CD18" s="11"/>
      <c r="CE18" s="5"/>
      <c r="CF18" s="14"/>
      <c r="CG18" s="6"/>
      <c r="CH18" s="5"/>
      <c r="CI18" s="5"/>
      <c r="CJ18" s="5"/>
      <c r="CK18" s="5"/>
      <c r="CL18" s="5"/>
      <c r="CM18" s="5"/>
      <c r="CN18" s="5"/>
      <c r="CO18" s="20"/>
      <c r="CQ18" s="16"/>
      <c r="CR18" s="17"/>
      <c r="CT18" s="18"/>
      <c r="CU18" s="17"/>
      <c r="CW18" s="19"/>
      <c r="CX18" s="15"/>
      <c r="DH18" s="16"/>
      <c r="DI18" s="17"/>
      <c r="DK18" s="18"/>
      <c r="DL18" s="17"/>
      <c r="DN18" s="19"/>
      <c r="DO18" s="15"/>
      <c r="DY18" s="16"/>
      <c r="DZ18" s="17"/>
      <c r="EB18" s="18"/>
      <c r="EC18" s="17"/>
      <c r="EE18" s="19"/>
      <c r="EF18" s="15"/>
      <c r="EP18" s="16"/>
      <c r="EQ18" s="17"/>
      <c r="ES18" s="18"/>
      <c r="ET18" s="17"/>
      <c r="EV18" s="19"/>
      <c r="EW18" s="15"/>
      <c r="FG18" s="16"/>
      <c r="FH18" s="17"/>
      <c r="FJ18" s="18"/>
      <c r="FK18" s="17"/>
      <c r="FM18" s="19"/>
      <c r="FN18" s="15"/>
      <c r="FX18" s="16"/>
      <c r="FY18" s="17"/>
      <c r="GA18" s="18"/>
      <c r="GB18" s="17"/>
      <c r="GD18" s="19"/>
      <c r="GE18" s="15"/>
      <c r="GO18" s="16"/>
      <c r="GP18" s="17"/>
      <c r="GR18" s="18"/>
      <c r="GS18" s="17"/>
      <c r="GU18" s="19"/>
      <c r="GV18" s="15"/>
      <c r="HF18" s="16"/>
      <c r="HG18" s="17"/>
      <c r="HI18" s="18"/>
      <c r="HJ18" s="17"/>
      <c r="HL18" s="19"/>
      <c r="HM18" s="15"/>
      <c r="HW18" s="16"/>
      <c r="HX18" s="17"/>
      <c r="HZ18" s="18"/>
      <c r="IA18" s="17"/>
      <c r="IC18" s="19"/>
      <c r="ID18" s="15"/>
      <c r="IN18" s="16"/>
      <c r="IO18" s="17"/>
      <c r="IQ18" s="18"/>
      <c r="IR18" s="17"/>
      <c r="IT18" s="19"/>
      <c r="IU18" s="15"/>
      <c r="JE18" s="16"/>
      <c r="JF18" s="17"/>
      <c r="JH18" s="18"/>
      <c r="JI18" s="17"/>
      <c r="JK18" s="19"/>
      <c r="JL18" s="15"/>
      <c r="JV18" s="16"/>
      <c r="JW18" s="17"/>
      <c r="JY18" s="18"/>
      <c r="JZ18" s="17"/>
      <c r="KB18" s="19"/>
      <c r="KC18" s="15"/>
      <c r="KM18" s="16"/>
      <c r="KN18" s="17"/>
      <c r="KP18" s="18"/>
      <c r="KQ18" s="17"/>
      <c r="KS18" s="19"/>
      <c r="KT18" s="15"/>
      <c r="LD18" s="16"/>
      <c r="LE18" s="17"/>
      <c r="LG18" s="18"/>
      <c r="LH18" s="17"/>
      <c r="LJ18" s="19"/>
      <c r="LK18" s="15"/>
      <c r="LU18" s="16"/>
      <c r="LV18" s="17"/>
      <c r="LX18" s="18"/>
      <c r="LY18" s="17"/>
      <c r="MA18" s="19"/>
      <c r="MB18" s="15"/>
      <c r="ML18" s="16"/>
      <c r="MM18" s="17"/>
      <c r="MO18" s="18"/>
      <c r="MP18" s="17"/>
      <c r="MR18" s="19"/>
      <c r="MS18" s="15"/>
      <c r="NC18" s="16"/>
      <c r="ND18" s="17"/>
      <c r="NF18" s="18"/>
      <c r="NG18" s="17"/>
      <c r="NI18" s="19"/>
      <c r="NJ18" s="15"/>
      <c r="NT18" s="16"/>
      <c r="NU18" s="17"/>
      <c r="NW18" s="18"/>
      <c r="NX18" s="17"/>
      <c r="NZ18" s="19"/>
      <c r="OA18" s="15"/>
      <c r="OK18" s="16"/>
      <c r="OL18" s="17"/>
      <c r="ON18" s="18"/>
      <c r="OO18" s="17"/>
      <c r="OQ18" s="19"/>
      <c r="OR18" s="15"/>
      <c r="PB18" s="16"/>
      <c r="PC18" s="17"/>
      <c r="PE18" s="18"/>
      <c r="PF18" s="17"/>
      <c r="PH18" s="19"/>
      <c r="PI18" s="15"/>
      <c r="PS18" s="16"/>
      <c r="PT18" s="17"/>
      <c r="PV18" s="18"/>
      <c r="PW18" s="17"/>
      <c r="PY18" s="19"/>
      <c r="PZ18" s="15"/>
      <c r="QJ18" s="16"/>
      <c r="QK18" s="17"/>
      <c r="QM18" s="18"/>
      <c r="QN18" s="17"/>
      <c r="QP18" s="19"/>
      <c r="QQ18" s="15"/>
      <c r="RA18" s="16"/>
      <c r="RB18" s="17"/>
      <c r="RD18" s="18"/>
      <c r="RE18" s="17"/>
      <c r="RG18" s="19"/>
      <c r="RH18" s="15"/>
      <c r="RR18" s="16"/>
      <c r="RS18" s="17"/>
      <c r="RU18" s="18"/>
      <c r="RV18" s="17"/>
      <c r="RX18" s="19"/>
      <c r="RY18" s="15"/>
      <c r="SI18" s="16"/>
      <c r="SJ18" s="17"/>
      <c r="SL18" s="18"/>
      <c r="SM18" s="17"/>
      <c r="SO18" s="19"/>
      <c r="SP18" s="15"/>
      <c r="SZ18" s="16"/>
      <c r="TA18" s="17"/>
      <c r="TC18" s="18"/>
      <c r="TD18" s="17"/>
      <c r="TF18" s="19"/>
      <c r="TG18" s="15"/>
      <c r="TQ18" s="16"/>
      <c r="TR18" s="17"/>
      <c r="TT18" s="18"/>
      <c r="TU18" s="17"/>
      <c r="TW18" s="19"/>
      <c r="TX18" s="15"/>
      <c r="UH18" s="16"/>
      <c r="UI18" s="17"/>
      <c r="UK18" s="18"/>
      <c r="UL18" s="17"/>
      <c r="UN18" s="19"/>
      <c r="UO18" s="15"/>
      <c r="UY18" s="16"/>
      <c r="UZ18" s="17"/>
      <c r="VB18" s="18"/>
      <c r="VC18" s="17"/>
      <c r="VE18" s="19"/>
      <c r="VF18" s="15"/>
      <c r="VP18" s="16"/>
      <c r="VQ18" s="17"/>
      <c r="VS18" s="18"/>
      <c r="VT18" s="17"/>
      <c r="VV18" s="19"/>
      <c r="VW18" s="15"/>
      <c r="WG18" s="16"/>
      <c r="WH18" s="17"/>
      <c r="WJ18" s="18"/>
      <c r="WK18" s="17"/>
      <c r="WM18" s="19"/>
      <c r="WN18" s="15"/>
      <c r="WX18" s="16"/>
      <c r="WY18" s="17"/>
      <c r="XA18" s="18"/>
      <c r="XB18" s="17"/>
      <c r="XD18" s="19"/>
      <c r="XE18" s="15"/>
      <c r="XO18" s="16"/>
      <c r="XP18" s="17"/>
      <c r="XR18" s="18"/>
      <c r="XS18" s="17"/>
      <c r="XU18" s="19"/>
      <c r="XV18" s="15"/>
      <c r="YF18" s="16"/>
      <c r="YG18" s="17"/>
      <c r="YI18" s="18"/>
      <c r="YJ18" s="17"/>
      <c r="YL18" s="19"/>
      <c r="YM18" s="15"/>
      <c r="YW18" s="16"/>
      <c r="YX18" s="17"/>
      <c r="YZ18" s="18"/>
      <c r="ZA18" s="17"/>
      <c r="ZC18" s="19"/>
      <c r="ZD18" s="15"/>
      <c r="ZN18" s="16"/>
      <c r="ZO18" s="17"/>
      <c r="ZQ18" s="18"/>
      <c r="ZR18" s="17"/>
      <c r="ZT18" s="19"/>
      <c r="ZU18" s="15"/>
      <c r="AAE18" s="16"/>
      <c r="AAF18" s="17"/>
      <c r="AAH18" s="18"/>
      <c r="AAI18" s="17"/>
      <c r="AAK18" s="19"/>
      <c r="AAL18" s="15"/>
      <c r="AAV18" s="16"/>
      <c r="AAW18" s="17"/>
      <c r="AAY18" s="18"/>
      <c r="AAZ18" s="17"/>
      <c r="ABB18" s="19"/>
      <c r="ABC18" s="15"/>
      <c r="ABM18" s="16"/>
      <c r="ABN18" s="17"/>
      <c r="ABP18" s="18"/>
      <c r="ABQ18" s="17"/>
      <c r="ABS18" s="19"/>
      <c r="ABT18" s="15"/>
      <c r="ACD18" s="16"/>
      <c r="ACE18" s="17"/>
      <c r="ACG18" s="18"/>
      <c r="ACH18" s="17"/>
      <c r="ACJ18" s="19"/>
      <c r="ACK18" s="15"/>
      <c r="ACU18" s="16"/>
      <c r="ACV18" s="17"/>
      <c r="ACX18" s="18"/>
      <c r="ACY18" s="17"/>
      <c r="ADA18" s="19"/>
      <c r="ADB18" s="15"/>
      <c r="ADL18" s="16"/>
      <c r="ADM18" s="17"/>
      <c r="ADO18" s="18"/>
      <c r="ADP18" s="17"/>
      <c r="ADR18" s="19"/>
      <c r="ADS18" s="15"/>
      <c r="AEC18" s="16"/>
      <c r="AED18" s="17"/>
      <c r="AEF18" s="18"/>
      <c r="AEG18" s="17"/>
      <c r="AEI18" s="19"/>
      <c r="AEJ18" s="15"/>
      <c r="AET18" s="16"/>
      <c r="AEU18" s="17"/>
      <c r="AEW18" s="18"/>
      <c r="AEX18" s="17"/>
      <c r="AEZ18" s="19"/>
      <c r="AFA18" s="15"/>
      <c r="AFK18" s="16"/>
      <c r="AFL18" s="17"/>
      <c r="AFN18" s="18"/>
      <c r="AFO18" s="17"/>
      <c r="AFQ18" s="19"/>
      <c r="AFR18" s="15"/>
      <c r="AGB18" s="16"/>
      <c r="AGC18" s="17"/>
      <c r="AGE18" s="18"/>
      <c r="AGF18" s="17"/>
      <c r="AGH18" s="19"/>
      <c r="AGI18" s="15"/>
      <c r="AGS18" s="16"/>
      <c r="AGT18" s="17"/>
      <c r="AGV18" s="18"/>
      <c r="AGW18" s="17"/>
      <c r="AGY18" s="19"/>
      <c r="AGZ18" s="15"/>
      <c r="AHJ18" s="16"/>
      <c r="AHK18" s="17"/>
      <c r="AHM18" s="18"/>
      <c r="AHN18" s="17"/>
      <c r="AHP18" s="19"/>
      <c r="AHQ18" s="15"/>
      <c r="AIA18" s="16"/>
      <c r="AIB18" s="17"/>
      <c r="AID18" s="18"/>
      <c r="AIE18" s="17"/>
      <c r="AIG18" s="19"/>
      <c r="AIH18" s="15"/>
      <c r="AIR18" s="16"/>
      <c r="AIS18" s="17"/>
      <c r="AIU18" s="18"/>
      <c r="AIV18" s="17"/>
      <c r="AIX18" s="19"/>
      <c r="AIY18" s="15"/>
      <c r="AJI18" s="16"/>
      <c r="AJJ18" s="17"/>
      <c r="AJL18" s="18"/>
      <c r="AJM18" s="17"/>
      <c r="AJO18" s="19"/>
      <c r="AJP18" s="15"/>
      <c r="AJZ18" s="16"/>
      <c r="AKA18" s="17"/>
      <c r="AKC18" s="18"/>
      <c r="AKD18" s="17"/>
      <c r="AKF18" s="19"/>
      <c r="AKG18" s="15"/>
      <c r="AKQ18" s="16"/>
      <c r="AKR18" s="17"/>
      <c r="AKT18" s="18"/>
      <c r="AKU18" s="17"/>
      <c r="AKW18" s="19"/>
      <c r="AKX18" s="15"/>
      <c r="ALH18" s="16"/>
      <c r="ALI18" s="17"/>
      <c r="ALK18" s="18"/>
      <c r="ALL18" s="17"/>
      <c r="ALN18" s="19"/>
      <c r="ALO18" s="15"/>
      <c r="ALY18" s="16"/>
      <c r="ALZ18" s="17"/>
      <c r="AMB18" s="18"/>
      <c r="AMC18" s="17"/>
      <c r="AME18" s="19"/>
      <c r="AMF18" s="15"/>
      <c r="AMP18" s="16"/>
      <c r="AMQ18" s="17"/>
      <c r="AMS18" s="18"/>
      <c r="AMT18" s="17"/>
      <c r="AMV18" s="19"/>
      <c r="AMW18" s="15"/>
      <c r="ANG18" s="16"/>
      <c r="ANH18" s="17"/>
      <c r="ANJ18" s="18"/>
      <c r="ANK18" s="17"/>
      <c r="ANM18" s="19"/>
      <c r="ANN18" s="15"/>
      <c r="ANX18" s="16"/>
      <c r="ANY18" s="17"/>
      <c r="AOA18" s="18"/>
      <c r="AOB18" s="17"/>
      <c r="AOD18" s="19"/>
      <c r="AOE18" s="15"/>
      <c r="AOO18" s="16"/>
      <c r="AOP18" s="17"/>
      <c r="AOR18" s="18"/>
      <c r="AOS18" s="17"/>
      <c r="AOU18" s="19"/>
      <c r="AOV18" s="15"/>
      <c r="APF18" s="16"/>
      <c r="APG18" s="17"/>
      <c r="API18" s="18"/>
      <c r="APJ18" s="17"/>
      <c r="APL18" s="19"/>
      <c r="APM18" s="15"/>
      <c r="APW18" s="16"/>
      <c r="APX18" s="17"/>
      <c r="APZ18" s="18"/>
      <c r="AQA18" s="17"/>
      <c r="AQC18" s="19"/>
      <c r="AQD18" s="15"/>
      <c r="AQN18" s="16"/>
      <c r="AQO18" s="17"/>
      <c r="AQQ18" s="18"/>
      <c r="AQR18" s="17"/>
      <c r="AQT18" s="19"/>
      <c r="AQU18" s="15"/>
      <c r="ARE18" s="16"/>
      <c r="ARF18" s="17"/>
      <c r="ARH18" s="18"/>
      <c r="ARI18" s="17"/>
      <c r="ARK18" s="19"/>
      <c r="ARL18" s="15"/>
      <c r="ARV18" s="16"/>
      <c r="ARW18" s="17"/>
      <c r="ARY18" s="18"/>
      <c r="ARZ18" s="17"/>
      <c r="ASB18" s="19"/>
      <c r="ASC18" s="15"/>
      <c r="ASM18" s="16"/>
      <c r="ASN18" s="17"/>
      <c r="ASP18" s="18"/>
      <c r="ASQ18" s="17"/>
      <c r="ASS18" s="19"/>
      <c r="AST18" s="15"/>
      <c r="ATD18" s="16"/>
      <c r="ATE18" s="17"/>
      <c r="ATG18" s="18"/>
      <c r="ATH18" s="17"/>
      <c r="ATJ18" s="19"/>
      <c r="ATK18" s="15"/>
      <c r="ATU18" s="16"/>
      <c r="ATV18" s="17"/>
      <c r="ATX18" s="18"/>
      <c r="ATY18" s="17"/>
      <c r="AUA18" s="19"/>
      <c r="AUB18" s="15"/>
      <c r="AUL18" s="16"/>
      <c r="AUM18" s="17"/>
      <c r="AUO18" s="18"/>
      <c r="AUP18" s="17"/>
      <c r="AUR18" s="19"/>
      <c r="AUS18" s="15"/>
      <c r="AVC18" s="16"/>
      <c r="AVD18" s="17"/>
      <c r="AVF18" s="18"/>
      <c r="AVG18" s="17"/>
      <c r="AVI18" s="19"/>
      <c r="AVJ18" s="15"/>
      <c r="AVT18" s="16"/>
      <c r="AVU18" s="17"/>
      <c r="AVW18" s="18"/>
      <c r="AVX18" s="17"/>
      <c r="AVZ18" s="19"/>
      <c r="AWA18" s="15"/>
      <c r="AWK18" s="16"/>
      <c r="AWL18" s="17"/>
      <c r="AWN18" s="18"/>
      <c r="AWO18" s="17"/>
      <c r="AWQ18" s="19"/>
      <c r="AWR18" s="15"/>
      <c r="AXB18" s="16"/>
      <c r="AXC18" s="17"/>
      <c r="AXE18" s="18"/>
      <c r="AXF18" s="17"/>
      <c r="AXH18" s="19"/>
      <c r="AXI18" s="15"/>
      <c r="AXS18" s="16"/>
      <c r="AXT18" s="17"/>
      <c r="AXV18" s="18"/>
      <c r="AXW18" s="17"/>
      <c r="AXY18" s="19"/>
      <c r="AXZ18" s="15"/>
      <c r="AYJ18" s="16"/>
      <c r="AYK18" s="17"/>
      <c r="AYM18" s="18"/>
      <c r="AYN18" s="17"/>
      <c r="AYP18" s="19"/>
      <c r="AYQ18" s="15"/>
      <c r="AZA18" s="16"/>
      <c r="AZB18" s="17"/>
      <c r="AZD18" s="18"/>
      <c r="AZE18" s="17"/>
      <c r="AZG18" s="19"/>
      <c r="AZH18" s="15"/>
      <c r="AZR18" s="16"/>
      <c r="AZS18" s="17"/>
      <c r="AZU18" s="18"/>
      <c r="AZV18" s="17"/>
      <c r="AZX18" s="19"/>
      <c r="AZY18" s="15"/>
      <c r="BAI18" s="16"/>
      <c r="BAJ18" s="17"/>
      <c r="BAL18" s="18"/>
      <c r="BAM18" s="17"/>
      <c r="BAO18" s="19"/>
      <c r="BAP18" s="15"/>
      <c r="BAZ18" s="16"/>
      <c r="BBA18" s="17"/>
      <c r="BBC18" s="18"/>
      <c r="BBD18" s="17"/>
      <c r="BBF18" s="19"/>
      <c r="BBG18" s="15"/>
      <c r="BBQ18" s="16"/>
      <c r="BBR18" s="17"/>
      <c r="BBT18" s="18"/>
      <c r="BBU18" s="17"/>
      <c r="BBW18" s="19"/>
      <c r="BBX18" s="15"/>
      <c r="BCH18" s="16"/>
      <c r="BCI18" s="17"/>
      <c r="BCK18" s="18"/>
      <c r="BCL18" s="17"/>
      <c r="BCN18" s="19"/>
      <c r="BCO18" s="15"/>
      <c r="BCY18" s="16"/>
      <c r="BCZ18" s="17"/>
      <c r="BDB18" s="18"/>
      <c r="BDC18" s="17"/>
      <c r="BDE18" s="19"/>
      <c r="BDF18" s="15"/>
      <c r="BDP18" s="16"/>
      <c r="BDQ18" s="17"/>
      <c r="BDS18" s="18"/>
      <c r="BDT18" s="17"/>
      <c r="BDV18" s="19"/>
      <c r="BDW18" s="15"/>
      <c r="BEG18" s="16"/>
      <c r="BEH18" s="17"/>
      <c r="BEJ18" s="18"/>
      <c r="BEK18" s="17"/>
      <c r="BEM18" s="19"/>
      <c r="BEN18" s="15"/>
      <c r="BEX18" s="16"/>
      <c r="BEY18" s="17"/>
      <c r="BFA18" s="18"/>
      <c r="BFB18" s="17"/>
      <c r="BFD18" s="19"/>
      <c r="BFE18" s="15"/>
      <c r="BFO18" s="16"/>
      <c r="BFP18" s="17"/>
      <c r="BFR18" s="18"/>
      <c r="BFS18" s="17"/>
      <c r="BFU18" s="19"/>
      <c r="BFV18" s="15"/>
      <c r="BGF18" s="16"/>
      <c r="BGG18" s="17"/>
      <c r="BGI18" s="18"/>
      <c r="BGJ18" s="17"/>
      <c r="BGL18" s="19"/>
      <c r="BGM18" s="15"/>
      <c r="BGW18" s="16"/>
      <c r="BGX18" s="17"/>
      <c r="BGZ18" s="18"/>
      <c r="BHA18" s="17"/>
      <c r="BHC18" s="19"/>
      <c r="BHD18" s="15"/>
      <c r="BHN18" s="16"/>
      <c r="BHO18" s="17"/>
      <c r="BHQ18" s="18"/>
      <c r="BHR18" s="17"/>
      <c r="BHT18" s="19"/>
      <c r="BHU18" s="15"/>
      <c r="BIE18" s="16"/>
      <c r="BIF18" s="17"/>
      <c r="BIH18" s="18"/>
      <c r="BII18" s="17"/>
      <c r="BIK18" s="19"/>
      <c r="BIL18" s="15"/>
      <c r="BIV18" s="16"/>
      <c r="BIW18" s="17"/>
      <c r="BIY18" s="18"/>
      <c r="BIZ18" s="17"/>
      <c r="BJB18" s="19"/>
      <c r="BJC18" s="15"/>
      <c r="BJM18" s="16"/>
      <c r="BJN18" s="17"/>
      <c r="BJP18" s="18"/>
      <c r="BJQ18" s="17"/>
      <c r="BJS18" s="19"/>
      <c r="BJT18" s="15"/>
      <c r="BKD18" s="16"/>
      <c r="BKE18" s="17"/>
      <c r="BKG18" s="18"/>
      <c r="BKH18" s="17"/>
      <c r="BKJ18" s="19"/>
      <c r="BKK18" s="15"/>
      <c r="BKU18" s="16"/>
      <c r="BKV18" s="17"/>
      <c r="BKX18" s="18"/>
      <c r="BKY18" s="17"/>
      <c r="BLA18" s="19"/>
      <c r="BLB18" s="15"/>
      <c r="BLL18" s="16"/>
      <c r="BLM18" s="17"/>
      <c r="BLO18" s="18"/>
      <c r="BLP18" s="17"/>
      <c r="BLR18" s="19"/>
      <c r="BLS18" s="15"/>
      <c r="BMC18" s="16"/>
      <c r="BMD18" s="17"/>
      <c r="BMF18" s="18"/>
      <c r="BMG18" s="17"/>
      <c r="BMI18" s="19"/>
      <c r="BMJ18" s="15"/>
      <c r="BMT18" s="16"/>
      <c r="BMU18" s="17"/>
      <c r="BMW18" s="18"/>
      <c r="BMX18" s="17"/>
      <c r="BMZ18" s="19"/>
      <c r="BNA18" s="15"/>
      <c r="BNK18" s="16"/>
      <c r="BNL18" s="17"/>
      <c r="BNN18" s="18"/>
      <c r="BNO18" s="17"/>
      <c r="BNQ18" s="19"/>
      <c r="BNR18" s="15"/>
      <c r="BOB18" s="16"/>
      <c r="BOC18" s="17"/>
      <c r="BOE18" s="18"/>
      <c r="BOF18" s="17"/>
      <c r="BOH18" s="19"/>
      <c r="BOI18" s="15"/>
      <c r="BOS18" s="16"/>
      <c r="BOT18" s="17"/>
      <c r="BOV18" s="18"/>
      <c r="BOW18" s="17"/>
      <c r="BOY18" s="19"/>
      <c r="BOZ18" s="15"/>
      <c r="BPJ18" s="16"/>
      <c r="BPK18" s="17"/>
      <c r="BPM18" s="18"/>
      <c r="BPN18" s="17"/>
      <c r="BPP18" s="19"/>
      <c r="BPQ18" s="15"/>
      <c r="BQA18" s="16"/>
      <c r="BQB18" s="17"/>
      <c r="BQD18" s="18"/>
      <c r="BQE18" s="17"/>
      <c r="BQG18" s="19"/>
      <c r="BQH18" s="15"/>
      <c r="BQR18" s="16"/>
      <c r="BQS18" s="17"/>
      <c r="BQU18" s="18"/>
      <c r="BQV18" s="17"/>
      <c r="BQX18" s="19"/>
      <c r="BQY18" s="15"/>
      <c r="BRI18" s="16"/>
      <c r="BRJ18" s="17"/>
      <c r="BRL18" s="18"/>
      <c r="BRM18" s="17"/>
      <c r="BRO18" s="19"/>
      <c r="BRP18" s="15"/>
      <c r="BRZ18" s="16"/>
      <c r="BSA18" s="17"/>
      <c r="BSC18" s="18"/>
      <c r="BSD18" s="17"/>
      <c r="BSF18" s="19"/>
      <c r="BSG18" s="15"/>
      <c r="BSQ18" s="16"/>
      <c r="BSR18" s="17"/>
      <c r="BST18" s="18"/>
      <c r="BSU18" s="17"/>
      <c r="BSW18" s="19"/>
      <c r="BSX18" s="15"/>
      <c r="BTH18" s="16"/>
      <c r="BTI18" s="17"/>
      <c r="BTK18" s="18"/>
      <c r="BTL18" s="17"/>
      <c r="BTN18" s="19"/>
      <c r="BTO18" s="15"/>
      <c r="BTY18" s="16"/>
      <c r="BTZ18" s="17"/>
      <c r="BUB18" s="18"/>
      <c r="BUC18" s="17"/>
      <c r="BUE18" s="19"/>
      <c r="BUF18" s="15"/>
      <c r="BUP18" s="16"/>
      <c r="BUQ18" s="17"/>
      <c r="BUS18" s="18"/>
      <c r="BUT18" s="17"/>
      <c r="BUV18" s="19"/>
      <c r="BUW18" s="15"/>
      <c r="BVG18" s="16"/>
      <c r="BVH18" s="17"/>
      <c r="BVJ18" s="18"/>
      <c r="BVK18" s="17"/>
      <c r="BVM18" s="19"/>
      <c r="BVN18" s="15"/>
      <c r="BVX18" s="16"/>
      <c r="BVY18" s="17"/>
      <c r="BWA18" s="18"/>
      <c r="BWB18" s="17"/>
      <c r="BWD18" s="19"/>
      <c r="BWE18" s="15"/>
      <c r="BWO18" s="16"/>
      <c r="BWP18" s="17"/>
      <c r="BWR18" s="18"/>
      <c r="BWS18" s="17"/>
      <c r="BWU18" s="19"/>
      <c r="BWV18" s="15"/>
      <c r="BXF18" s="16"/>
      <c r="BXG18" s="17"/>
      <c r="BXI18" s="18"/>
      <c r="BXJ18" s="17"/>
      <c r="BXL18" s="19"/>
      <c r="BXM18" s="15"/>
      <c r="BXW18" s="16"/>
      <c r="BXX18" s="17"/>
      <c r="BXZ18" s="18"/>
      <c r="BYA18" s="17"/>
      <c r="BYC18" s="19"/>
      <c r="BYD18" s="15"/>
      <c r="BYN18" s="16"/>
      <c r="BYO18" s="17"/>
      <c r="BYQ18" s="18"/>
      <c r="BYR18" s="17"/>
      <c r="BYT18" s="19"/>
      <c r="BYU18" s="15"/>
      <c r="BZE18" s="16"/>
      <c r="BZF18" s="17"/>
      <c r="BZH18" s="18"/>
      <c r="BZI18" s="17"/>
      <c r="BZK18" s="19"/>
      <c r="BZL18" s="15"/>
      <c r="BZV18" s="16"/>
      <c r="BZW18" s="17"/>
      <c r="BZY18" s="18"/>
      <c r="BZZ18" s="17"/>
      <c r="CAB18" s="19"/>
      <c r="CAC18" s="15"/>
      <c r="CAM18" s="16"/>
      <c r="CAN18" s="17"/>
      <c r="CAP18" s="18"/>
      <c r="CAQ18" s="17"/>
      <c r="CAS18" s="19"/>
      <c r="CAT18" s="15"/>
      <c r="CBD18" s="16"/>
      <c r="CBE18" s="17"/>
      <c r="CBG18" s="18"/>
      <c r="CBH18" s="17"/>
      <c r="CBJ18" s="19"/>
      <c r="CBK18" s="15"/>
      <c r="CBU18" s="16"/>
      <c r="CBV18" s="17"/>
      <c r="CBX18" s="18"/>
      <c r="CBY18" s="17"/>
      <c r="CCA18" s="19"/>
      <c r="CCB18" s="15"/>
      <c r="CCL18" s="16"/>
      <c r="CCM18" s="17"/>
      <c r="CCO18" s="18"/>
      <c r="CCP18" s="17"/>
      <c r="CCR18" s="19"/>
      <c r="CCS18" s="15"/>
      <c r="CDC18" s="16"/>
      <c r="CDD18" s="17"/>
      <c r="CDF18" s="18"/>
      <c r="CDG18" s="17"/>
      <c r="CDI18" s="19"/>
      <c r="CDJ18" s="15"/>
      <c r="CDT18" s="16"/>
      <c r="CDU18" s="17"/>
      <c r="CDW18" s="18"/>
      <c r="CDX18" s="17"/>
      <c r="CDZ18" s="19"/>
      <c r="CEA18" s="15"/>
      <c r="CEK18" s="16"/>
      <c r="CEL18" s="17"/>
      <c r="CEN18" s="18"/>
      <c r="CEO18" s="17"/>
      <c r="CEQ18" s="19"/>
      <c r="CER18" s="15"/>
      <c r="CFB18" s="16"/>
      <c r="CFC18" s="17"/>
      <c r="CFE18" s="18"/>
      <c r="CFF18" s="17"/>
      <c r="CFH18" s="19"/>
      <c r="CFI18" s="15"/>
      <c r="CFS18" s="16"/>
      <c r="CFT18" s="17"/>
      <c r="CFV18" s="18"/>
      <c r="CFW18" s="17"/>
      <c r="CFY18" s="19"/>
      <c r="CFZ18" s="15"/>
      <c r="CGJ18" s="16"/>
      <c r="CGK18" s="17"/>
      <c r="CGM18" s="18"/>
      <c r="CGN18" s="17"/>
      <c r="CGP18" s="19"/>
      <c r="CGQ18" s="15"/>
      <c r="CHA18" s="16"/>
      <c r="CHB18" s="17"/>
      <c r="CHD18" s="18"/>
      <c r="CHE18" s="17"/>
      <c r="CHG18" s="19"/>
      <c r="CHH18" s="15"/>
      <c r="CHR18" s="16"/>
      <c r="CHS18" s="17"/>
      <c r="CHU18" s="18"/>
      <c r="CHV18" s="17"/>
      <c r="CHX18" s="19"/>
      <c r="CHY18" s="15"/>
      <c r="CII18" s="16"/>
      <c r="CIJ18" s="17"/>
      <c r="CIL18" s="18"/>
      <c r="CIM18" s="17"/>
      <c r="CIO18" s="19"/>
      <c r="CIP18" s="15"/>
      <c r="CIZ18" s="16"/>
      <c r="CJA18" s="17"/>
      <c r="CJC18" s="18"/>
      <c r="CJD18" s="17"/>
      <c r="CJF18" s="19"/>
      <c r="CJG18" s="15"/>
      <c r="CJQ18" s="16"/>
      <c r="CJR18" s="17"/>
      <c r="CJT18" s="18"/>
      <c r="CJU18" s="17"/>
      <c r="CJW18" s="19"/>
      <c r="CJX18" s="15"/>
      <c r="CKH18" s="16"/>
      <c r="CKI18" s="17"/>
      <c r="CKK18" s="18"/>
      <c r="CKL18" s="17"/>
      <c r="CKN18" s="19"/>
      <c r="CKO18" s="15"/>
      <c r="CKY18" s="16"/>
      <c r="CKZ18" s="17"/>
      <c r="CLB18" s="18"/>
      <c r="CLC18" s="17"/>
      <c r="CLE18" s="19"/>
      <c r="CLF18" s="15"/>
      <c r="CLP18" s="16"/>
      <c r="CLQ18" s="17"/>
      <c r="CLS18" s="18"/>
      <c r="CLT18" s="17"/>
      <c r="CLV18" s="19"/>
      <c r="CLW18" s="15"/>
      <c r="CMG18" s="16"/>
      <c r="CMH18" s="17"/>
      <c r="CMJ18" s="18"/>
      <c r="CMK18" s="17"/>
      <c r="CMM18" s="19"/>
      <c r="CMN18" s="15"/>
      <c r="CMX18" s="16"/>
      <c r="CMY18" s="17"/>
      <c r="CNA18" s="18"/>
      <c r="CNB18" s="17"/>
      <c r="CND18" s="19"/>
      <c r="CNE18" s="15"/>
      <c r="CNO18" s="16"/>
      <c r="CNP18" s="17"/>
      <c r="CNR18" s="18"/>
      <c r="CNS18" s="17"/>
      <c r="CNU18" s="19"/>
      <c r="CNV18" s="15"/>
      <c r="COF18" s="16"/>
      <c r="COG18" s="17"/>
      <c r="COI18" s="18"/>
      <c r="COJ18" s="17"/>
      <c r="COL18" s="19"/>
      <c r="COM18" s="15"/>
      <c r="COW18" s="16"/>
      <c r="COX18" s="17"/>
      <c r="COZ18" s="18"/>
      <c r="CPA18" s="17"/>
      <c r="CPC18" s="19"/>
      <c r="CPD18" s="15"/>
      <c r="CPN18" s="16"/>
      <c r="CPO18" s="17"/>
      <c r="CPQ18" s="18"/>
      <c r="CPR18" s="17"/>
      <c r="CPT18" s="19"/>
      <c r="CPU18" s="15"/>
      <c r="CQE18" s="16"/>
      <c r="CQF18" s="17"/>
      <c r="CQH18" s="18"/>
      <c r="CQI18" s="17"/>
      <c r="CQK18" s="19"/>
      <c r="CQL18" s="15"/>
      <c r="CQV18" s="16"/>
      <c r="CQW18" s="17"/>
      <c r="CQY18" s="18"/>
      <c r="CQZ18" s="17"/>
      <c r="CRB18" s="19"/>
      <c r="CRC18" s="15"/>
      <c r="CRM18" s="16"/>
      <c r="CRN18" s="17"/>
      <c r="CRP18" s="18"/>
      <c r="CRQ18" s="17"/>
      <c r="CRS18" s="19"/>
      <c r="CRT18" s="15"/>
      <c r="CSD18" s="16"/>
      <c r="CSE18" s="17"/>
      <c r="CSG18" s="18"/>
      <c r="CSH18" s="17"/>
      <c r="CSJ18" s="19"/>
      <c r="CSK18" s="15"/>
      <c r="CSU18" s="16"/>
      <c r="CSV18" s="17"/>
      <c r="CSX18" s="18"/>
      <c r="CSY18" s="17"/>
      <c r="CTA18" s="19"/>
      <c r="CTB18" s="15"/>
      <c r="CTL18" s="16"/>
      <c r="CTM18" s="17"/>
      <c r="CTO18" s="18"/>
      <c r="CTP18" s="17"/>
      <c r="CTR18" s="19"/>
      <c r="CTS18" s="15"/>
      <c r="CUC18" s="16"/>
      <c r="CUD18" s="17"/>
      <c r="CUF18" s="18"/>
      <c r="CUG18" s="17"/>
      <c r="CUI18" s="19"/>
      <c r="CUJ18" s="15"/>
      <c r="CUT18" s="16"/>
      <c r="CUU18" s="17"/>
      <c r="CUW18" s="18"/>
      <c r="CUX18" s="17"/>
      <c r="CUZ18" s="19"/>
      <c r="CVA18" s="15"/>
      <c r="CVK18" s="16"/>
      <c r="CVL18" s="17"/>
      <c r="CVN18" s="18"/>
      <c r="CVO18" s="17"/>
      <c r="CVQ18" s="19"/>
      <c r="CVR18" s="15"/>
      <c r="CWB18" s="16"/>
      <c r="CWC18" s="17"/>
      <c r="CWE18" s="18"/>
      <c r="CWF18" s="17"/>
      <c r="CWH18" s="19"/>
      <c r="CWI18" s="15"/>
      <c r="CWS18" s="16"/>
      <c r="CWT18" s="17"/>
      <c r="CWV18" s="18"/>
      <c r="CWW18" s="17"/>
      <c r="CWY18" s="19"/>
      <c r="CWZ18" s="15"/>
      <c r="CXJ18" s="16"/>
      <c r="CXK18" s="17"/>
      <c r="CXM18" s="18"/>
      <c r="CXN18" s="17"/>
      <c r="CXP18" s="19"/>
      <c r="CXQ18" s="15"/>
      <c r="CYA18" s="16"/>
      <c r="CYB18" s="17"/>
      <c r="CYD18" s="18"/>
      <c r="CYE18" s="17"/>
      <c r="CYG18" s="19"/>
      <c r="CYH18" s="15"/>
      <c r="CYR18" s="16"/>
      <c r="CYS18" s="17"/>
      <c r="CYU18" s="18"/>
      <c r="CYV18" s="17"/>
      <c r="CYX18" s="19"/>
      <c r="CYY18" s="15"/>
      <c r="CZI18" s="16"/>
      <c r="CZJ18" s="17"/>
      <c r="CZL18" s="18"/>
      <c r="CZM18" s="17"/>
      <c r="CZO18" s="19"/>
      <c r="CZP18" s="15"/>
      <c r="CZZ18" s="16"/>
      <c r="DAA18" s="17"/>
      <c r="DAC18" s="18"/>
      <c r="DAD18" s="17"/>
      <c r="DAF18" s="19"/>
      <c r="DAG18" s="15"/>
      <c r="DAQ18" s="16"/>
      <c r="DAR18" s="17"/>
      <c r="DAT18" s="18"/>
      <c r="DAU18" s="17"/>
      <c r="DAW18" s="19"/>
      <c r="DAX18" s="15"/>
      <c r="DBH18" s="16"/>
      <c r="DBI18" s="17"/>
      <c r="DBK18" s="18"/>
      <c r="DBL18" s="17"/>
      <c r="DBN18" s="19"/>
      <c r="DBO18" s="15"/>
      <c r="DBY18" s="16"/>
      <c r="DBZ18" s="17"/>
      <c r="DCB18" s="18"/>
      <c r="DCC18" s="17"/>
      <c r="DCE18" s="19"/>
      <c r="DCF18" s="15"/>
      <c r="DCP18" s="16"/>
      <c r="DCQ18" s="17"/>
      <c r="DCS18" s="18"/>
      <c r="DCT18" s="17"/>
      <c r="DCV18" s="19"/>
      <c r="DCW18" s="15"/>
      <c r="DDG18" s="16"/>
      <c r="DDH18" s="17"/>
      <c r="DDJ18" s="18"/>
      <c r="DDK18" s="17"/>
      <c r="DDM18" s="19"/>
      <c r="DDN18" s="15"/>
      <c r="DDX18" s="16"/>
      <c r="DDY18" s="17"/>
      <c r="DEA18" s="18"/>
      <c r="DEB18" s="17"/>
      <c r="DED18" s="19"/>
      <c r="DEE18" s="15"/>
      <c r="DEO18" s="16"/>
      <c r="DEP18" s="17"/>
      <c r="DER18" s="18"/>
      <c r="DES18" s="17"/>
      <c r="DEU18" s="19"/>
      <c r="DEV18" s="15"/>
      <c r="DFF18" s="16"/>
      <c r="DFG18" s="17"/>
      <c r="DFI18" s="18"/>
      <c r="DFJ18" s="17"/>
      <c r="DFL18" s="19"/>
      <c r="DFM18" s="15"/>
      <c r="DFW18" s="16"/>
      <c r="DFX18" s="17"/>
      <c r="DFZ18" s="18"/>
      <c r="DGA18" s="17"/>
      <c r="DGC18" s="19"/>
      <c r="DGD18" s="15"/>
      <c r="DGN18" s="16"/>
      <c r="DGO18" s="17"/>
      <c r="DGQ18" s="18"/>
      <c r="DGR18" s="17"/>
      <c r="DGT18" s="19"/>
      <c r="DGU18" s="15"/>
      <c r="DHE18" s="16"/>
      <c r="DHF18" s="17"/>
      <c r="DHH18" s="18"/>
      <c r="DHI18" s="17"/>
      <c r="DHK18" s="19"/>
      <c r="DHL18" s="15"/>
      <c r="DHV18" s="16"/>
      <c r="DHW18" s="17"/>
      <c r="DHY18" s="18"/>
      <c r="DHZ18" s="17"/>
      <c r="DIB18" s="19"/>
      <c r="DIC18" s="15"/>
      <c r="DIM18" s="16"/>
      <c r="DIN18" s="17"/>
      <c r="DIP18" s="18"/>
      <c r="DIQ18" s="17"/>
      <c r="DIS18" s="19"/>
      <c r="DIT18" s="15"/>
      <c r="DJD18" s="16"/>
      <c r="DJE18" s="17"/>
      <c r="DJG18" s="18"/>
      <c r="DJH18" s="17"/>
      <c r="DJJ18" s="19"/>
      <c r="DJK18" s="15"/>
      <c r="DJU18" s="16"/>
      <c r="DJV18" s="17"/>
      <c r="DJX18" s="18"/>
      <c r="DJY18" s="17"/>
      <c r="DKA18" s="19"/>
      <c r="DKB18" s="15"/>
      <c r="DKL18" s="16"/>
      <c r="DKM18" s="17"/>
      <c r="DKO18" s="18"/>
      <c r="DKP18" s="17"/>
      <c r="DKR18" s="19"/>
      <c r="DKS18" s="15"/>
      <c r="DLC18" s="16"/>
      <c r="DLD18" s="17"/>
      <c r="DLF18" s="18"/>
      <c r="DLG18" s="17"/>
      <c r="DLI18" s="19"/>
      <c r="DLJ18" s="15"/>
      <c r="DLT18" s="16"/>
      <c r="DLU18" s="17"/>
      <c r="DLW18" s="18"/>
      <c r="DLX18" s="17"/>
      <c r="DLZ18" s="19"/>
      <c r="DMA18" s="15"/>
      <c r="DMK18" s="16"/>
      <c r="DML18" s="17"/>
      <c r="DMN18" s="18"/>
      <c r="DMO18" s="17"/>
      <c r="DMQ18" s="19"/>
      <c r="DMR18" s="15"/>
      <c r="DNB18" s="16"/>
      <c r="DNC18" s="17"/>
      <c r="DNE18" s="18"/>
      <c r="DNF18" s="17"/>
      <c r="DNH18" s="19"/>
      <c r="DNI18" s="15"/>
      <c r="DNS18" s="16"/>
      <c r="DNT18" s="17"/>
      <c r="DNV18" s="18"/>
      <c r="DNW18" s="17"/>
      <c r="DNY18" s="19"/>
      <c r="DNZ18" s="15"/>
      <c r="DOJ18" s="16"/>
      <c r="DOK18" s="17"/>
      <c r="DOM18" s="18"/>
      <c r="DON18" s="17"/>
      <c r="DOP18" s="19"/>
      <c r="DOQ18" s="15"/>
      <c r="DPA18" s="16"/>
      <c r="DPB18" s="17"/>
      <c r="DPD18" s="18"/>
      <c r="DPE18" s="17"/>
      <c r="DPG18" s="19"/>
      <c r="DPH18" s="15"/>
      <c r="DPR18" s="16"/>
      <c r="DPS18" s="17"/>
      <c r="DPU18" s="18"/>
      <c r="DPV18" s="17"/>
      <c r="DPX18" s="19"/>
      <c r="DPY18" s="15"/>
      <c r="DQI18" s="16"/>
      <c r="DQJ18" s="17"/>
      <c r="DQL18" s="18"/>
      <c r="DQM18" s="17"/>
      <c r="DQO18" s="19"/>
      <c r="DQP18" s="15"/>
      <c r="DQZ18" s="16"/>
      <c r="DRA18" s="17"/>
      <c r="DRC18" s="18"/>
      <c r="DRD18" s="17"/>
      <c r="DRF18" s="19"/>
      <c r="DRG18" s="15"/>
      <c r="DRQ18" s="16"/>
      <c r="DRR18" s="17"/>
      <c r="DRT18" s="18"/>
      <c r="DRU18" s="17"/>
      <c r="DRW18" s="19"/>
      <c r="DRX18" s="15"/>
      <c r="DSH18" s="16"/>
      <c r="DSI18" s="17"/>
      <c r="DSK18" s="18"/>
      <c r="DSL18" s="17"/>
      <c r="DSN18" s="19"/>
      <c r="DSO18" s="15"/>
      <c r="DSY18" s="16"/>
      <c r="DSZ18" s="17"/>
      <c r="DTB18" s="18"/>
      <c r="DTC18" s="17"/>
      <c r="DTE18" s="19"/>
      <c r="DTF18" s="15"/>
      <c r="DTP18" s="16"/>
      <c r="DTQ18" s="17"/>
      <c r="DTS18" s="18"/>
      <c r="DTT18" s="17"/>
      <c r="DTV18" s="19"/>
      <c r="DTW18" s="15"/>
      <c r="DUG18" s="16"/>
      <c r="DUH18" s="17"/>
      <c r="DUJ18" s="18"/>
      <c r="DUK18" s="17"/>
      <c r="DUM18" s="19"/>
      <c r="DUN18" s="15"/>
      <c r="DUX18" s="16"/>
      <c r="DUY18" s="17"/>
      <c r="DVA18" s="18"/>
      <c r="DVB18" s="17"/>
      <c r="DVD18" s="19"/>
      <c r="DVE18" s="15"/>
      <c r="DVO18" s="16"/>
      <c r="DVP18" s="17"/>
      <c r="DVR18" s="18"/>
      <c r="DVS18" s="17"/>
      <c r="DVU18" s="19"/>
      <c r="DVV18" s="15"/>
      <c r="DWF18" s="16"/>
      <c r="DWG18" s="17"/>
      <c r="DWI18" s="18"/>
      <c r="DWJ18" s="17"/>
      <c r="DWL18" s="19"/>
      <c r="DWM18" s="15"/>
      <c r="DWW18" s="16"/>
      <c r="DWX18" s="17"/>
      <c r="DWZ18" s="18"/>
      <c r="DXA18" s="17"/>
      <c r="DXC18" s="19"/>
      <c r="DXD18" s="15"/>
      <c r="DXN18" s="16"/>
      <c r="DXO18" s="17"/>
      <c r="DXQ18" s="18"/>
      <c r="DXR18" s="17"/>
      <c r="DXT18" s="19"/>
      <c r="DXU18" s="15"/>
      <c r="DYE18" s="16"/>
      <c r="DYF18" s="17"/>
      <c r="DYH18" s="18"/>
      <c r="DYI18" s="17"/>
      <c r="DYK18" s="19"/>
      <c r="DYL18" s="15"/>
      <c r="DYV18" s="16"/>
      <c r="DYW18" s="17"/>
      <c r="DYY18" s="18"/>
      <c r="DYZ18" s="17"/>
      <c r="DZB18" s="19"/>
      <c r="DZC18" s="15"/>
      <c r="DZM18" s="16"/>
      <c r="DZN18" s="17"/>
      <c r="DZP18" s="18"/>
      <c r="DZQ18" s="17"/>
      <c r="DZS18" s="19"/>
      <c r="DZT18" s="15"/>
      <c r="EAD18" s="16"/>
      <c r="EAE18" s="17"/>
      <c r="EAG18" s="18"/>
      <c r="EAH18" s="17"/>
      <c r="EAJ18" s="19"/>
      <c r="EAK18" s="15"/>
      <c r="EAU18" s="16"/>
      <c r="EAV18" s="17"/>
      <c r="EAX18" s="18"/>
      <c r="EAY18" s="17"/>
      <c r="EBA18" s="19"/>
      <c r="EBB18" s="15"/>
      <c r="EBL18" s="16"/>
      <c r="EBM18" s="17"/>
      <c r="EBO18" s="18"/>
      <c r="EBP18" s="17"/>
      <c r="EBR18" s="19"/>
      <c r="EBS18" s="15"/>
      <c r="ECC18" s="16"/>
      <c r="ECD18" s="17"/>
      <c r="ECF18" s="18"/>
      <c r="ECG18" s="17"/>
      <c r="ECI18" s="19"/>
      <c r="ECJ18" s="15"/>
      <c r="ECT18" s="16"/>
      <c r="ECU18" s="17"/>
      <c r="ECW18" s="18"/>
      <c r="ECX18" s="17"/>
      <c r="ECZ18" s="19"/>
      <c r="EDA18" s="15"/>
      <c r="EDK18" s="16"/>
      <c r="EDL18" s="17"/>
      <c r="EDN18" s="18"/>
      <c r="EDO18" s="17"/>
      <c r="EDQ18" s="19"/>
      <c r="EDR18" s="15"/>
      <c r="EEB18" s="16"/>
      <c r="EEC18" s="17"/>
      <c r="EEE18" s="18"/>
      <c r="EEF18" s="17"/>
      <c r="EEH18" s="19"/>
      <c r="EEI18" s="15"/>
      <c r="EES18" s="16"/>
      <c r="EET18" s="17"/>
      <c r="EEV18" s="18"/>
      <c r="EEW18" s="17"/>
      <c r="EEY18" s="19"/>
      <c r="EEZ18" s="15"/>
      <c r="EFJ18" s="16"/>
      <c r="EFK18" s="17"/>
      <c r="EFM18" s="18"/>
      <c r="EFN18" s="17"/>
      <c r="EFP18" s="19"/>
      <c r="EFQ18" s="15"/>
      <c r="EGA18" s="16"/>
      <c r="EGB18" s="17"/>
      <c r="EGD18" s="18"/>
      <c r="EGE18" s="17"/>
      <c r="EGG18" s="19"/>
      <c r="EGH18" s="15"/>
      <c r="EGR18" s="16"/>
      <c r="EGS18" s="17"/>
      <c r="EGU18" s="18"/>
      <c r="EGV18" s="17"/>
      <c r="EGX18" s="19"/>
      <c r="EGY18" s="15"/>
      <c r="EHI18" s="16"/>
      <c r="EHJ18" s="17"/>
      <c r="EHL18" s="18"/>
      <c r="EHM18" s="17"/>
      <c r="EHO18" s="19"/>
      <c r="EHP18" s="15"/>
      <c r="EHZ18" s="16"/>
      <c r="EIA18" s="17"/>
      <c r="EIC18" s="18"/>
      <c r="EID18" s="17"/>
      <c r="EIF18" s="19"/>
      <c r="EIG18" s="15"/>
      <c r="EIQ18" s="16"/>
      <c r="EIR18" s="17"/>
      <c r="EIT18" s="18"/>
      <c r="EIU18" s="17"/>
      <c r="EIW18" s="19"/>
      <c r="EIX18" s="15"/>
      <c r="EJH18" s="16"/>
      <c r="EJI18" s="17"/>
      <c r="EJK18" s="18"/>
      <c r="EJL18" s="17"/>
      <c r="EJN18" s="19"/>
      <c r="EJO18" s="15"/>
      <c r="EJY18" s="16"/>
      <c r="EJZ18" s="17"/>
      <c r="EKB18" s="18"/>
      <c r="EKC18" s="17"/>
      <c r="EKE18" s="19"/>
      <c r="EKF18" s="15"/>
      <c r="EKP18" s="16"/>
      <c r="EKQ18" s="17"/>
      <c r="EKS18" s="18"/>
      <c r="EKT18" s="17"/>
      <c r="EKV18" s="19"/>
      <c r="EKW18" s="15"/>
      <c r="ELG18" s="16"/>
      <c r="ELH18" s="17"/>
      <c r="ELJ18" s="18"/>
      <c r="ELK18" s="17"/>
      <c r="ELM18" s="19"/>
      <c r="ELN18" s="15"/>
      <c r="ELX18" s="16"/>
      <c r="ELY18" s="17"/>
      <c r="EMA18" s="18"/>
      <c r="EMB18" s="17"/>
      <c r="EMD18" s="19"/>
      <c r="EME18" s="15"/>
      <c r="EMO18" s="16"/>
      <c r="EMP18" s="17"/>
      <c r="EMR18" s="18"/>
      <c r="EMS18" s="17"/>
      <c r="EMU18" s="19"/>
      <c r="EMV18" s="15"/>
      <c r="ENF18" s="16"/>
      <c r="ENG18" s="17"/>
      <c r="ENI18" s="18"/>
      <c r="ENJ18" s="17"/>
      <c r="ENL18" s="19"/>
      <c r="ENM18" s="15"/>
      <c r="ENW18" s="16"/>
      <c r="ENX18" s="17"/>
      <c r="ENZ18" s="18"/>
      <c r="EOA18" s="17"/>
      <c r="EOC18" s="19"/>
      <c r="EOD18" s="15"/>
      <c r="EON18" s="16"/>
      <c r="EOO18" s="17"/>
      <c r="EOQ18" s="18"/>
      <c r="EOR18" s="17"/>
      <c r="EOT18" s="19"/>
      <c r="EOU18" s="15"/>
      <c r="EPE18" s="16"/>
      <c r="EPF18" s="17"/>
      <c r="EPH18" s="18"/>
      <c r="EPI18" s="17"/>
      <c r="EPK18" s="19"/>
      <c r="EPL18" s="15"/>
      <c r="EPV18" s="16"/>
      <c r="EPW18" s="17"/>
      <c r="EPY18" s="18"/>
      <c r="EPZ18" s="17"/>
      <c r="EQB18" s="19"/>
      <c r="EQC18" s="15"/>
      <c r="EQM18" s="16"/>
      <c r="EQN18" s="17"/>
      <c r="EQP18" s="18"/>
      <c r="EQQ18" s="17"/>
      <c r="EQS18" s="19"/>
      <c r="EQT18" s="15"/>
      <c r="ERD18" s="16"/>
      <c r="ERE18" s="17"/>
      <c r="ERG18" s="18"/>
      <c r="ERH18" s="17"/>
      <c r="ERJ18" s="19"/>
      <c r="ERK18" s="15"/>
      <c r="ERU18" s="16"/>
      <c r="ERV18" s="17"/>
      <c r="ERX18" s="18"/>
      <c r="ERY18" s="17"/>
      <c r="ESA18" s="19"/>
      <c r="ESB18" s="15"/>
      <c r="ESL18" s="16"/>
      <c r="ESM18" s="17"/>
      <c r="ESO18" s="18"/>
      <c r="ESP18" s="17"/>
      <c r="ESR18" s="19"/>
      <c r="ESS18" s="15"/>
      <c r="ETC18" s="16"/>
      <c r="ETD18" s="17"/>
      <c r="ETF18" s="18"/>
      <c r="ETG18" s="17"/>
      <c r="ETI18" s="19"/>
      <c r="ETJ18" s="15"/>
      <c r="ETT18" s="16"/>
      <c r="ETU18" s="17"/>
      <c r="ETW18" s="18"/>
      <c r="ETX18" s="17"/>
      <c r="ETZ18" s="19"/>
      <c r="EUA18" s="15"/>
      <c r="EUK18" s="16"/>
      <c r="EUL18" s="17"/>
      <c r="EUN18" s="18"/>
      <c r="EUO18" s="17"/>
      <c r="EUQ18" s="19"/>
      <c r="EUR18" s="15"/>
      <c r="EVB18" s="16"/>
      <c r="EVC18" s="17"/>
      <c r="EVE18" s="18"/>
      <c r="EVF18" s="17"/>
      <c r="EVH18" s="19"/>
      <c r="EVI18" s="15"/>
      <c r="EVS18" s="16"/>
      <c r="EVT18" s="17"/>
      <c r="EVV18" s="18"/>
      <c r="EVW18" s="17"/>
      <c r="EVY18" s="19"/>
      <c r="EVZ18" s="15"/>
      <c r="EWJ18" s="16"/>
      <c r="EWK18" s="17"/>
      <c r="EWM18" s="18"/>
      <c r="EWN18" s="17"/>
      <c r="EWP18" s="19"/>
      <c r="EWQ18" s="15"/>
      <c r="EXA18" s="16"/>
      <c r="EXB18" s="17"/>
      <c r="EXD18" s="18"/>
      <c r="EXE18" s="17"/>
      <c r="EXG18" s="19"/>
      <c r="EXH18" s="15"/>
      <c r="EXR18" s="16"/>
      <c r="EXS18" s="17"/>
      <c r="EXU18" s="18"/>
      <c r="EXV18" s="17"/>
      <c r="EXX18" s="19"/>
      <c r="EXY18" s="15"/>
      <c r="EYI18" s="16"/>
      <c r="EYJ18" s="17"/>
      <c r="EYL18" s="18"/>
      <c r="EYM18" s="17"/>
      <c r="EYO18" s="19"/>
      <c r="EYP18" s="15"/>
      <c r="EYZ18" s="16"/>
      <c r="EZA18" s="17"/>
      <c r="EZC18" s="18"/>
      <c r="EZD18" s="17"/>
      <c r="EZF18" s="19"/>
      <c r="EZG18" s="15"/>
      <c r="EZQ18" s="16"/>
      <c r="EZR18" s="17"/>
      <c r="EZT18" s="18"/>
      <c r="EZU18" s="17"/>
      <c r="EZW18" s="19"/>
      <c r="EZX18" s="15"/>
      <c r="FAH18" s="16"/>
      <c r="FAI18" s="17"/>
      <c r="FAK18" s="18"/>
      <c r="FAL18" s="17"/>
      <c r="FAN18" s="19"/>
      <c r="FAO18" s="15"/>
      <c r="FAY18" s="16"/>
      <c r="FAZ18" s="17"/>
      <c r="FBB18" s="18"/>
      <c r="FBC18" s="17"/>
      <c r="FBE18" s="19"/>
      <c r="FBF18" s="15"/>
      <c r="FBP18" s="16"/>
      <c r="FBQ18" s="17"/>
      <c r="FBS18" s="18"/>
      <c r="FBT18" s="17"/>
      <c r="FBV18" s="19"/>
      <c r="FBW18" s="15"/>
      <c r="FCG18" s="16"/>
      <c r="FCH18" s="17"/>
      <c r="FCJ18" s="18"/>
      <c r="FCK18" s="17"/>
      <c r="FCM18" s="19"/>
      <c r="FCN18" s="15"/>
      <c r="FCX18" s="16"/>
      <c r="FCY18" s="17"/>
      <c r="FDA18" s="18"/>
      <c r="FDB18" s="17"/>
      <c r="FDD18" s="19"/>
      <c r="FDE18" s="15"/>
      <c r="FDO18" s="16"/>
      <c r="FDP18" s="17"/>
      <c r="FDR18" s="18"/>
      <c r="FDS18" s="17"/>
      <c r="FDU18" s="19"/>
      <c r="FDV18" s="15"/>
      <c r="FEF18" s="16"/>
      <c r="FEG18" s="17"/>
      <c r="FEI18" s="18"/>
      <c r="FEJ18" s="17"/>
      <c r="FEL18" s="19"/>
      <c r="FEM18" s="15"/>
      <c r="FEW18" s="16"/>
      <c r="FEX18" s="17"/>
      <c r="FEZ18" s="18"/>
      <c r="FFA18" s="17"/>
      <c r="FFC18" s="19"/>
      <c r="FFD18" s="15"/>
      <c r="FFN18" s="16"/>
      <c r="FFO18" s="17"/>
      <c r="FFQ18" s="18"/>
      <c r="FFR18" s="17"/>
      <c r="FFT18" s="19"/>
      <c r="FFU18" s="15"/>
      <c r="FGE18" s="16"/>
      <c r="FGF18" s="17"/>
      <c r="FGH18" s="18"/>
      <c r="FGI18" s="17"/>
      <c r="FGK18" s="19"/>
      <c r="FGL18" s="15"/>
      <c r="FGV18" s="16"/>
      <c r="FGW18" s="17"/>
      <c r="FGY18" s="18"/>
      <c r="FGZ18" s="17"/>
      <c r="FHB18" s="19"/>
      <c r="FHC18" s="15"/>
      <c r="FHM18" s="16"/>
      <c r="FHN18" s="17"/>
      <c r="FHP18" s="18"/>
      <c r="FHQ18" s="17"/>
      <c r="FHS18" s="19"/>
      <c r="FHT18" s="15"/>
      <c r="FID18" s="16"/>
      <c r="FIE18" s="17"/>
      <c r="FIG18" s="18"/>
      <c r="FIH18" s="17"/>
      <c r="FIJ18" s="19"/>
      <c r="FIK18" s="15"/>
      <c r="FIU18" s="16"/>
      <c r="FIV18" s="17"/>
      <c r="FIX18" s="18"/>
      <c r="FIY18" s="17"/>
      <c r="FJA18" s="19"/>
      <c r="FJB18" s="15"/>
      <c r="FJL18" s="16"/>
      <c r="FJM18" s="17"/>
      <c r="FJO18" s="18"/>
      <c r="FJP18" s="17"/>
      <c r="FJR18" s="19"/>
      <c r="FJS18" s="15"/>
      <c r="FKC18" s="16"/>
      <c r="FKD18" s="17"/>
      <c r="FKF18" s="18"/>
      <c r="FKG18" s="17"/>
      <c r="FKI18" s="19"/>
      <c r="FKJ18" s="15"/>
      <c r="FKT18" s="16"/>
      <c r="FKU18" s="17"/>
      <c r="FKW18" s="18"/>
      <c r="FKX18" s="17"/>
      <c r="FKZ18" s="19"/>
      <c r="FLA18" s="15"/>
      <c r="FLK18" s="16"/>
      <c r="FLL18" s="17"/>
      <c r="FLN18" s="18"/>
      <c r="FLO18" s="17"/>
      <c r="FLQ18" s="19"/>
      <c r="FLR18" s="15"/>
      <c r="FMB18" s="16"/>
      <c r="FMC18" s="17"/>
      <c r="FME18" s="18"/>
      <c r="FMF18" s="17"/>
      <c r="FMH18" s="19"/>
      <c r="FMI18" s="15"/>
      <c r="FMS18" s="16"/>
      <c r="FMT18" s="17"/>
      <c r="FMV18" s="18"/>
      <c r="FMW18" s="17"/>
      <c r="FMY18" s="19"/>
      <c r="FMZ18" s="15"/>
      <c r="FNJ18" s="16"/>
      <c r="FNK18" s="17"/>
      <c r="FNM18" s="18"/>
      <c r="FNN18" s="17"/>
      <c r="FNP18" s="19"/>
      <c r="FNQ18" s="15"/>
      <c r="FOA18" s="16"/>
      <c r="FOB18" s="17"/>
      <c r="FOD18" s="18"/>
      <c r="FOE18" s="17"/>
      <c r="FOG18" s="19"/>
      <c r="FOH18" s="15"/>
      <c r="FOR18" s="16"/>
      <c r="FOS18" s="17"/>
      <c r="FOU18" s="18"/>
      <c r="FOV18" s="17"/>
      <c r="FOX18" s="19"/>
      <c r="FOY18" s="15"/>
      <c r="FPI18" s="16"/>
      <c r="FPJ18" s="17"/>
      <c r="FPL18" s="18"/>
      <c r="FPM18" s="17"/>
      <c r="FPO18" s="19"/>
      <c r="FPP18" s="15"/>
      <c r="FPZ18" s="16"/>
      <c r="FQA18" s="17"/>
      <c r="FQC18" s="18"/>
      <c r="FQD18" s="17"/>
      <c r="FQF18" s="19"/>
      <c r="FQG18" s="15"/>
      <c r="FQQ18" s="16"/>
      <c r="FQR18" s="17"/>
      <c r="FQT18" s="18"/>
      <c r="FQU18" s="17"/>
      <c r="FQW18" s="19"/>
      <c r="FQX18" s="15"/>
      <c r="FRH18" s="16"/>
      <c r="FRI18" s="17"/>
      <c r="FRK18" s="18"/>
      <c r="FRL18" s="17"/>
      <c r="FRN18" s="19"/>
      <c r="FRO18" s="15"/>
      <c r="FRY18" s="16"/>
      <c r="FRZ18" s="17"/>
      <c r="FSB18" s="18"/>
      <c r="FSC18" s="17"/>
      <c r="FSE18" s="19"/>
      <c r="FSF18" s="15"/>
      <c r="FSP18" s="16"/>
      <c r="FSQ18" s="17"/>
      <c r="FSS18" s="18"/>
      <c r="FST18" s="17"/>
      <c r="FSV18" s="19"/>
      <c r="FSW18" s="15"/>
      <c r="FTG18" s="16"/>
      <c r="FTH18" s="17"/>
      <c r="FTJ18" s="18"/>
      <c r="FTK18" s="17"/>
      <c r="FTM18" s="19"/>
      <c r="FTN18" s="15"/>
      <c r="FTX18" s="16"/>
      <c r="FTY18" s="17"/>
      <c r="FUA18" s="18"/>
      <c r="FUB18" s="17"/>
      <c r="FUD18" s="19"/>
      <c r="FUE18" s="15"/>
      <c r="FUO18" s="16"/>
      <c r="FUP18" s="17"/>
      <c r="FUR18" s="18"/>
      <c r="FUS18" s="17"/>
      <c r="FUU18" s="19"/>
      <c r="FUV18" s="15"/>
      <c r="FVF18" s="16"/>
      <c r="FVG18" s="17"/>
      <c r="FVI18" s="18"/>
      <c r="FVJ18" s="17"/>
      <c r="FVL18" s="19"/>
      <c r="FVM18" s="15"/>
      <c r="FVW18" s="16"/>
      <c r="FVX18" s="17"/>
      <c r="FVZ18" s="18"/>
      <c r="FWA18" s="17"/>
      <c r="FWC18" s="19"/>
      <c r="FWD18" s="15"/>
      <c r="FWN18" s="16"/>
      <c r="FWO18" s="17"/>
      <c r="FWQ18" s="18"/>
      <c r="FWR18" s="17"/>
      <c r="FWT18" s="19"/>
      <c r="FWU18" s="15"/>
      <c r="FXE18" s="16"/>
      <c r="FXF18" s="17"/>
      <c r="FXH18" s="18"/>
      <c r="FXI18" s="17"/>
      <c r="FXK18" s="19"/>
      <c r="FXL18" s="15"/>
      <c r="FXV18" s="16"/>
      <c r="FXW18" s="17"/>
      <c r="FXY18" s="18"/>
      <c r="FXZ18" s="17"/>
      <c r="FYB18" s="19"/>
      <c r="FYC18" s="15"/>
      <c r="FYM18" s="16"/>
      <c r="FYN18" s="17"/>
      <c r="FYP18" s="18"/>
      <c r="FYQ18" s="17"/>
      <c r="FYS18" s="19"/>
      <c r="FYT18" s="15"/>
      <c r="FZD18" s="16"/>
      <c r="FZE18" s="17"/>
      <c r="FZG18" s="18"/>
      <c r="FZH18" s="17"/>
      <c r="FZJ18" s="19"/>
      <c r="FZK18" s="15"/>
      <c r="FZU18" s="16"/>
      <c r="FZV18" s="17"/>
      <c r="FZX18" s="18"/>
      <c r="FZY18" s="17"/>
      <c r="GAA18" s="19"/>
      <c r="GAB18" s="15"/>
      <c r="GAL18" s="16"/>
      <c r="GAM18" s="17"/>
      <c r="GAO18" s="18"/>
      <c r="GAP18" s="17"/>
      <c r="GAR18" s="19"/>
      <c r="GAS18" s="15"/>
      <c r="GBC18" s="16"/>
      <c r="GBD18" s="17"/>
      <c r="GBF18" s="18"/>
      <c r="GBG18" s="17"/>
      <c r="GBI18" s="19"/>
      <c r="GBJ18" s="15"/>
      <c r="GBT18" s="16"/>
      <c r="GBU18" s="17"/>
      <c r="GBW18" s="18"/>
      <c r="GBX18" s="17"/>
      <c r="GBZ18" s="19"/>
      <c r="GCA18" s="15"/>
      <c r="GCK18" s="16"/>
      <c r="GCL18" s="17"/>
      <c r="GCN18" s="18"/>
      <c r="GCO18" s="17"/>
      <c r="GCQ18" s="19"/>
      <c r="GCR18" s="15"/>
      <c r="GDB18" s="16"/>
      <c r="GDC18" s="17"/>
      <c r="GDE18" s="18"/>
      <c r="GDF18" s="17"/>
      <c r="GDH18" s="19"/>
      <c r="GDI18" s="15"/>
      <c r="GDS18" s="16"/>
      <c r="GDT18" s="17"/>
      <c r="GDV18" s="18"/>
      <c r="GDW18" s="17"/>
      <c r="GDY18" s="19"/>
      <c r="GDZ18" s="15"/>
      <c r="GEJ18" s="16"/>
      <c r="GEK18" s="17"/>
      <c r="GEM18" s="18"/>
      <c r="GEN18" s="17"/>
      <c r="GEP18" s="19"/>
      <c r="GEQ18" s="15"/>
      <c r="GFA18" s="16"/>
      <c r="GFB18" s="17"/>
      <c r="GFD18" s="18"/>
      <c r="GFE18" s="17"/>
      <c r="GFG18" s="19"/>
      <c r="GFH18" s="15"/>
      <c r="GFR18" s="16"/>
      <c r="GFS18" s="17"/>
      <c r="GFU18" s="18"/>
      <c r="GFV18" s="17"/>
      <c r="GFX18" s="19"/>
      <c r="GFY18" s="15"/>
      <c r="GGI18" s="16"/>
      <c r="GGJ18" s="17"/>
      <c r="GGL18" s="18"/>
      <c r="GGM18" s="17"/>
      <c r="GGO18" s="19"/>
      <c r="GGP18" s="15"/>
      <c r="GGZ18" s="16"/>
      <c r="GHA18" s="17"/>
      <c r="GHC18" s="18"/>
      <c r="GHD18" s="17"/>
      <c r="GHF18" s="19"/>
      <c r="GHG18" s="15"/>
      <c r="GHQ18" s="16"/>
      <c r="GHR18" s="17"/>
      <c r="GHT18" s="18"/>
      <c r="GHU18" s="17"/>
      <c r="GHW18" s="19"/>
      <c r="GHX18" s="15"/>
      <c r="GIH18" s="16"/>
      <c r="GII18" s="17"/>
      <c r="GIK18" s="18"/>
      <c r="GIL18" s="17"/>
      <c r="GIN18" s="19"/>
      <c r="GIO18" s="15"/>
      <c r="GIY18" s="16"/>
      <c r="GIZ18" s="17"/>
      <c r="GJB18" s="18"/>
      <c r="GJC18" s="17"/>
      <c r="GJE18" s="19"/>
      <c r="GJF18" s="15"/>
      <c r="GJP18" s="16"/>
      <c r="GJQ18" s="17"/>
      <c r="GJS18" s="18"/>
      <c r="GJT18" s="17"/>
      <c r="GJV18" s="19"/>
      <c r="GJW18" s="15"/>
      <c r="GKG18" s="16"/>
      <c r="GKH18" s="17"/>
      <c r="GKJ18" s="18"/>
      <c r="GKK18" s="17"/>
      <c r="GKM18" s="19"/>
      <c r="GKN18" s="15"/>
      <c r="GKX18" s="16"/>
      <c r="GKY18" s="17"/>
      <c r="GLA18" s="18"/>
      <c r="GLB18" s="17"/>
      <c r="GLD18" s="19"/>
      <c r="GLE18" s="15"/>
      <c r="GLO18" s="16"/>
      <c r="GLP18" s="17"/>
      <c r="GLR18" s="18"/>
      <c r="GLS18" s="17"/>
      <c r="GLU18" s="19"/>
      <c r="GLV18" s="15"/>
      <c r="GMF18" s="16"/>
      <c r="GMG18" s="17"/>
      <c r="GMI18" s="18"/>
      <c r="GMJ18" s="17"/>
      <c r="GML18" s="19"/>
      <c r="GMM18" s="15"/>
      <c r="GMW18" s="16"/>
      <c r="GMX18" s="17"/>
      <c r="GMZ18" s="18"/>
      <c r="GNA18" s="17"/>
      <c r="GNC18" s="19"/>
      <c r="GND18" s="15"/>
      <c r="GNN18" s="16"/>
      <c r="GNO18" s="17"/>
      <c r="GNQ18" s="18"/>
      <c r="GNR18" s="17"/>
      <c r="GNT18" s="19"/>
      <c r="GNU18" s="15"/>
      <c r="GOE18" s="16"/>
      <c r="GOF18" s="17"/>
      <c r="GOH18" s="18"/>
      <c r="GOI18" s="17"/>
      <c r="GOK18" s="19"/>
      <c r="GOL18" s="15"/>
      <c r="GOV18" s="16"/>
      <c r="GOW18" s="17"/>
      <c r="GOY18" s="18"/>
      <c r="GOZ18" s="17"/>
      <c r="GPB18" s="19"/>
      <c r="GPC18" s="15"/>
      <c r="GPM18" s="16"/>
      <c r="GPN18" s="17"/>
      <c r="GPP18" s="18"/>
      <c r="GPQ18" s="17"/>
      <c r="GPS18" s="19"/>
      <c r="GPT18" s="15"/>
      <c r="GQD18" s="16"/>
      <c r="GQE18" s="17"/>
      <c r="GQG18" s="18"/>
      <c r="GQH18" s="17"/>
      <c r="GQJ18" s="19"/>
      <c r="GQK18" s="15"/>
      <c r="GQU18" s="16"/>
      <c r="GQV18" s="17"/>
      <c r="GQX18" s="18"/>
      <c r="GQY18" s="17"/>
      <c r="GRA18" s="19"/>
      <c r="GRB18" s="15"/>
      <c r="GRL18" s="16"/>
      <c r="GRM18" s="17"/>
      <c r="GRO18" s="18"/>
      <c r="GRP18" s="17"/>
      <c r="GRR18" s="19"/>
      <c r="GRS18" s="15"/>
      <c r="GSC18" s="16"/>
      <c r="GSD18" s="17"/>
      <c r="GSF18" s="18"/>
      <c r="GSG18" s="17"/>
      <c r="GSI18" s="19"/>
      <c r="GSJ18" s="15"/>
      <c r="GST18" s="16"/>
      <c r="GSU18" s="17"/>
      <c r="GSW18" s="18"/>
      <c r="GSX18" s="17"/>
      <c r="GSZ18" s="19"/>
      <c r="GTA18" s="15"/>
      <c r="GTK18" s="16"/>
      <c r="GTL18" s="17"/>
      <c r="GTN18" s="18"/>
      <c r="GTO18" s="17"/>
      <c r="GTQ18" s="19"/>
      <c r="GTR18" s="15"/>
      <c r="GUB18" s="16"/>
      <c r="GUC18" s="17"/>
      <c r="GUE18" s="18"/>
      <c r="GUF18" s="17"/>
      <c r="GUH18" s="19"/>
      <c r="GUI18" s="15"/>
      <c r="GUS18" s="16"/>
      <c r="GUT18" s="17"/>
      <c r="GUV18" s="18"/>
      <c r="GUW18" s="17"/>
      <c r="GUY18" s="19"/>
      <c r="GUZ18" s="15"/>
      <c r="GVJ18" s="16"/>
      <c r="GVK18" s="17"/>
      <c r="GVM18" s="18"/>
      <c r="GVN18" s="17"/>
      <c r="GVP18" s="19"/>
      <c r="GVQ18" s="15"/>
      <c r="GWA18" s="16"/>
      <c r="GWB18" s="17"/>
      <c r="GWD18" s="18"/>
      <c r="GWE18" s="17"/>
      <c r="GWG18" s="19"/>
      <c r="GWH18" s="15"/>
      <c r="GWR18" s="16"/>
      <c r="GWS18" s="17"/>
      <c r="GWU18" s="18"/>
      <c r="GWV18" s="17"/>
      <c r="GWX18" s="19"/>
      <c r="GWY18" s="15"/>
      <c r="GXI18" s="16"/>
      <c r="GXJ18" s="17"/>
      <c r="GXL18" s="18"/>
      <c r="GXM18" s="17"/>
      <c r="GXO18" s="19"/>
      <c r="GXP18" s="15"/>
      <c r="GXZ18" s="16"/>
      <c r="GYA18" s="17"/>
      <c r="GYC18" s="18"/>
      <c r="GYD18" s="17"/>
      <c r="GYF18" s="19"/>
      <c r="GYG18" s="15"/>
      <c r="GYQ18" s="16"/>
      <c r="GYR18" s="17"/>
      <c r="GYT18" s="18"/>
      <c r="GYU18" s="17"/>
      <c r="GYW18" s="19"/>
      <c r="GYX18" s="15"/>
      <c r="GZH18" s="16"/>
      <c r="GZI18" s="17"/>
      <c r="GZK18" s="18"/>
      <c r="GZL18" s="17"/>
      <c r="GZN18" s="19"/>
      <c r="GZO18" s="15"/>
      <c r="GZY18" s="16"/>
      <c r="GZZ18" s="17"/>
      <c r="HAB18" s="18"/>
      <c r="HAC18" s="17"/>
      <c r="HAE18" s="19"/>
      <c r="HAF18" s="15"/>
      <c r="HAP18" s="16"/>
      <c r="HAQ18" s="17"/>
      <c r="HAS18" s="18"/>
      <c r="HAT18" s="17"/>
      <c r="HAV18" s="19"/>
      <c r="HAW18" s="15"/>
      <c r="HBG18" s="16"/>
      <c r="HBH18" s="17"/>
      <c r="HBJ18" s="18"/>
      <c r="HBK18" s="17"/>
      <c r="HBM18" s="19"/>
      <c r="HBN18" s="15"/>
      <c r="HBX18" s="16"/>
      <c r="HBY18" s="17"/>
      <c r="HCA18" s="18"/>
      <c r="HCB18" s="17"/>
      <c r="HCD18" s="19"/>
      <c r="HCE18" s="15"/>
      <c r="HCO18" s="16"/>
      <c r="HCP18" s="17"/>
      <c r="HCR18" s="18"/>
      <c r="HCS18" s="17"/>
      <c r="HCU18" s="19"/>
      <c r="HCV18" s="15"/>
      <c r="HDF18" s="16"/>
      <c r="HDG18" s="17"/>
      <c r="HDI18" s="18"/>
      <c r="HDJ18" s="17"/>
      <c r="HDL18" s="19"/>
      <c r="HDM18" s="15"/>
      <c r="HDW18" s="16"/>
      <c r="HDX18" s="17"/>
      <c r="HDZ18" s="18"/>
      <c r="HEA18" s="17"/>
      <c r="HEC18" s="19"/>
      <c r="HED18" s="15"/>
      <c r="HEN18" s="16"/>
      <c r="HEO18" s="17"/>
      <c r="HEQ18" s="18"/>
      <c r="HER18" s="17"/>
      <c r="HET18" s="19"/>
      <c r="HEU18" s="15"/>
      <c r="HFE18" s="16"/>
      <c r="HFF18" s="17"/>
      <c r="HFH18" s="18"/>
      <c r="HFI18" s="17"/>
      <c r="HFK18" s="19"/>
      <c r="HFL18" s="15"/>
      <c r="HFV18" s="16"/>
      <c r="HFW18" s="17"/>
      <c r="HFY18" s="18"/>
      <c r="HFZ18" s="17"/>
      <c r="HGB18" s="19"/>
      <c r="HGC18" s="15"/>
      <c r="HGM18" s="16"/>
      <c r="HGN18" s="17"/>
      <c r="HGP18" s="18"/>
      <c r="HGQ18" s="17"/>
      <c r="HGS18" s="19"/>
      <c r="HGT18" s="15"/>
      <c r="HHD18" s="16"/>
      <c r="HHE18" s="17"/>
      <c r="HHG18" s="18"/>
      <c r="HHH18" s="17"/>
      <c r="HHJ18" s="19"/>
      <c r="HHK18" s="15"/>
      <c r="HHU18" s="16"/>
      <c r="HHV18" s="17"/>
      <c r="HHX18" s="18"/>
      <c r="HHY18" s="17"/>
      <c r="HIA18" s="19"/>
      <c r="HIB18" s="15"/>
      <c r="HIL18" s="16"/>
      <c r="HIM18" s="17"/>
      <c r="HIO18" s="18"/>
      <c r="HIP18" s="17"/>
      <c r="HIR18" s="19"/>
      <c r="HIS18" s="15"/>
      <c r="HJC18" s="16"/>
      <c r="HJD18" s="17"/>
      <c r="HJF18" s="18"/>
      <c r="HJG18" s="17"/>
      <c r="HJI18" s="19"/>
      <c r="HJJ18" s="15"/>
      <c r="HJT18" s="16"/>
      <c r="HJU18" s="17"/>
      <c r="HJW18" s="18"/>
      <c r="HJX18" s="17"/>
      <c r="HJZ18" s="19"/>
      <c r="HKA18" s="15"/>
      <c r="HKK18" s="16"/>
      <c r="HKL18" s="17"/>
      <c r="HKN18" s="18"/>
      <c r="HKO18" s="17"/>
      <c r="HKQ18" s="19"/>
      <c r="HKR18" s="15"/>
      <c r="HLB18" s="16"/>
      <c r="HLC18" s="17"/>
      <c r="HLE18" s="18"/>
      <c r="HLF18" s="17"/>
      <c r="HLH18" s="19"/>
      <c r="HLI18" s="15"/>
      <c r="HLS18" s="16"/>
      <c r="HLT18" s="17"/>
      <c r="HLV18" s="18"/>
      <c r="HLW18" s="17"/>
      <c r="HLY18" s="19"/>
      <c r="HLZ18" s="15"/>
      <c r="HMJ18" s="16"/>
      <c r="HMK18" s="17"/>
      <c r="HMM18" s="18"/>
      <c r="HMN18" s="17"/>
      <c r="HMP18" s="19"/>
      <c r="HMQ18" s="15"/>
      <c r="HNA18" s="16"/>
      <c r="HNB18" s="17"/>
      <c r="HND18" s="18"/>
      <c r="HNE18" s="17"/>
      <c r="HNG18" s="19"/>
      <c r="HNH18" s="15"/>
      <c r="HNR18" s="16"/>
      <c r="HNS18" s="17"/>
      <c r="HNU18" s="18"/>
      <c r="HNV18" s="17"/>
      <c r="HNX18" s="19"/>
      <c r="HNY18" s="15"/>
      <c r="HOI18" s="16"/>
      <c r="HOJ18" s="17"/>
      <c r="HOL18" s="18"/>
      <c r="HOM18" s="17"/>
      <c r="HOO18" s="19"/>
      <c r="HOP18" s="15"/>
      <c r="HOZ18" s="16"/>
      <c r="HPA18" s="17"/>
      <c r="HPC18" s="18"/>
      <c r="HPD18" s="17"/>
      <c r="HPF18" s="19"/>
      <c r="HPG18" s="15"/>
      <c r="HPQ18" s="16"/>
      <c r="HPR18" s="17"/>
      <c r="HPT18" s="18"/>
      <c r="HPU18" s="17"/>
      <c r="HPW18" s="19"/>
      <c r="HPX18" s="15"/>
      <c r="HQH18" s="16"/>
      <c r="HQI18" s="17"/>
      <c r="HQK18" s="18"/>
      <c r="HQL18" s="17"/>
      <c r="HQN18" s="19"/>
      <c r="HQO18" s="15"/>
      <c r="HQY18" s="16"/>
      <c r="HQZ18" s="17"/>
      <c r="HRB18" s="18"/>
      <c r="HRC18" s="17"/>
      <c r="HRE18" s="19"/>
      <c r="HRF18" s="15"/>
      <c r="HRP18" s="16"/>
      <c r="HRQ18" s="17"/>
      <c r="HRS18" s="18"/>
      <c r="HRT18" s="17"/>
      <c r="HRV18" s="19"/>
      <c r="HRW18" s="15"/>
      <c r="HSG18" s="16"/>
      <c r="HSH18" s="17"/>
      <c r="HSJ18" s="18"/>
      <c r="HSK18" s="17"/>
      <c r="HSM18" s="19"/>
      <c r="HSN18" s="15"/>
      <c r="HSX18" s="16"/>
      <c r="HSY18" s="17"/>
      <c r="HTA18" s="18"/>
      <c r="HTB18" s="17"/>
      <c r="HTD18" s="19"/>
      <c r="HTE18" s="15"/>
      <c r="HTO18" s="16"/>
      <c r="HTP18" s="17"/>
      <c r="HTR18" s="18"/>
      <c r="HTS18" s="17"/>
      <c r="HTU18" s="19"/>
      <c r="HTV18" s="15"/>
      <c r="HUF18" s="16"/>
      <c r="HUG18" s="17"/>
      <c r="HUI18" s="18"/>
      <c r="HUJ18" s="17"/>
      <c r="HUL18" s="19"/>
      <c r="HUM18" s="15"/>
      <c r="HUW18" s="16"/>
      <c r="HUX18" s="17"/>
      <c r="HUZ18" s="18"/>
      <c r="HVA18" s="17"/>
      <c r="HVC18" s="19"/>
      <c r="HVD18" s="15"/>
      <c r="HVN18" s="16"/>
      <c r="HVO18" s="17"/>
      <c r="HVQ18" s="18"/>
      <c r="HVR18" s="17"/>
      <c r="HVT18" s="19"/>
      <c r="HVU18" s="15"/>
      <c r="HWE18" s="16"/>
      <c r="HWF18" s="17"/>
      <c r="HWH18" s="18"/>
      <c r="HWI18" s="17"/>
      <c r="HWK18" s="19"/>
      <c r="HWL18" s="15"/>
      <c r="HWV18" s="16"/>
      <c r="HWW18" s="17"/>
      <c r="HWY18" s="18"/>
      <c r="HWZ18" s="17"/>
      <c r="HXB18" s="19"/>
      <c r="HXC18" s="15"/>
      <c r="HXM18" s="16"/>
      <c r="HXN18" s="17"/>
      <c r="HXP18" s="18"/>
      <c r="HXQ18" s="17"/>
      <c r="HXS18" s="19"/>
      <c r="HXT18" s="15"/>
      <c r="HYD18" s="16"/>
      <c r="HYE18" s="17"/>
      <c r="HYG18" s="18"/>
      <c r="HYH18" s="17"/>
      <c r="HYJ18" s="19"/>
      <c r="HYK18" s="15"/>
      <c r="HYU18" s="16"/>
      <c r="HYV18" s="17"/>
      <c r="HYX18" s="18"/>
      <c r="HYY18" s="17"/>
      <c r="HZA18" s="19"/>
      <c r="HZB18" s="15"/>
      <c r="HZL18" s="16"/>
      <c r="HZM18" s="17"/>
      <c r="HZO18" s="18"/>
      <c r="HZP18" s="17"/>
      <c r="HZR18" s="19"/>
      <c r="HZS18" s="15"/>
      <c r="IAC18" s="16"/>
      <c r="IAD18" s="17"/>
      <c r="IAF18" s="18"/>
      <c r="IAG18" s="17"/>
      <c r="IAI18" s="19"/>
      <c r="IAJ18" s="15"/>
      <c r="IAT18" s="16"/>
      <c r="IAU18" s="17"/>
      <c r="IAW18" s="18"/>
      <c r="IAX18" s="17"/>
      <c r="IAZ18" s="19"/>
      <c r="IBA18" s="15"/>
      <c r="IBK18" s="16"/>
      <c r="IBL18" s="17"/>
      <c r="IBN18" s="18"/>
      <c r="IBO18" s="17"/>
      <c r="IBQ18" s="19"/>
      <c r="IBR18" s="15"/>
      <c r="ICB18" s="16"/>
      <c r="ICC18" s="17"/>
      <c r="ICE18" s="18"/>
      <c r="ICF18" s="17"/>
      <c r="ICH18" s="19"/>
      <c r="ICI18" s="15"/>
      <c r="ICS18" s="16"/>
      <c r="ICT18" s="17"/>
      <c r="ICV18" s="18"/>
      <c r="ICW18" s="17"/>
      <c r="ICY18" s="19"/>
      <c r="ICZ18" s="15"/>
      <c r="IDJ18" s="16"/>
      <c r="IDK18" s="17"/>
      <c r="IDM18" s="18"/>
      <c r="IDN18" s="17"/>
      <c r="IDP18" s="19"/>
      <c r="IDQ18" s="15"/>
      <c r="IEA18" s="16"/>
      <c r="IEB18" s="17"/>
      <c r="IED18" s="18"/>
      <c r="IEE18" s="17"/>
      <c r="IEG18" s="19"/>
      <c r="IEH18" s="15"/>
      <c r="IER18" s="16"/>
      <c r="IES18" s="17"/>
      <c r="IEU18" s="18"/>
      <c r="IEV18" s="17"/>
      <c r="IEX18" s="19"/>
      <c r="IEY18" s="15"/>
      <c r="IFI18" s="16"/>
      <c r="IFJ18" s="17"/>
      <c r="IFL18" s="18"/>
      <c r="IFM18" s="17"/>
      <c r="IFO18" s="19"/>
      <c r="IFP18" s="15"/>
      <c r="IFZ18" s="16"/>
      <c r="IGA18" s="17"/>
      <c r="IGC18" s="18"/>
      <c r="IGD18" s="17"/>
      <c r="IGF18" s="19"/>
      <c r="IGG18" s="15"/>
      <c r="IGQ18" s="16"/>
      <c r="IGR18" s="17"/>
      <c r="IGT18" s="18"/>
      <c r="IGU18" s="17"/>
      <c r="IGW18" s="19"/>
      <c r="IGX18" s="15"/>
      <c r="IHH18" s="16"/>
      <c r="IHI18" s="17"/>
      <c r="IHK18" s="18"/>
      <c r="IHL18" s="17"/>
      <c r="IHN18" s="19"/>
      <c r="IHO18" s="15"/>
      <c r="IHY18" s="16"/>
      <c r="IHZ18" s="17"/>
      <c r="IIB18" s="18"/>
      <c r="IIC18" s="17"/>
      <c r="IIE18" s="19"/>
      <c r="IIF18" s="15"/>
      <c r="IIP18" s="16"/>
      <c r="IIQ18" s="17"/>
      <c r="IIS18" s="18"/>
      <c r="IIT18" s="17"/>
      <c r="IIV18" s="19"/>
      <c r="IIW18" s="15"/>
      <c r="IJG18" s="16"/>
      <c r="IJH18" s="17"/>
      <c r="IJJ18" s="18"/>
      <c r="IJK18" s="17"/>
      <c r="IJM18" s="19"/>
      <c r="IJN18" s="15"/>
      <c r="IJX18" s="16"/>
      <c r="IJY18" s="17"/>
      <c r="IKA18" s="18"/>
      <c r="IKB18" s="17"/>
      <c r="IKD18" s="19"/>
      <c r="IKE18" s="15"/>
      <c r="IKO18" s="16"/>
      <c r="IKP18" s="17"/>
      <c r="IKR18" s="18"/>
      <c r="IKS18" s="17"/>
      <c r="IKU18" s="19"/>
      <c r="IKV18" s="15"/>
      <c r="ILF18" s="16"/>
      <c r="ILG18" s="17"/>
      <c r="ILI18" s="18"/>
      <c r="ILJ18" s="17"/>
      <c r="ILL18" s="19"/>
      <c r="ILM18" s="15"/>
      <c r="ILW18" s="16"/>
      <c r="ILX18" s="17"/>
      <c r="ILZ18" s="18"/>
      <c r="IMA18" s="17"/>
      <c r="IMC18" s="19"/>
      <c r="IMD18" s="15"/>
      <c r="IMN18" s="16"/>
      <c r="IMO18" s="17"/>
      <c r="IMQ18" s="18"/>
      <c r="IMR18" s="17"/>
      <c r="IMT18" s="19"/>
      <c r="IMU18" s="15"/>
      <c r="INE18" s="16"/>
      <c r="INF18" s="17"/>
      <c r="INH18" s="18"/>
      <c r="INI18" s="17"/>
      <c r="INK18" s="19"/>
      <c r="INL18" s="15"/>
      <c r="INV18" s="16"/>
      <c r="INW18" s="17"/>
      <c r="INY18" s="18"/>
      <c r="INZ18" s="17"/>
      <c r="IOB18" s="19"/>
      <c r="IOC18" s="15"/>
      <c r="IOM18" s="16"/>
      <c r="ION18" s="17"/>
      <c r="IOP18" s="18"/>
      <c r="IOQ18" s="17"/>
      <c r="IOS18" s="19"/>
      <c r="IOT18" s="15"/>
      <c r="IPD18" s="16"/>
      <c r="IPE18" s="17"/>
      <c r="IPG18" s="18"/>
      <c r="IPH18" s="17"/>
      <c r="IPJ18" s="19"/>
      <c r="IPK18" s="15"/>
      <c r="IPU18" s="16"/>
      <c r="IPV18" s="17"/>
      <c r="IPX18" s="18"/>
      <c r="IPY18" s="17"/>
      <c r="IQA18" s="19"/>
      <c r="IQB18" s="15"/>
      <c r="IQL18" s="16"/>
      <c r="IQM18" s="17"/>
      <c r="IQO18" s="18"/>
      <c r="IQP18" s="17"/>
      <c r="IQR18" s="19"/>
      <c r="IQS18" s="15"/>
      <c r="IRC18" s="16"/>
      <c r="IRD18" s="17"/>
      <c r="IRF18" s="18"/>
      <c r="IRG18" s="17"/>
      <c r="IRI18" s="19"/>
      <c r="IRJ18" s="15"/>
      <c r="IRT18" s="16"/>
      <c r="IRU18" s="17"/>
      <c r="IRW18" s="18"/>
      <c r="IRX18" s="17"/>
      <c r="IRZ18" s="19"/>
      <c r="ISA18" s="15"/>
      <c r="ISK18" s="16"/>
      <c r="ISL18" s="17"/>
      <c r="ISN18" s="18"/>
      <c r="ISO18" s="17"/>
      <c r="ISQ18" s="19"/>
      <c r="ISR18" s="15"/>
      <c r="ITB18" s="16"/>
      <c r="ITC18" s="17"/>
      <c r="ITE18" s="18"/>
      <c r="ITF18" s="17"/>
      <c r="ITH18" s="19"/>
      <c r="ITI18" s="15"/>
      <c r="ITS18" s="16"/>
      <c r="ITT18" s="17"/>
      <c r="ITV18" s="18"/>
      <c r="ITW18" s="17"/>
      <c r="ITY18" s="19"/>
      <c r="ITZ18" s="15"/>
      <c r="IUJ18" s="16"/>
      <c r="IUK18" s="17"/>
      <c r="IUM18" s="18"/>
      <c r="IUN18" s="17"/>
      <c r="IUP18" s="19"/>
      <c r="IUQ18" s="15"/>
      <c r="IVA18" s="16"/>
      <c r="IVB18" s="17"/>
      <c r="IVD18" s="18"/>
      <c r="IVE18" s="17"/>
      <c r="IVG18" s="19"/>
      <c r="IVH18" s="15"/>
      <c r="IVR18" s="16"/>
      <c r="IVS18" s="17"/>
      <c r="IVU18" s="18"/>
      <c r="IVV18" s="17"/>
      <c r="IVX18" s="19"/>
      <c r="IVY18" s="15"/>
      <c r="IWI18" s="16"/>
      <c r="IWJ18" s="17"/>
      <c r="IWL18" s="18"/>
      <c r="IWM18" s="17"/>
      <c r="IWO18" s="19"/>
      <c r="IWP18" s="15"/>
      <c r="IWZ18" s="16"/>
      <c r="IXA18" s="17"/>
      <c r="IXC18" s="18"/>
      <c r="IXD18" s="17"/>
      <c r="IXF18" s="19"/>
      <c r="IXG18" s="15"/>
      <c r="IXQ18" s="16"/>
      <c r="IXR18" s="17"/>
      <c r="IXT18" s="18"/>
      <c r="IXU18" s="17"/>
      <c r="IXW18" s="19"/>
      <c r="IXX18" s="15"/>
      <c r="IYH18" s="16"/>
      <c r="IYI18" s="17"/>
      <c r="IYK18" s="18"/>
      <c r="IYL18" s="17"/>
      <c r="IYN18" s="19"/>
      <c r="IYO18" s="15"/>
      <c r="IYY18" s="16"/>
      <c r="IYZ18" s="17"/>
      <c r="IZB18" s="18"/>
      <c r="IZC18" s="17"/>
      <c r="IZE18" s="19"/>
      <c r="IZF18" s="15"/>
      <c r="IZP18" s="16"/>
      <c r="IZQ18" s="17"/>
      <c r="IZS18" s="18"/>
      <c r="IZT18" s="17"/>
      <c r="IZV18" s="19"/>
      <c r="IZW18" s="15"/>
      <c r="JAG18" s="16"/>
      <c r="JAH18" s="17"/>
      <c r="JAJ18" s="18"/>
      <c r="JAK18" s="17"/>
      <c r="JAM18" s="19"/>
      <c r="JAN18" s="15"/>
      <c r="JAX18" s="16"/>
      <c r="JAY18" s="17"/>
      <c r="JBA18" s="18"/>
      <c r="JBB18" s="17"/>
      <c r="JBD18" s="19"/>
      <c r="JBE18" s="15"/>
      <c r="JBO18" s="16"/>
      <c r="JBP18" s="17"/>
      <c r="JBR18" s="18"/>
      <c r="JBS18" s="17"/>
      <c r="JBU18" s="19"/>
      <c r="JBV18" s="15"/>
      <c r="JCF18" s="16"/>
      <c r="JCG18" s="17"/>
      <c r="JCI18" s="18"/>
      <c r="JCJ18" s="17"/>
      <c r="JCL18" s="19"/>
      <c r="JCM18" s="15"/>
      <c r="JCW18" s="16"/>
      <c r="JCX18" s="17"/>
      <c r="JCZ18" s="18"/>
      <c r="JDA18" s="17"/>
      <c r="JDC18" s="19"/>
      <c r="JDD18" s="15"/>
      <c r="JDN18" s="16"/>
      <c r="JDO18" s="17"/>
      <c r="JDQ18" s="18"/>
      <c r="JDR18" s="17"/>
      <c r="JDT18" s="19"/>
      <c r="JDU18" s="15"/>
      <c r="JEE18" s="16"/>
      <c r="JEF18" s="17"/>
      <c r="JEH18" s="18"/>
      <c r="JEI18" s="17"/>
      <c r="JEK18" s="19"/>
      <c r="JEL18" s="15"/>
      <c r="JEV18" s="16"/>
      <c r="JEW18" s="17"/>
      <c r="JEY18" s="18"/>
      <c r="JEZ18" s="17"/>
      <c r="JFB18" s="19"/>
      <c r="JFC18" s="15"/>
      <c r="JFM18" s="16"/>
      <c r="JFN18" s="17"/>
      <c r="JFP18" s="18"/>
      <c r="JFQ18" s="17"/>
      <c r="JFS18" s="19"/>
      <c r="JFT18" s="15"/>
      <c r="JGD18" s="16"/>
      <c r="JGE18" s="17"/>
      <c r="JGG18" s="18"/>
      <c r="JGH18" s="17"/>
      <c r="JGJ18" s="19"/>
      <c r="JGK18" s="15"/>
      <c r="JGU18" s="16"/>
      <c r="JGV18" s="17"/>
      <c r="JGX18" s="18"/>
      <c r="JGY18" s="17"/>
      <c r="JHA18" s="19"/>
      <c r="JHB18" s="15"/>
      <c r="JHL18" s="16"/>
      <c r="JHM18" s="17"/>
      <c r="JHO18" s="18"/>
      <c r="JHP18" s="17"/>
      <c r="JHR18" s="19"/>
      <c r="JHS18" s="15"/>
      <c r="JIC18" s="16"/>
      <c r="JID18" s="17"/>
      <c r="JIF18" s="18"/>
      <c r="JIG18" s="17"/>
      <c r="JII18" s="19"/>
      <c r="JIJ18" s="15"/>
      <c r="JIT18" s="16"/>
      <c r="JIU18" s="17"/>
      <c r="JIW18" s="18"/>
      <c r="JIX18" s="17"/>
      <c r="JIZ18" s="19"/>
      <c r="JJA18" s="15"/>
      <c r="JJK18" s="16"/>
      <c r="JJL18" s="17"/>
      <c r="JJN18" s="18"/>
      <c r="JJO18" s="17"/>
      <c r="JJQ18" s="19"/>
      <c r="JJR18" s="15"/>
      <c r="JKB18" s="16"/>
      <c r="JKC18" s="17"/>
      <c r="JKE18" s="18"/>
      <c r="JKF18" s="17"/>
      <c r="JKH18" s="19"/>
      <c r="JKI18" s="15"/>
      <c r="JKS18" s="16"/>
      <c r="JKT18" s="17"/>
      <c r="JKV18" s="18"/>
      <c r="JKW18" s="17"/>
      <c r="JKY18" s="19"/>
      <c r="JKZ18" s="15"/>
      <c r="JLJ18" s="16"/>
      <c r="JLK18" s="17"/>
      <c r="JLM18" s="18"/>
      <c r="JLN18" s="17"/>
      <c r="JLP18" s="19"/>
      <c r="JLQ18" s="15"/>
      <c r="JMA18" s="16"/>
      <c r="JMB18" s="17"/>
      <c r="JMD18" s="18"/>
      <c r="JME18" s="17"/>
      <c r="JMG18" s="19"/>
      <c r="JMH18" s="15"/>
      <c r="JMR18" s="16"/>
      <c r="JMS18" s="17"/>
      <c r="JMU18" s="18"/>
      <c r="JMV18" s="17"/>
      <c r="JMX18" s="19"/>
      <c r="JMY18" s="15"/>
      <c r="JNI18" s="16"/>
      <c r="JNJ18" s="17"/>
      <c r="JNL18" s="18"/>
      <c r="JNM18" s="17"/>
      <c r="JNO18" s="19"/>
      <c r="JNP18" s="15"/>
      <c r="JNZ18" s="16"/>
      <c r="JOA18" s="17"/>
      <c r="JOC18" s="18"/>
      <c r="JOD18" s="17"/>
      <c r="JOF18" s="19"/>
      <c r="JOG18" s="15"/>
      <c r="JOQ18" s="16"/>
      <c r="JOR18" s="17"/>
      <c r="JOT18" s="18"/>
      <c r="JOU18" s="17"/>
      <c r="JOW18" s="19"/>
      <c r="JOX18" s="15"/>
      <c r="JPH18" s="16"/>
      <c r="JPI18" s="17"/>
      <c r="JPK18" s="18"/>
      <c r="JPL18" s="17"/>
      <c r="JPN18" s="19"/>
      <c r="JPO18" s="15"/>
      <c r="JPY18" s="16"/>
      <c r="JPZ18" s="17"/>
      <c r="JQB18" s="18"/>
      <c r="JQC18" s="17"/>
      <c r="JQE18" s="19"/>
      <c r="JQF18" s="15"/>
      <c r="JQP18" s="16"/>
      <c r="JQQ18" s="17"/>
      <c r="JQS18" s="18"/>
      <c r="JQT18" s="17"/>
      <c r="JQV18" s="19"/>
      <c r="JQW18" s="15"/>
      <c r="JRG18" s="16"/>
      <c r="JRH18" s="17"/>
      <c r="JRJ18" s="18"/>
      <c r="JRK18" s="17"/>
      <c r="JRM18" s="19"/>
      <c r="JRN18" s="15"/>
      <c r="JRX18" s="16"/>
      <c r="JRY18" s="17"/>
      <c r="JSA18" s="18"/>
      <c r="JSB18" s="17"/>
      <c r="JSD18" s="19"/>
      <c r="JSE18" s="15"/>
      <c r="JSO18" s="16"/>
      <c r="JSP18" s="17"/>
      <c r="JSR18" s="18"/>
      <c r="JSS18" s="17"/>
      <c r="JSU18" s="19"/>
      <c r="JSV18" s="15"/>
      <c r="JTF18" s="16"/>
      <c r="JTG18" s="17"/>
      <c r="JTI18" s="18"/>
      <c r="JTJ18" s="17"/>
      <c r="JTL18" s="19"/>
      <c r="JTM18" s="15"/>
      <c r="JTW18" s="16"/>
      <c r="JTX18" s="17"/>
      <c r="JTZ18" s="18"/>
      <c r="JUA18" s="17"/>
      <c r="JUC18" s="19"/>
      <c r="JUD18" s="15"/>
      <c r="JUN18" s="16"/>
      <c r="JUO18" s="17"/>
      <c r="JUQ18" s="18"/>
      <c r="JUR18" s="17"/>
      <c r="JUT18" s="19"/>
      <c r="JUU18" s="15"/>
      <c r="JVE18" s="16"/>
      <c r="JVF18" s="17"/>
      <c r="JVH18" s="18"/>
      <c r="JVI18" s="17"/>
      <c r="JVK18" s="19"/>
      <c r="JVL18" s="15"/>
      <c r="JVV18" s="16"/>
      <c r="JVW18" s="17"/>
      <c r="JVY18" s="18"/>
      <c r="JVZ18" s="17"/>
      <c r="JWB18" s="19"/>
      <c r="JWC18" s="15"/>
      <c r="JWM18" s="16"/>
      <c r="JWN18" s="17"/>
      <c r="JWP18" s="18"/>
      <c r="JWQ18" s="17"/>
      <c r="JWS18" s="19"/>
      <c r="JWT18" s="15"/>
      <c r="JXD18" s="16"/>
      <c r="JXE18" s="17"/>
      <c r="JXG18" s="18"/>
      <c r="JXH18" s="17"/>
      <c r="JXJ18" s="19"/>
      <c r="JXK18" s="15"/>
      <c r="JXU18" s="16"/>
      <c r="JXV18" s="17"/>
      <c r="JXX18" s="18"/>
      <c r="JXY18" s="17"/>
      <c r="JYA18" s="19"/>
      <c r="JYB18" s="15"/>
      <c r="JYL18" s="16"/>
      <c r="JYM18" s="17"/>
      <c r="JYO18" s="18"/>
      <c r="JYP18" s="17"/>
      <c r="JYR18" s="19"/>
      <c r="JYS18" s="15"/>
      <c r="JZC18" s="16"/>
      <c r="JZD18" s="17"/>
      <c r="JZF18" s="18"/>
      <c r="JZG18" s="17"/>
      <c r="JZI18" s="19"/>
      <c r="JZJ18" s="15"/>
      <c r="JZT18" s="16"/>
      <c r="JZU18" s="17"/>
      <c r="JZW18" s="18"/>
      <c r="JZX18" s="17"/>
      <c r="JZZ18" s="19"/>
      <c r="KAA18" s="15"/>
      <c r="KAK18" s="16"/>
      <c r="KAL18" s="17"/>
      <c r="KAN18" s="18"/>
      <c r="KAO18" s="17"/>
      <c r="KAQ18" s="19"/>
      <c r="KAR18" s="15"/>
      <c r="KBB18" s="16"/>
      <c r="KBC18" s="17"/>
      <c r="KBE18" s="18"/>
      <c r="KBF18" s="17"/>
      <c r="KBH18" s="19"/>
      <c r="KBI18" s="15"/>
      <c r="KBS18" s="16"/>
      <c r="KBT18" s="17"/>
      <c r="KBV18" s="18"/>
      <c r="KBW18" s="17"/>
      <c r="KBY18" s="19"/>
      <c r="KBZ18" s="15"/>
      <c r="KCJ18" s="16"/>
      <c r="KCK18" s="17"/>
      <c r="KCM18" s="18"/>
      <c r="KCN18" s="17"/>
      <c r="KCP18" s="19"/>
      <c r="KCQ18" s="15"/>
      <c r="KDA18" s="16"/>
      <c r="KDB18" s="17"/>
      <c r="KDD18" s="18"/>
      <c r="KDE18" s="17"/>
      <c r="KDG18" s="19"/>
      <c r="KDH18" s="15"/>
      <c r="KDR18" s="16"/>
      <c r="KDS18" s="17"/>
      <c r="KDU18" s="18"/>
      <c r="KDV18" s="17"/>
      <c r="KDX18" s="19"/>
      <c r="KDY18" s="15"/>
      <c r="KEI18" s="16"/>
      <c r="KEJ18" s="17"/>
      <c r="KEL18" s="18"/>
      <c r="KEM18" s="17"/>
      <c r="KEO18" s="19"/>
      <c r="KEP18" s="15"/>
      <c r="KEZ18" s="16"/>
      <c r="KFA18" s="17"/>
      <c r="KFC18" s="18"/>
      <c r="KFD18" s="17"/>
      <c r="KFF18" s="19"/>
      <c r="KFG18" s="15"/>
      <c r="KFQ18" s="16"/>
      <c r="KFR18" s="17"/>
      <c r="KFT18" s="18"/>
      <c r="KFU18" s="17"/>
      <c r="KFW18" s="19"/>
      <c r="KFX18" s="15"/>
      <c r="KGH18" s="16"/>
      <c r="KGI18" s="17"/>
      <c r="KGK18" s="18"/>
      <c r="KGL18" s="17"/>
      <c r="KGN18" s="19"/>
      <c r="KGO18" s="15"/>
      <c r="KGY18" s="16"/>
      <c r="KGZ18" s="17"/>
      <c r="KHB18" s="18"/>
      <c r="KHC18" s="17"/>
      <c r="KHE18" s="19"/>
      <c r="KHF18" s="15"/>
      <c r="KHP18" s="16"/>
      <c r="KHQ18" s="17"/>
      <c r="KHS18" s="18"/>
      <c r="KHT18" s="17"/>
      <c r="KHV18" s="19"/>
      <c r="KHW18" s="15"/>
      <c r="KIG18" s="16"/>
      <c r="KIH18" s="17"/>
      <c r="KIJ18" s="18"/>
      <c r="KIK18" s="17"/>
      <c r="KIM18" s="19"/>
      <c r="KIN18" s="15"/>
      <c r="KIX18" s="16"/>
      <c r="KIY18" s="17"/>
      <c r="KJA18" s="18"/>
      <c r="KJB18" s="17"/>
      <c r="KJD18" s="19"/>
      <c r="KJE18" s="15"/>
      <c r="KJO18" s="16"/>
      <c r="KJP18" s="17"/>
      <c r="KJR18" s="18"/>
      <c r="KJS18" s="17"/>
      <c r="KJU18" s="19"/>
      <c r="KJV18" s="15"/>
      <c r="KKF18" s="16"/>
      <c r="KKG18" s="17"/>
      <c r="KKI18" s="18"/>
      <c r="KKJ18" s="17"/>
      <c r="KKL18" s="19"/>
      <c r="KKM18" s="15"/>
      <c r="KKW18" s="16"/>
      <c r="KKX18" s="17"/>
      <c r="KKZ18" s="18"/>
      <c r="KLA18" s="17"/>
      <c r="KLC18" s="19"/>
      <c r="KLD18" s="15"/>
      <c r="KLN18" s="16"/>
      <c r="KLO18" s="17"/>
      <c r="KLQ18" s="18"/>
      <c r="KLR18" s="17"/>
      <c r="KLT18" s="19"/>
      <c r="KLU18" s="15"/>
      <c r="KME18" s="16"/>
      <c r="KMF18" s="17"/>
      <c r="KMH18" s="18"/>
      <c r="KMI18" s="17"/>
      <c r="KMK18" s="19"/>
      <c r="KML18" s="15"/>
      <c r="KMV18" s="16"/>
      <c r="KMW18" s="17"/>
      <c r="KMY18" s="18"/>
      <c r="KMZ18" s="17"/>
      <c r="KNB18" s="19"/>
      <c r="KNC18" s="15"/>
      <c r="KNM18" s="16"/>
      <c r="KNN18" s="17"/>
      <c r="KNP18" s="18"/>
      <c r="KNQ18" s="17"/>
      <c r="KNS18" s="19"/>
      <c r="KNT18" s="15"/>
      <c r="KOD18" s="16"/>
      <c r="KOE18" s="17"/>
      <c r="KOG18" s="18"/>
      <c r="KOH18" s="17"/>
      <c r="KOJ18" s="19"/>
      <c r="KOK18" s="15"/>
      <c r="KOU18" s="16"/>
      <c r="KOV18" s="17"/>
      <c r="KOX18" s="18"/>
      <c r="KOY18" s="17"/>
      <c r="KPA18" s="19"/>
      <c r="KPB18" s="15"/>
      <c r="KPL18" s="16"/>
      <c r="KPM18" s="17"/>
      <c r="KPO18" s="18"/>
      <c r="KPP18" s="17"/>
      <c r="KPR18" s="19"/>
      <c r="KPS18" s="15"/>
      <c r="KQC18" s="16"/>
      <c r="KQD18" s="17"/>
      <c r="KQF18" s="18"/>
      <c r="KQG18" s="17"/>
      <c r="KQI18" s="19"/>
      <c r="KQJ18" s="15"/>
      <c r="KQT18" s="16"/>
      <c r="KQU18" s="17"/>
      <c r="KQW18" s="18"/>
      <c r="KQX18" s="17"/>
      <c r="KQZ18" s="19"/>
      <c r="KRA18" s="15"/>
      <c r="KRK18" s="16"/>
      <c r="KRL18" s="17"/>
      <c r="KRN18" s="18"/>
      <c r="KRO18" s="17"/>
      <c r="KRQ18" s="19"/>
      <c r="KRR18" s="15"/>
      <c r="KSB18" s="16"/>
      <c r="KSC18" s="17"/>
      <c r="KSE18" s="18"/>
      <c r="KSF18" s="17"/>
      <c r="KSH18" s="19"/>
      <c r="KSI18" s="15"/>
      <c r="KSS18" s="16"/>
      <c r="KST18" s="17"/>
      <c r="KSV18" s="18"/>
      <c r="KSW18" s="17"/>
      <c r="KSY18" s="19"/>
      <c r="KSZ18" s="15"/>
      <c r="KTJ18" s="16"/>
      <c r="KTK18" s="17"/>
      <c r="KTM18" s="18"/>
      <c r="KTN18" s="17"/>
      <c r="KTP18" s="19"/>
      <c r="KTQ18" s="15"/>
      <c r="KUA18" s="16"/>
      <c r="KUB18" s="17"/>
      <c r="KUD18" s="18"/>
      <c r="KUE18" s="17"/>
      <c r="KUG18" s="19"/>
      <c r="KUH18" s="15"/>
      <c r="KUR18" s="16"/>
      <c r="KUS18" s="17"/>
      <c r="KUU18" s="18"/>
      <c r="KUV18" s="17"/>
      <c r="KUX18" s="19"/>
      <c r="KUY18" s="15"/>
      <c r="KVI18" s="16"/>
      <c r="KVJ18" s="17"/>
      <c r="KVL18" s="18"/>
      <c r="KVM18" s="17"/>
      <c r="KVO18" s="19"/>
      <c r="KVP18" s="15"/>
      <c r="KVZ18" s="16"/>
      <c r="KWA18" s="17"/>
      <c r="KWC18" s="18"/>
      <c r="KWD18" s="17"/>
      <c r="KWF18" s="19"/>
      <c r="KWG18" s="15"/>
      <c r="KWQ18" s="16"/>
      <c r="KWR18" s="17"/>
      <c r="KWT18" s="18"/>
      <c r="KWU18" s="17"/>
      <c r="KWW18" s="19"/>
      <c r="KWX18" s="15"/>
      <c r="KXH18" s="16"/>
      <c r="KXI18" s="17"/>
      <c r="KXK18" s="18"/>
      <c r="KXL18" s="17"/>
      <c r="KXN18" s="19"/>
      <c r="KXO18" s="15"/>
      <c r="KXY18" s="16"/>
      <c r="KXZ18" s="17"/>
      <c r="KYB18" s="18"/>
      <c r="KYC18" s="17"/>
      <c r="KYE18" s="19"/>
      <c r="KYF18" s="15"/>
      <c r="KYP18" s="16"/>
      <c r="KYQ18" s="17"/>
      <c r="KYS18" s="18"/>
      <c r="KYT18" s="17"/>
      <c r="KYV18" s="19"/>
      <c r="KYW18" s="15"/>
      <c r="KZG18" s="16"/>
      <c r="KZH18" s="17"/>
      <c r="KZJ18" s="18"/>
      <c r="KZK18" s="17"/>
      <c r="KZM18" s="19"/>
      <c r="KZN18" s="15"/>
      <c r="KZX18" s="16"/>
      <c r="KZY18" s="17"/>
      <c r="LAA18" s="18"/>
      <c r="LAB18" s="17"/>
      <c r="LAD18" s="19"/>
      <c r="LAE18" s="15"/>
      <c r="LAO18" s="16"/>
      <c r="LAP18" s="17"/>
      <c r="LAR18" s="18"/>
      <c r="LAS18" s="17"/>
      <c r="LAU18" s="19"/>
      <c r="LAV18" s="15"/>
      <c r="LBF18" s="16"/>
      <c r="LBG18" s="17"/>
      <c r="LBI18" s="18"/>
      <c r="LBJ18" s="17"/>
      <c r="LBL18" s="19"/>
      <c r="LBM18" s="15"/>
      <c r="LBW18" s="16"/>
      <c r="LBX18" s="17"/>
      <c r="LBZ18" s="18"/>
      <c r="LCA18" s="17"/>
      <c r="LCC18" s="19"/>
      <c r="LCD18" s="15"/>
      <c r="LCN18" s="16"/>
      <c r="LCO18" s="17"/>
      <c r="LCQ18" s="18"/>
      <c r="LCR18" s="17"/>
      <c r="LCT18" s="19"/>
      <c r="LCU18" s="15"/>
      <c r="LDE18" s="16"/>
      <c r="LDF18" s="17"/>
      <c r="LDH18" s="18"/>
      <c r="LDI18" s="17"/>
      <c r="LDK18" s="19"/>
      <c r="LDL18" s="15"/>
      <c r="LDV18" s="16"/>
      <c r="LDW18" s="17"/>
      <c r="LDY18" s="18"/>
      <c r="LDZ18" s="17"/>
      <c r="LEB18" s="19"/>
      <c r="LEC18" s="15"/>
      <c r="LEM18" s="16"/>
      <c r="LEN18" s="17"/>
      <c r="LEP18" s="18"/>
      <c r="LEQ18" s="17"/>
      <c r="LES18" s="19"/>
      <c r="LET18" s="15"/>
      <c r="LFD18" s="16"/>
      <c r="LFE18" s="17"/>
      <c r="LFG18" s="18"/>
      <c r="LFH18" s="17"/>
      <c r="LFJ18" s="19"/>
      <c r="LFK18" s="15"/>
      <c r="LFU18" s="16"/>
      <c r="LFV18" s="17"/>
      <c r="LFX18" s="18"/>
      <c r="LFY18" s="17"/>
      <c r="LGA18" s="19"/>
      <c r="LGB18" s="15"/>
      <c r="LGL18" s="16"/>
      <c r="LGM18" s="17"/>
      <c r="LGO18" s="18"/>
      <c r="LGP18" s="17"/>
      <c r="LGR18" s="19"/>
      <c r="LGS18" s="15"/>
      <c r="LHC18" s="16"/>
      <c r="LHD18" s="17"/>
      <c r="LHF18" s="18"/>
      <c r="LHG18" s="17"/>
      <c r="LHI18" s="19"/>
      <c r="LHJ18" s="15"/>
      <c r="LHT18" s="16"/>
      <c r="LHU18" s="17"/>
      <c r="LHW18" s="18"/>
      <c r="LHX18" s="17"/>
      <c r="LHZ18" s="19"/>
      <c r="LIA18" s="15"/>
      <c r="LIK18" s="16"/>
      <c r="LIL18" s="17"/>
      <c r="LIN18" s="18"/>
      <c r="LIO18" s="17"/>
      <c r="LIQ18" s="19"/>
      <c r="LIR18" s="15"/>
      <c r="LJB18" s="16"/>
      <c r="LJC18" s="17"/>
      <c r="LJE18" s="18"/>
      <c r="LJF18" s="17"/>
      <c r="LJH18" s="19"/>
      <c r="LJI18" s="15"/>
      <c r="LJS18" s="16"/>
      <c r="LJT18" s="17"/>
      <c r="LJV18" s="18"/>
      <c r="LJW18" s="17"/>
      <c r="LJY18" s="19"/>
      <c r="LJZ18" s="15"/>
      <c r="LKJ18" s="16"/>
      <c r="LKK18" s="17"/>
      <c r="LKM18" s="18"/>
      <c r="LKN18" s="17"/>
      <c r="LKP18" s="19"/>
      <c r="LKQ18" s="15"/>
      <c r="LLA18" s="16"/>
      <c r="LLB18" s="17"/>
      <c r="LLD18" s="18"/>
      <c r="LLE18" s="17"/>
      <c r="LLG18" s="19"/>
      <c r="LLH18" s="15"/>
      <c r="LLR18" s="16"/>
      <c r="LLS18" s="17"/>
      <c r="LLU18" s="18"/>
      <c r="LLV18" s="17"/>
      <c r="LLX18" s="19"/>
      <c r="LLY18" s="15"/>
      <c r="LMI18" s="16"/>
      <c r="LMJ18" s="17"/>
      <c r="LML18" s="18"/>
      <c r="LMM18" s="17"/>
      <c r="LMO18" s="19"/>
      <c r="LMP18" s="15"/>
      <c r="LMZ18" s="16"/>
      <c r="LNA18" s="17"/>
      <c r="LNC18" s="18"/>
      <c r="LND18" s="17"/>
      <c r="LNF18" s="19"/>
      <c r="LNG18" s="15"/>
      <c r="LNQ18" s="16"/>
      <c r="LNR18" s="17"/>
      <c r="LNT18" s="18"/>
      <c r="LNU18" s="17"/>
      <c r="LNW18" s="19"/>
      <c r="LNX18" s="15"/>
      <c r="LOH18" s="16"/>
      <c r="LOI18" s="17"/>
      <c r="LOK18" s="18"/>
      <c r="LOL18" s="17"/>
      <c r="LON18" s="19"/>
      <c r="LOO18" s="15"/>
      <c r="LOY18" s="16"/>
      <c r="LOZ18" s="17"/>
      <c r="LPB18" s="18"/>
      <c r="LPC18" s="17"/>
      <c r="LPE18" s="19"/>
      <c r="LPF18" s="15"/>
      <c r="LPP18" s="16"/>
      <c r="LPQ18" s="17"/>
      <c r="LPS18" s="18"/>
      <c r="LPT18" s="17"/>
      <c r="LPV18" s="19"/>
      <c r="LPW18" s="15"/>
      <c r="LQG18" s="16"/>
      <c r="LQH18" s="17"/>
      <c r="LQJ18" s="18"/>
      <c r="LQK18" s="17"/>
      <c r="LQM18" s="19"/>
      <c r="LQN18" s="15"/>
      <c r="LQX18" s="16"/>
      <c r="LQY18" s="17"/>
      <c r="LRA18" s="18"/>
      <c r="LRB18" s="17"/>
      <c r="LRD18" s="19"/>
      <c r="LRE18" s="15"/>
      <c r="LRO18" s="16"/>
      <c r="LRP18" s="17"/>
      <c r="LRR18" s="18"/>
      <c r="LRS18" s="17"/>
      <c r="LRU18" s="19"/>
      <c r="LRV18" s="15"/>
      <c r="LSF18" s="16"/>
      <c r="LSG18" s="17"/>
      <c r="LSI18" s="18"/>
      <c r="LSJ18" s="17"/>
      <c r="LSL18" s="19"/>
      <c r="LSM18" s="15"/>
      <c r="LSW18" s="16"/>
      <c r="LSX18" s="17"/>
      <c r="LSZ18" s="18"/>
      <c r="LTA18" s="17"/>
      <c r="LTC18" s="19"/>
      <c r="LTD18" s="15"/>
      <c r="LTN18" s="16"/>
      <c r="LTO18" s="17"/>
      <c r="LTQ18" s="18"/>
      <c r="LTR18" s="17"/>
      <c r="LTT18" s="19"/>
      <c r="LTU18" s="15"/>
      <c r="LUE18" s="16"/>
      <c r="LUF18" s="17"/>
      <c r="LUH18" s="18"/>
      <c r="LUI18" s="17"/>
      <c r="LUK18" s="19"/>
      <c r="LUL18" s="15"/>
      <c r="LUV18" s="16"/>
      <c r="LUW18" s="17"/>
      <c r="LUY18" s="18"/>
      <c r="LUZ18" s="17"/>
      <c r="LVB18" s="19"/>
      <c r="LVC18" s="15"/>
      <c r="LVM18" s="16"/>
      <c r="LVN18" s="17"/>
      <c r="LVP18" s="18"/>
      <c r="LVQ18" s="17"/>
      <c r="LVS18" s="19"/>
      <c r="LVT18" s="15"/>
      <c r="LWD18" s="16"/>
      <c r="LWE18" s="17"/>
      <c r="LWG18" s="18"/>
      <c r="LWH18" s="17"/>
      <c r="LWJ18" s="19"/>
      <c r="LWK18" s="15"/>
      <c r="LWU18" s="16"/>
      <c r="LWV18" s="17"/>
      <c r="LWX18" s="18"/>
      <c r="LWY18" s="17"/>
      <c r="LXA18" s="19"/>
      <c r="LXB18" s="15"/>
      <c r="LXL18" s="16"/>
      <c r="LXM18" s="17"/>
      <c r="LXO18" s="18"/>
      <c r="LXP18" s="17"/>
      <c r="LXR18" s="19"/>
      <c r="LXS18" s="15"/>
      <c r="LYC18" s="16"/>
      <c r="LYD18" s="17"/>
      <c r="LYF18" s="18"/>
      <c r="LYG18" s="17"/>
      <c r="LYI18" s="19"/>
      <c r="LYJ18" s="15"/>
      <c r="LYT18" s="16"/>
      <c r="LYU18" s="17"/>
      <c r="LYW18" s="18"/>
      <c r="LYX18" s="17"/>
      <c r="LYZ18" s="19"/>
      <c r="LZA18" s="15"/>
      <c r="LZK18" s="16"/>
      <c r="LZL18" s="17"/>
      <c r="LZN18" s="18"/>
      <c r="LZO18" s="17"/>
      <c r="LZQ18" s="19"/>
      <c r="LZR18" s="15"/>
      <c r="MAB18" s="16"/>
      <c r="MAC18" s="17"/>
      <c r="MAE18" s="18"/>
      <c r="MAF18" s="17"/>
      <c r="MAH18" s="19"/>
      <c r="MAI18" s="15"/>
      <c r="MAS18" s="16"/>
      <c r="MAT18" s="17"/>
      <c r="MAV18" s="18"/>
      <c r="MAW18" s="17"/>
      <c r="MAY18" s="19"/>
      <c r="MAZ18" s="15"/>
      <c r="MBJ18" s="16"/>
      <c r="MBK18" s="17"/>
      <c r="MBM18" s="18"/>
      <c r="MBN18" s="17"/>
      <c r="MBP18" s="19"/>
      <c r="MBQ18" s="15"/>
      <c r="MCA18" s="16"/>
      <c r="MCB18" s="17"/>
      <c r="MCD18" s="18"/>
      <c r="MCE18" s="17"/>
      <c r="MCG18" s="19"/>
      <c r="MCH18" s="15"/>
      <c r="MCR18" s="16"/>
      <c r="MCS18" s="17"/>
      <c r="MCU18" s="18"/>
      <c r="MCV18" s="17"/>
      <c r="MCX18" s="19"/>
      <c r="MCY18" s="15"/>
      <c r="MDI18" s="16"/>
      <c r="MDJ18" s="17"/>
      <c r="MDL18" s="18"/>
      <c r="MDM18" s="17"/>
      <c r="MDO18" s="19"/>
      <c r="MDP18" s="15"/>
      <c r="MDZ18" s="16"/>
      <c r="MEA18" s="17"/>
      <c r="MEC18" s="18"/>
      <c r="MED18" s="17"/>
      <c r="MEF18" s="19"/>
      <c r="MEG18" s="15"/>
      <c r="MEQ18" s="16"/>
      <c r="MER18" s="17"/>
      <c r="MET18" s="18"/>
      <c r="MEU18" s="17"/>
      <c r="MEW18" s="19"/>
      <c r="MEX18" s="15"/>
      <c r="MFH18" s="16"/>
      <c r="MFI18" s="17"/>
      <c r="MFK18" s="18"/>
      <c r="MFL18" s="17"/>
      <c r="MFN18" s="19"/>
      <c r="MFO18" s="15"/>
      <c r="MFY18" s="16"/>
      <c r="MFZ18" s="17"/>
      <c r="MGB18" s="18"/>
      <c r="MGC18" s="17"/>
      <c r="MGE18" s="19"/>
      <c r="MGF18" s="15"/>
      <c r="MGP18" s="16"/>
      <c r="MGQ18" s="17"/>
      <c r="MGS18" s="18"/>
      <c r="MGT18" s="17"/>
      <c r="MGV18" s="19"/>
      <c r="MGW18" s="15"/>
      <c r="MHG18" s="16"/>
      <c r="MHH18" s="17"/>
      <c r="MHJ18" s="18"/>
      <c r="MHK18" s="17"/>
      <c r="MHM18" s="19"/>
      <c r="MHN18" s="15"/>
      <c r="MHX18" s="16"/>
      <c r="MHY18" s="17"/>
      <c r="MIA18" s="18"/>
      <c r="MIB18" s="17"/>
      <c r="MID18" s="19"/>
      <c r="MIE18" s="15"/>
      <c r="MIO18" s="16"/>
      <c r="MIP18" s="17"/>
      <c r="MIR18" s="18"/>
      <c r="MIS18" s="17"/>
      <c r="MIU18" s="19"/>
      <c r="MIV18" s="15"/>
      <c r="MJF18" s="16"/>
      <c r="MJG18" s="17"/>
      <c r="MJI18" s="18"/>
      <c r="MJJ18" s="17"/>
      <c r="MJL18" s="19"/>
      <c r="MJM18" s="15"/>
      <c r="MJW18" s="16"/>
      <c r="MJX18" s="17"/>
      <c r="MJZ18" s="18"/>
      <c r="MKA18" s="17"/>
      <c r="MKC18" s="19"/>
      <c r="MKD18" s="15"/>
      <c r="MKN18" s="16"/>
      <c r="MKO18" s="17"/>
      <c r="MKQ18" s="18"/>
      <c r="MKR18" s="17"/>
      <c r="MKT18" s="19"/>
      <c r="MKU18" s="15"/>
      <c r="MLE18" s="16"/>
      <c r="MLF18" s="17"/>
      <c r="MLH18" s="18"/>
      <c r="MLI18" s="17"/>
      <c r="MLK18" s="19"/>
      <c r="MLL18" s="15"/>
      <c r="MLV18" s="16"/>
      <c r="MLW18" s="17"/>
      <c r="MLY18" s="18"/>
      <c r="MLZ18" s="17"/>
      <c r="MMB18" s="19"/>
      <c r="MMC18" s="15"/>
      <c r="MMM18" s="16"/>
      <c r="MMN18" s="17"/>
      <c r="MMP18" s="18"/>
      <c r="MMQ18" s="17"/>
      <c r="MMS18" s="19"/>
      <c r="MMT18" s="15"/>
      <c r="MND18" s="16"/>
      <c r="MNE18" s="17"/>
      <c r="MNG18" s="18"/>
      <c r="MNH18" s="17"/>
      <c r="MNJ18" s="19"/>
      <c r="MNK18" s="15"/>
      <c r="MNU18" s="16"/>
      <c r="MNV18" s="17"/>
      <c r="MNX18" s="18"/>
      <c r="MNY18" s="17"/>
      <c r="MOA18" s="19"/>
      <c r="MOB18" s="15"/>
      <c r="MOL18" s="16"/>
      <c r="MOM18" s="17"/>
      <c r="MOO18" s="18"/>
      <c r="MOP18" s="17"/>
      <c r="MOR18" s="19"/>
      <c r="MOS18" s="15"/>
      <c r="MPC18" s="16"/>
      <c r="MPD18" s="17"/>
      <c r="MPF18" s="18"/>
      <c r="MPG18" s="17"/>
      <c r="MPI18" s="19"/>
      <c r="MPJ18" s="15"/>
      <c r="MPT18" s="16"/>
      <c r="MPU18" s="17"/>
      <c r="MPW18" s="18"/>
      <c r="MPX18" s="17"/>
      <c r="MPZ18" s="19"/>
      <c r="MQA18" s="15"/>
      <c r="MQK18" s="16"/>
      <c r="MQL18" s="17"/>
      <c r="MQN18" s="18"/>
      <c r="MQO18" s="17"/>
      <c r="MQQ18" s="19"/>
      <c r="MQR18" s="15"/>
      <c r="MRB18" s="16"/>
      <c r="MRC18" s="17"/>
      <c r="MRE18" s="18"/>
      <c r="MRF18" s="17"/>
      <c r="MRH18" s="19"/>
      <c r="MRI18" s="15"/>
      <c r="MRS18" s="16"/>
      <c r="MRT18" s="17"/>
      <c r="MRV18" s="18"/>
      <c r="MRW18" s="17"/>
      <c r="MRY18" s="19"/>
      <c r="MRZ18" s="15"/>
      <c r="MSJ18" s="16"/>
      <c r="MSK18" s="17"/>
      <c r="MSM18" s="18"/>
      <c r="MSN18" s="17"/>
      <c r="MSP18" s="19"/>
      <c r="MSQ18" s="15"/>
      <c r="MTA18" s="16"/>
      <c r="MTB18" s="17"/>
      <c r="MTD18" s="18"/>
      <c r="MTE18" s="17"/>
      <c r="MTG18" s="19"/>
      <c r="MTH18" s="15"/>
      <c r="MTR18" s="16"/>
      <c r="MTS18" s="17"/>
      <c r="MTU18" s="18"/>
      <c r="MTV18" s="17"/>
      <c r="MTX18" s="19"/>
      <c r="MTY18" s="15"/>
      <c r="MUI18" s="16"/>
      <c r="MUJ18" s="17"/>
      <c r="MUL18" s="18"/>
      <c r="MUM18" s="17"/>
      <c r="MUO18" s="19"/>
      <c r="MUP18" s="15"/>
      <c r="MUZ18" s="16"/>
      <c r="MVA18" s="17"/>
      <c r="MVC18" s="18"/>
      <c r="MVD18" s="17"/>
      <c r="MVF18" s="19"/>
      <c r="MVG18" s="15"/>
      <c r="MVQ18" s="16"/>
      <c r="MVR18" s="17"/>
      <c r="MVT18" s="18"/>
      <c r="MVU18" s="17"/>
      <c r="MVW18" s="19"/>
      <c r="MVX18" s="15"/>
      <c r="MWH18" s="16"/>
      <c r="MWI18" s="17"/>
      <c r="MWK18" s="18"/>
      <c r="MWL18" s="17"/>
      <c r="MWN18" s="19"/>
      <c r="MWO18" s="15"/>
      <c r="MWY18" s="16"/>
      <c r="MWZ18" s="17"/>
      <c r="MXB18" s="18"/>
      <c r="MXC18" s="17"/>
      <c r="MXE18" s="19"/>
      <c r="MXF18" s="15"/>
      <c r="MXP18" s="16"/>
      <c r="MXQ18" s="17"/>
      <c r="MXS18" s="18"/>
      <c r="MXT18" s="17"/>
      <c r="MXV18" s="19"/>
      <c r="MXW18" s="15"/>
      <c r="MYG18" s="16"/>
      <c r="MYH18" s="17"/>
      <c r="MYJ18" s="18"/>
      <c r="MYK18" s="17"/>
      <c r="MYM18" s="19"/>
      <c r="MYN18" s="15"/>
      <c r="MYX18" s="16"/>
      <c r="MYY18" s="17"/>
      <c r="MZA18" s="18"/>
      <c r="MZB18" s="17"/>
      <c r="MZD18" s="19"/>
      <c r="MZE18" s="15"/>
      <c r="MZO18" s="16"/>
      <c r="MZP18" s="17"/>
      <c r="MZR18" s="18"/>
      <c r="MZS18" s="17"/>
      <c r="MZU18" s="19"/>
      <c r="MZV18" s="15"/>
      <c r="NAF18" s="16"/>
      <c r="NAG18" s="17"/>
      <c r="NAI18" s="18"/>
      <c r="NAJ18" s="17"/>
      <c r="NAL18" s="19"/>
      <c r="NAM18" s="15"/>
      <c r="NAW18" s="16"/>
      <c r="NAX18" s="17"/>
      <c r="NAZ18" s="18"/>
      <c r="NBA18" s="17"/>
      <c r="NBC18" s="19"/>
      <c r="NBD18" s="15"/>
      <c r="NBN18" s="16"/>
      <c r="NBO18" s="17"/>
      <c r="NBQ18" s="18"/>
      <c r="NBR18" s="17"/>
      <c r="NBT18" s="19"/>
      <c r="NBU18" s="15"/>
      <c r="NCE18" s="16"/>
      <c r="NCF18" s="17"/>
      <c r="NCH18" s="18"/>
      <c r="NCI18" s="17"/>
      <c r="NCK18" s="19"/>
      <c r="NCL18" s="15"/>
      <c r="NCV18" s="16"/>
      <c r="NCW18" s="17"/>
      <c r="NCY18" s="18"/>
      <c r="NCZ18" s="17"/>
      <c r="NDB18" s="19"/>
      <c r="NDC18" s="15"/>
      <c r="NDM18" s="16"/>
      <c r="NDN18" s="17"/>
      <c r="NDP18" s="18"/>
      <c r="NDQ18" s="17"/>
      <c r="NDS18" s="19"/>
      <c r="NDT18" s="15"/>
      <c r="NED18" s="16"/>
      <c r="NEE18" s="17"/>
      <c r="NEG18" s="18"/>
      <c r="NEH18" s="17"/>
      <c r="NEJ18" s="19"/>
      <c r="NEK18" s="15"/>
      <c r="NEU18" s="16"/>
      <c r="NEV18" s="17"/>
      <c r="NEX18" s="18"/>
      <c r="NEY18" s="17"/>
      <c r="NFA18" s="19"/>
      <c r="NFB18" s="15"/>
      <c r="NFL18" s="16"/>
      <c r="NFM18" s="17"/>
      <c r="NFO18" s="18"/>
      <c r="NFP18" s="17"/>
      <c r="NFR18" s="19"/>
      <c r="NFS18" s="15"/>
      <c r="NGC18" s="16"/>
      <c r="NGD18" s="17"/>
      <c r="NGF18" s="18"/>
      <c r="NGG18" s="17"/>
      <c r="NGI18" s="19"/>
      <c r="NGJ18" s="15"/>
      <c r="NGT18" s="16"/>
      <c r="NGU18" s="17"/>
      <c r="NGW18" s="18"/>
      <c r="NGX18" s="17"/>
      <c r="NGZ18" s="19"/>
      <c r="NHA18" s="15"/>
      <c r="NHK18" s="16"/>
      <c r="NHL18" s="17"/>
      <c r="NHN18" s="18"/>
      <c r="NHO18" s="17"/>
      <c r="NHQ18" s="19"/>
      <c r="NHR18" s="15"/>
      <c r="NIB18" s="16"/>
      <c r="NIC18" s="17"/>
      <c r="NIE18" s="18"/>
      <c r="NIF18" s="17"/>
      <c r="NIH18" s="19"/>
      <c r="NII18" s="15"/>
      <c r="NIS18" s="16"/>
      <c r="NIT18" s="17"/>
      <c r="NIV18" s="18"/>
      <c r="NIW18" s="17"/>
      <c r="NIY18" s="19"/>
      <c r="NIZ18" s="15"/>
      <c r="NJJ18" s="16"/>
      <c r="NJK18" s="17"/>
      <c r="NJM18" s="18"/>
      <c r="NJN18" s="17"/>
      <c r="NJP18" s="19"/>
      <c r="NJQ18" s="15"/>
      <c r="NKA18" s="16"/>
      <c r="NKB18" s="17"/>
      <c r="NKD18" s="18"/>
      <c r="NKE18" s="17"/>
      <c r="NKG18" s="19"/>
      <c r="NKH18" s="15"/>
      <c r="NKR18" s="16"/>
      <c r="NKS18" s="17"/>
      <c r="NKU18" s="18"/>
      <c r="NKV18" s="17"/>
      <c r="NKX18" s="19"/>
      <c r="NKY18" s="15"/>
      <c r="NLI18" s="16"/>
      <c r="NLJ18" s="17"/>
      <c r="NLL18" s="18"/>
      <c r="NLM18" s="17"/>
      <c r="NLO18" s="19"/>
      <c r="NLP18" s="15"/>
      <c r="NLZ18" s="16"/>
      <c r="NMA18" s="17"/>
      <c r="NMC18" s="18"/>
      <c r="NMD18" s="17"/>
      <c r="NMF18" s="19"/>
      <c r="NMG18" s="15"/>
      <c r="NMQ18" s="16"/>
      <c r="NMR18" s="17"/>
      <c r="NMT18" s="18"/>
      <c r="NMU18" s="17"/>
      <c r="NMW18" s="19"/>
      <c r="NMX18" s="15"/>
      <c r="NNH18" s="16"/>
      <c r="NNI18" s="17"/>
      <c r="NNK18" s="18"/>
      <c r="NNL18" s="17"/>
      <c r="NNN18" s="19"/>
      <c r="NNO18" s="15"/>
      <c r="NNY18" s="16"/>
      <c r="NNZ18" s="17"/>
      <c r="NOB18" s="18"/>
      <c r="NOC18" s="17"/>
      <c r="NOE18" s="19"/>
      <c r="NOF18" s="15"/>
      <c r="NOP18" s="16"/>
      <c r="NOQ18" s="17"/>
      <c r="NOS18" s="18"/>
      <c r="NOT18" s="17"/>
      <c r="NOV18" s="19"/>
      <c r="NOW18" s="15"/>
      <c r="NPG18" s="16"/>
      <c r="NPH18" s="17"/>
      <c r="NPJ18" s="18"/>
      <c r="NPK18" s="17"/>
      <c r="NPM18" s="19"/>
      <c r="NPN18" s="15"/>
      <c r="NPX18" s="16"/>
      <c r="NPY18" s="17"/>
      <c r="NQA18" s="18"/>
      <c r="NQB18" s="17"/>
      <c r="NQD18" s="19"/>
      <c r="NQE18" s="15"/>
      <c r="NQO18" s="16"/>
      <c r="NQP18" s="17"/>
      <c r="NQR18" s="18"/>
      <c r="NQS18" s="17"/>
      <c r="NQU18" s="19"/>
      <c r="NQV18" s="15"/>
      <c r="NRF18" s="16"/>
      <c r="NRG18" s="17"/>
      <c r="NRI18" s="18"/>
      <c r="NRJ18" s="17"/>
      <c r="NRL18" s="19"/>
      <c r="NRM18" s="15"/>
      <c r="NRW18" s="16"/>
      <c r="NRX18" s="17"/>
      <c r="NRZ18" s="18"/>
      <c r="NSA18" s="17"/>
      <c r="NSC18" s="19"/>
      <c r="NSD18" s="15"/>
      <c r="NSN18" s="16"/>
      <c r="NSO18" s="17"/>
      <c r="NSQ18" s="18"/>
      <c r="NSR18" s="17"/>
      <c r="NST18" s="19"/>
      <c r="NSU18" s="15"/>
      <c r="NTE18" s="16"/>
      <c r="NTF18" s="17"/>
      <c r="NTH18" s="18"/>
      <c r="NTI18" s="17"/>
      <c r="NTK18" s="19"/>
      <c r="NTL18" s="15"/>
      <c r="NTV18" s="16"/>
      <c r="NTW18" s="17"/>
      <c r="NTY18" s="18"/>
      <c r="NTZ18" s="17"/>
      <c r="NUB18" s="19"/>
      <c r="NUC18" s="15"/>
      <c r="NUM18" s="16"/>
      <c r="NUN18" s="17"/>
      <c r="NUP18" s="18"/>
      <c r="NUQ18" s="17"/>
      <c r="NUS18" s="19"/>
      <c r="NUT18" s="15"/>
      <c r="NVD18" s="16"/>
      <c r="NVE18" s="17"/>
      <c r="NVG18" s="18"/>
      <c r="NVH18" s="17"/>
      <c r="NVJ18" s="19"/>
      <c r="NVK18" s="15"/>
      <c r="NVU18" s="16"/>
      <c r="NVV18" s="17"/>
      <c r="NVX18" s="18"/>
      <c r="NVY18" s="17"/>
      <c r="NWA18" s="19"/>
      <c r="NWB18" s="15"/>
      <c r="NWL18" s="16"/>
      <c r="NWM18" s="17"/>
      <c r="NWO18" s="18"/>
      <c r="NWP18" s="17"/>
      <c r="NWR18" s="19"/>
      <c r="NWS18" s="15"/>
      <c r="NXC18" s="16"/>
      <c r="NXD18" s="17"/>
      <c r="NXF18" s="18"/>
      <c r="NXG18" s="17"/>
      <c r="NXI18" s="19"/>
      <c r="NXJ18" s="15"/>
      <c r="NXT18" s="16"/>
      <c r="NXU18" s="17"/>
      <c r="NXW18" s="18"/>
      <c r="NXX18" s="17"/>
      <c r="NXZ18" s="19"/>
      <c r="NYA18" s="15"/>
      <c r="NYK18" s="16"/>
      <c r="NYL18" s="17"/>
      <c r="NYN18" s="18"/>
      <c r="NYO18" s="17"/>
      <c r="NYQ18" s="19"/>
      <c r="NYR18" s="15"/>
      <c r="NZB18" s="16"/>
      <c r="NZC18" s="17"/>
      <c r="NZE18" s="18"/>
      <c r="NZF18" s="17"/>
      <c r="NZH18" s="19"/>
      <c r="NZI18" s="15"/>
      <c r="NZS18" s="16"/>
      <c r="NZT18" s="17"/>
      <c r="NZV18" s="18"/>
      <c r="NZW18" s="17"/>
      <c r="NZY18" s="19"/>
      <c r="NZZ18" s="15"/>
      <c r="OAJ18" s="16"/>
      <c r="OAK18" s="17"/>
      <c r="OAM18" s="18"/>
      <c r="OAN18" s="17"/>
      <c r="OAP18" s="19"/>
      <c r="OAQ18" s="15"/>
      <c r="OBA18" s="16"/>
      <c r="OBB18" s="17"/>
      <c r="OBD18" s="18"/>
      <c r="OBE18" s="17"/>
      <c r="OBG18" s="19"/>
      <c r="OBH18" s="15"/>
      <c r="OBR18" s="16"/>
      <c r="OBS18" s="17"/>
      <c r="OBU18" s="18"/>
      <c r="OBV18" s="17"/>
      <c r="OBX18" s="19"/>
      <c r="OBY18" s="15"/>
      <c r="OCI18" s="16"/>
      <c r="OCJ18" s="17"/>
      <c r="OCL18" s="18"/>
      <c r="OCM18" s="17"/>
      <c r="OCO18" s="19"/>
      <c r="OCP18" s="15"/>
      <c r="OCZ18" s="16"/>
      <c r="ODA18" s="17"/>
      <c r="ODC18" s="18"/>
      <c r="ODD18" s="17"/>
      <c r="ODF18" s="19"/>
      <c r="ODG18" s="15"/>
      <c r="ODQ18" s="16"/>
      <c r="ODR18" s="17"/>
      <c r="ODT18" s="18"/>
      <c r="ODU18" s="17"/>
      <c r="ODW18" s="19"/>
      <c r="ODX18" s="15"/>
      <c r="OEH18" s="16"/>
      <c r="OEI18" s="17"/>
      <c r="OEK18" s="18"/>
      <c r="OEL18" s="17"/>
      <c r="OEN18" s="19"/>
      <c r="OEO18" s="15"/>
      <c r="OEY18" s="16"/>
      <c r="OEZ18" s="17"/>
      <c r="OFB18" s="18"/>
      <c r="OFC18" s="17"/>
      <c r="OFE18" s="19"/>
      <c r="OFF18" s="15"/>
      <c r="OFP18" s="16"/>
      <c r="OFQ18" s="17"/>
      <c r="OFS18" s="18"/>
      <c r="OFT18" s="17"/>
      <c r="OFV18" s="19"/>
      <c r="OFW18" s="15"/>
      <c r="OGG18" s="16"/>
      <c r="OGH18" s="17"/>
      <c r="OGJ18" s="18"/>
      <c r="OGK18" s="17"/>
      <c r="OGM18" s="19"/>
      <c r="OGN18" s="15"/>
      <c r="OGX18" s="16"/>
      <c r="OGY18" s="17"/>
      <c r="OHA18" s="18"/>
      <c r="OHB18" s="17"/>
      <c r="OHD18" s="19"/>
      <c r="OHE18" s="15"/>
      <c r="OHO18" s="16"/>
      <c r="OHP18" s="17"/>
      <c r="OHR18" s="18"/>
      <c r="OHS18" s="17"/>
      <c r="OHU18" s="19"/>
      <c r="OHV18" s="15"/>
      <c r="OIF18" s="16"/>
      <c r="OIG18" s="17"/>
      <c r="OII18" s="18"/>
      <c r="OIJ18" s="17"/>
      <c r="OIL18" s="19"/>
      <c r="OIM18" s="15"/>
      <c r="OIW18" s="16"/>
      <c r="OIX18" s="17"/>
      <c r="OIZ18" s="18"/>
      <c r="OJA18" s="17"/>
      <c r="OJC18" s="19"/>
      <c r="OJD18" s="15"/>
      <c r="OJN18" s="16"/>
      <c r="OJO18" s="17"/>
      <c r="OJQ18" s="18"/>
      <c r="OJR18" s="17"/>
      <c r="OJT18" s="19"/>
      <c r="OJU18" s="15"/>
      <c r="OKE18" s="16"/>
      <c r="OKF18" s="17"/>
      <c r="OKH18" s="18"/>
      <c r="OKI18" s="17"/>
      <c r="OKK18" s="19"/>
      <c r="OKL18" s="15"/>
      <c r="OKV18" s="16"/>
      <c r="OKW18" s="17"/>
      <c r="OKY18" s="18"/>
      <c r="OKZ18" s="17"/>
      <c r="OLB18" s="19"/>
      <c r="OLC18" s="15"/>
      <c r="OLM18" s="16"/>
      <c r="OLN18" s="17"/>
      <c r="OLP18" s="18"/>
      <c r="OLQ18" s="17"/>
      <c r="OLS18" s="19"/>
      <c r="OLT18" s="15"/>
      <c r="OMD18" s="16"/>
      <c r="OME18" s="17"/>
      <c r="OMG18" s="18"/>
      <c r="OMH18" s="17"/>
      <c r="OMJ18" s="19"/>
      <c r="OMK18" s="15"/>
      <c r="OMU18" s="16"/>
      <c r="OMV18" s="17"/>
      <c r="OMX18" s="18"/>
      <c r="OMY18" s="17"/>
      <c r="ONA18" s="19"/>
      <c r="ONB18" s="15"/>
      <c r="ONL18" s="16"/>
      <c r="ONM18" s="17"/>
      <c r="ONO18" s="18"/>
      <c r="ONP18" s="17"/>
      <c r="ONR18" s="19"/>
      <c r="ONS18" s="15"/>
      <c r="OOC18" s="16"/>
      <c r="OOD18" s="17"/>
      <c r="OOF18" s="18"/>
      <c r="OOG18" s="17"/>
      <c r="OOI18" s="19"/>
      <c r="OOJ18" s="15"/>
      <c r="OOT18" s="16"/>
      <c r="OOU18" s="17"/>
      <c r="OOW18" s="18"/>
      <c r="OOX18" s="17"/>
      <c r="OOZ18" s="19"/>
      <c r="OPA18" s="15"/>
      <c r="OPK18" s="16"/>
      <c r="OPL18" s="17"/>
      <c r="OPN18" s="18"/>
      <c r="OPO18" s="17"/>
      <c r="OPQ18" s="19"/>
      <c r="OPR18" s="15"/>
      <c r="OQB18" s="16"/>
      <c r="OQC18" s="17"/>
      <c r="OQE18" s="18"/>
      <c r="OQF18" s="17"/>
      <c r="OQH18" s="19"/>
      <c r="OQI18" s="15"/>
      <c r="OQS18" s="16"/>
      <c r="OQT18" s="17"/>
      <c r="OQV18" s="18"/>
      <c r="OQW18" s="17"/>
      <c r="OQY18" s="19"/>
      <c r="OQZ18" s="15"/>
      <c r="ORJ18" s="16"/>
      <c r="ORK18" s="17"/>
      <c r="ORM18" s="18"/>
      <c r="ORN18" s="17"/>
      <c r="ORP18" s="19"/>
      <c r="ORQ18" s="15"/>
      <c r="OSA18" s="16"/>
      <c r="OSB18" s="17"/>
      <c r="OSD18" s="18"/>
      <c r="OSE18" s="17"/>
      <c r="OSG18" s="19"/>
      <c r="OSH18" s="15"/>
      <c r="OSR18" s="16"/>
      <c r="OSS18" s="17"/>
      <c r="OSU18" s="18"/>
      <c r="OSV18" s="17"/>
      <c r="OSX18" s="19"/>
      <c r="OSY18" s="15"/>
      <c r="OTI18" s="16"/>
      <c r="OTJ18" s="17"/>
      <c r="OTL18" s="18"/>
      <c r="OTM18" s="17"/>
      <c r="OTO18" s="19"/>
      <c r="OTP18" s="15"/>
      <c r="OTZ18" s="16"/>
      <c r="OUA18" s="17"/>
      <c r="OUC18" s="18"/>
      <c r="OUD18" s="17"/>
      <c r="OUF18" s="19"/>
      <c r="OUG18" s="15"/>
      <c r="OUQ18" s="16"/>
      <c r="OUR18" s="17"/>
      <c r="OUT18" s="18"/>
      <c r="OUU18" s="17"/>
      <c r="OUW18" s="19"/>
      <c r="OUX18" s="15"/>
      <c r="OVH18" s="16"/>
      <c r="OVI18" s="17"/>
      <c r="OVK18" s="18"/>
      <c r="OVL18" s="17"/>
      <c r="OVN18" s="19"/>
      <c r="OVO18" s="15"/>
      <c r="OVY18" s="16"/>
      <c r="OVZ18" s="17"/>
      <c r="OWB18" s="18"/>
      <c r="OWC18" s="17"/>
      <c r="OWE18" s="19"/>
      <c r="OWF18" s="15"/>
      <c r="OWP18" s="16"/>
      <c r="OWQ18" s="17"/>
      <c r="OWS18" s="18"/>
      <c r="OWT18" s="17"/>
      <c r="OWV18" s="19"/>
      <c r="OWW18" s="15"/>
      <c r="OXG18" s="16"/>
      <c r="OXH18" s="17"/>
      <c r="OXJ18" s="18"/>
      <c r="OXK18" s="17"/>
      <c r="OXM18" s="19"/>
      <c r="OXN18" s="15"/>
      <c r="OXX18" s="16"/>
      <c r="OXY18" s="17"/>
      <c r="OYA18" s="18"/>
      <c r="OYB18" s="17"/>
      <c r="OYD18" s="19"/>
      <c r="OYE18" s="15"/>
      <c r="OYO18" s="16"/>
      <c r="OYP18" s="17"/>
      <c r="OYR18" s="18"/>
      <c r="OYS18" s="17"/>
      <c r="OYU18" s="19"/>
      <c r="OYV18" s="15"/>
      <c r="OZF18" s="16"/>
      <c r="OZG18" s="17"/>
      <c r="OZI18" s="18"/>
      <c r="OZJ18" s="17"/>
      <c r="OZL18" s="19"/>
      <c r="OZM18" s="15"/>
      <c r="OZW18" s="16"/>
      <c r="OZX18" s="17"/>
      <c r="OZZ18" s="18"/>
      <c r="PAA18" s="17"/>
      <c r="PAC18" s="19"/>
      <c r="PAD18" s="15"/>
      <c r="PAN18" s="16"/>
      <c r="PAO18" s="17"/>
      <c r="PAQ18" s="18"/>
      <c r="PAR18" s="17"/>
      <c r="PAT18" s="19"/>
      <c r="PAU18" s="15"/>
      <c r="PBE18" s="16"/>
      <c r="PBF18" s="17"/>
      <c r="PBH18" s="18"/>
      <c r="PBI18" s="17"/>
      <c r="PBK18" s="19"/>
      <c r="PBL18" s="15"/>
      <c r="PBV18" s="16"/>
      <c r="PBW18" s="17"/>
      <c r="PBY18" s="18"/>
      <c r="PBZ18" s="17"/>
      <c r="PCB18" s="19"/>
      <c r="PCC18" s="15"/>
      <c r="PCM18" s="16"/>
      <c r="PCN18" s="17"/>
      <c r="PCP18" s="18"/>
      <c r="PCQ18" s="17"/>
      <c r="PCS18" s="19"/>
      <c r="PCT18" s="15"/>
      <c r="PDD18" s="16"/>
      <c r="PDE18" s="17"/>
      <c r="PDG18" s="18"/>
      <c r="PDH18" s="17"/>
      <c r="PDJ18" s="19"/>
      <c r="PDK18" s="15"/>
      <c r="PDU18" s="16"/>
      <c r="PDV18" s="17"/>
      <c r="PDX18" s="18"/>
      <c r="PDY18" s="17"/>
      <c r="PEA18" s="19"/>
      <c r="PEB18" s="15"/>
      <c r="PEL18" s="16"/>
      <c r="PEM18" s="17"/>
      <c r="PEO18" s="18"/>
      <c r="PEP18" s="17"/>
      <c r="PER18" s="19"/>
      <c r="PES18" s="15"/>
      <c r="PFC18" s="16"/>
      <c r="PFD18" s="17"/>
      <c r="PFF18" s="18"/>
      <c r="PFG18" s="17"/>
      <c r="PFI18" s="19"/>
      <c r="PFJ18" s="15"/>
      <c r="PFT18" s="16"/>
      <c r="PFU18" s="17"/>
      <c r="PFW18" s="18"/>
      <c r="PFX18" s="17"/>
      <c r="PFZ18" s="19"/>
      <c r="PGA18" s="15"/>
      <c r="PGK18" s="16"/>
      <c r="PGL18" s="17"/>
      <c r="PGN18" s="18"/>
      <c r="PGO18" s="17"/>
      <c r="PGQ18" s="19"/>
      <c r="PGR18" s="15"/>
      <c r="PHB18" s="16"/>
      <c r="PHC18" s="17"/>
      <c r="PHE18" s="18"/>
      <c r="PHF18" s="17"/>
      <c r="PHH18" s="19"/>
      <c r="PHI18" s="15"/>
      <c r="PHS18" s="16"/>
      <c r="PHT18" s="17"/>
      <c r="PHV18" s="18"/>
      <c r="PHW18" s="17"/>
      <c r="PHY18" s="19"/>
      <c r="PHZ18" s="15"/>
      <c r="PIJ18" s="16"/>
      <c r="PIK18" s="17"/>
      <c r="PIM18" s="18"/>
      <c r="PIN18" s="17"/>
      <c r="PIP18" s="19"/>
      <c r="PIQ18" s="15"/>
      <c r="PJA18" s="16"/>
      <c r="PJB18" s="17"/>
      <c r="PJD18" s="18"/>
      <c r="PJE18" s="17"/>
      <c r="PJG18" s="19"/>
      <c r="PJH18" s="15"/>
      <c r="PJR18" s="16"/>
      <c r="PJS18" s="17"/>
      <c r="PJU18" s="18"/>
      <c r="PJV18" s="17"/>
      <c r="PJX18" s="19"/>
      <c r="PJY18" s="15"/>
      <c r="PKI18" s="16"/>
      <c r="PKJ18" s="17"/>
      <c r="PKL18" s="18"/>
      <c r="PKM18" s="17"/>
      <c r="PKO18" s="19"/>
      <c r="PKP18" s="15"/>
      <c r="PKZ18" s="16"/>
      <c r="PLA18" s="17"/>
      <c r="PLC18" s="18"/>
      <c r="PLD18" s="17"/>
      <c r="PLF18" s="19"/>
      <c r="PLG18" s="15"/>
      <c r="PLQ18" s="16"/>
      <c r="PLR18" s="17"/>
      <c r="PLT18" s="18"/>
      <c r="PLU18" s="17"/>
      <c r="PLW18" s="19"/>
      <c r="PLX18" s="15"/>
      <c r="PMH18" s="16"/>
      <c r="PMI18" s="17"/>
      <c r="PMK18" s="18"/>
      <c r="PML18" s="17"/>
      <c r="PMN18" s="19"/>
      <c r="PMO18" s="15"/>
      <c r="PMY18" s="16"/>
      <c r="PMZ18" s="17"/>
      <c r="PNB18" s="18"/>
      <c r="PNC18" s="17"/>
      <c r="PNE18" s="19"/>
      <c r="PNF18" s="15"/>
      <c r="PNP18" s="16"/>
      <c r="PNQ18" s="17"/>
      <c r="PNS18" s="18"/>
      <c r="PNT18" s="17"/>
      <c r="PNV18" s="19"/>
      <c r="PNW18" s="15"/>
      <c r="POG18" s="16"/>
      <c r="POH18" s="17"/>
      <c r="POJ18" s="18"/>
      <c r="POK18" s="17"/>
      <c r="POM18" s="19"/>
      <c r="PON18" s="15"/>
      <c r="POX18" s="16"/>
      <c r="POY18" s="17"/>
      <c r="PPA18" s="18"/>
      <c r="PPB18" s="17"/>
      <c r="PPD18" s="19"/>
      <c r="PPE18" s="15"/>
      <c r="PPO18" s="16"/>
      <c r="PPP18" s="17"/>
      <c r="PPR18" s="18"/>
      <c r="PPS18" s="17"/>
      <c r="PPU18" s="19"/>
      <c r="PPV18" s="15"/>
      <c r="PQF18" s="16"/>
      <c r="PQG18" s="17"/>
      <c r="PQI18" s="18"/>
      <c r="PQJ18" s="17"/>
      <c r="PQL18" s="19"/>
      <c r="PQM18" s="15"/>
      <c r="PQW18" s="16"/>
      <c r="PQX18" s="17"/>
      <c r="PQZ18" s="18"/>
      <c r="PRA18" s="17"/>
      <c r="PRC18" s="19"/>
      <c r="PRD18" s="15"/>
      <c r="PRN18" s="16"/>
      <c r="PRO18" s="17"/>
      <c r="PRQ18" s="18"/>
      <c r="PRR18" s="17"/>
      <c r="PRT18" s="19"/>
      <c r="PRU18" s="15"/>
      <c r="PSE18" s="16"/>
      <c r="PSF18" s="17"/>
      <c r="PSH18" s="18"/>
      <c r="PSI18" s="17"/>
      <c r="PSK18" s="19"/>
      <c r="PSL18" s="15"/>
      <c r="PSV18" s="16"/>
      <c r="PSW18" s="17"/>
      <c r="PSY18" s="18"/>
      <c r="PSZ18" s="17"/>
      <c r="PTB18" s="19"/>
      <c r="PTC18" s="15"/>
      <c r="PTM18" s="16"/>
      <c r="PTN18" s="17"/>
      <c r="PTP18" s="18"/>
      <c r="PTQ18" s="17"/>
      <c r="PTS18" s="19"/>
      <c r="PTT18" s="15"/>
      <c r="PUD18" s="16"/>
      <c r="PUE18" s="17"/>
      <c r="PUG18" s="18"/>
      <c r="PUH18" s="17"/>
      <c r="PUJ18" s="19"/>
      <c r="PUK18" s="15"/>
      <c r="PUU18" s="16"/>
      <c r="PUV18" s="17"/>
      <c r="PUX18" s="18"/>
      <c r="PUY18" s="17"/>
      <c r="PVA18" s="19"/>
      <c r="PVB18" s="15"/>
      <c r="PVL18" s="16"/>
      <c r="PVM18" s="17"/>
      <c r="PVO18" s="18"/>
      <c r="PVP18" s="17"/>
      <c r="PVR18" s="19"/>
      <c r="PVS18" s="15"/>
      <c r="PWC18" s="16"/>
      <c r="PWD18" s="17"/>
      <c r="PWF18" s="18"/>
      <c r="PWG18" s="17"/>
      <c r="PWI18" s="19"/>
      <c r="PWJ18" s="15"/>
      <c r="PWT18" s="16"/>
      <c r="PWU18" s="17"/>
      <c r="PWW18" s="18"/>
      <c r="PWX18" s="17"/>
      <c r="PWZ18" s="19"/>
      <c r="PXA18" s="15"/>
      <c r="PXK18" s="16"/>
      <c r="PXL18" s="17"/>
      <c r="PXN18" s="18"/>
      <c r="PXO18" s="17"/>
      <c r="PXQ18" s="19"/>
      <c r="PXR18" s="15"/>
      <c r="PYB18" s="16"/>
      <c r="PYC18" s="17"/>
      <c r="PYE18" s="18"/>
      <c r="PYF18" s="17"/>
      <c r="PYH18" s="19"/>
      <c r="PYI18" s="15"/>
      <c r="PYS18" s="16"/>
      <c r="PYT18" s="17"/>
      <c r="PYV18" s="18"/>
      <c r="PYW18" s="17"/>
      <c r="PYY18" s="19"/>
      <c r="PYZ18" s="15"/>
      <c r="PZJ18" s="16"/>
      <c r="PZK18" s="17"/>
      <c r="PZM18" s="18"/>
      <c r="PZN18" s="17"/>
      <c r="PZP18" s="19"/>
      <c r="PZQ18" s="15"/>
      <c r="QAA18" s="16"/>
      <c r="QAB18" s="17"/>
      <c r="QAD18" s="18"/>
      <c r="QAE18" s="17"/>
      <c r="QAG18" s="19"/>
      <c r="QAH18" s="15"/>
      <c r="QAR18" s="16"/>
      <c r="QAS18" s="17"/>
      <c r="QAU18" s="18"/>
      <c r="QAV18" s="17"/>
      <c r="QAX18" s="19"/>
      <c r="QAY18" s="15"/>
      <c r="QBI18" s="16"/>
      <c r="QBJ18" s="17"/>
      <c r="QBL18" s="18"/>
      <c r="QBM18" s="17"/>
      <c r="QBO18" s="19"/>
      <c r="QBP18" s="15"/>
      <c r="QBZ18" s="16"/>
      <c r="QCA18" s="17"/>
      <c r="QCC18" s="18"/>
      <c r="QCD18" s="17"/>
      <c r="QCF18" s="19"/>
      <c r="QCG18" s="15"/>
      <c r="QCQ18" s="16"/>
      <c r="QCR18" s="17"/>
      <c r="QCT18" s="18"/>
      <c r="QCU18" s="17"/>
      <c r="QCW18" s="19"/>
      <c r="QCX18" s="15"/>
      <c r="QDH18" s="16"/>
      <c r="QDI18" s="17"/>
      <c r="QDK18" s="18"/>
      <c r="QDL18" s="17"/>
      <c r="QDN18" s="19"/>
      <c r="QDO18" s="15"/>
      <c r="QDY18" s="16"/>
      <c r="QDZ18" s="17"/>
      <c r="QEB18" s="18"/>
      <c r="QEC18" s="17"/>
      <c r="QEE18" s="19"/>
      <c r="QEF18" s="15"/>
      <c r="QEP18" s="16"/>
      <c r="QEQ18" s="17"/>
      <c r="QES18" s="18"/>
      <c r="QET18" s="17"/>
      <c r="QEV18" s="19"/>
      <c r="QEW18" s="15"/>
      <c r="QFG18" s="16"/>
      <c r="QFH18" s="17"/>
      <c r="QFJ18" s="18"/>
      <c r="QFK18" s="17"/>
      <c r="QFM18" s="19"/>
      <c r="QFN18" s="15"/>
      <c r="QFX18" s="16"/>
      <c r="QFY18" s="17"/>
      <c r="QGA18" s="18"/>
      <c r="QGB18" s="17"/>
      <c r="QGD18" s="19"/>
      <c r="QGE18" s="15"/>
      <c r="QGO18" s="16"/>
      <c r="QGP18" s="17"/>
      <c r="QGR18" s="18"/>
      <c r="QGS18" s="17"/>
      <c r="QGU18" s="19"/>
      <c r="QGV18" s="15"/>
      <c r="QHF18" s="16"/>
      <c r="QHG18" s="17"/>
      <c r="QHI18" s="18"/>
      <c r="QHJ18" s="17"/>
      <c r="QHL18" s="19"/>
      <c r="QHM18" s="15"/>
      <c r="QHW18" s="16"/>
      <c r="QHX18" s="17"/>
      <c r="QHZ18" s="18"/>
      <c r="QIA18" s="17"/>
      <c r="QIC18" s="19"/>
      <c r="QID18" s="15"/>
      <c r="QIN18" s="16"/>
      <c r="QIO18" s="17"/>
      <c r="QIQ18" s="18"/>
      <c r="QIR18" s="17"/>
      <c r="QIT18" s="19"/>
      <c r="QIU18" s="15"/>
      <c r="QJE18" s="16"/>
      <c r="QJF18" s="17"/>
      <c r="QJH18" s="18"/>
      <c r="QJI18" s="17"/>
      <c r="QJK18" s="19"/>
      <c r="QJL18" s="15"/>
      <c r="QJV18" s="16"/>
      <c r="QJW18" s="17"/>
      <c r="QJY18" s="18"/>
      <c r="QJZ18" s="17"/>
      <c r="QKB18" s="19"/>
      <c r="QKC18" s="15"/>
      <c r="QKM18" s="16"/>
      <c r="QKN18" s="17"/>
      <c r="QKP18" s="18"/>
      <c r="QKQ18" s="17"/>
      <c r="QKS18" s="19"/>
      <c r="QKT18" s="15"/>
      <c r="QLD18" s="16"/>
      <c r="QLE18" s="17"/>
      <c r="QLG18" s="18"/>
      <c r="QLH18" s="17"/>
      <c r="QLJ18" s="19"/>
      <c r="QLK18" s="15"/>
      <c r="QLU18" s="16"/>
      <c r="QLV18" s="17"/>
      <c r="QLX18" s="18"/>
      <c r="QLY18" s="17"/>
      <c r="QMA18" s="19"/>
      <c r="QMB18" s="15"/>
      <c r="QML18" s="16"/>
      <c r="QMM18" s="17"/>
      <c r="QMO18" s="18"/>
      <c r="QMP18" s="17"/>
      <c r="QMR18" s="19"/>
      <c r="QMS18" s="15"/>
      <c r="QNC18" s="16"/>
      <c r="QND18" s="17"/>
      <c r="QNF18" s="18"/>
      <c r="QNG18" s="17"/>
      <c r="QNI18" s="19"/>
      <c r="QNJ18" s="15"/>
      <c r="QNT18" s="16"/>
      <c r="QNU18" s="17"/>
      <c r="QNW18" s="18"/>
      <c r="QNX18" s="17"/>
      <c r="QNZ18" s="19"/>
      <c r="QOA18" s="15"/>
      <c r="QOK18" s="16"/>
      <c r="QOL18" s="17"/>
      <c r="QON18" s="18"/>
      <c r="QOO18" s="17"/>
      <c r="QOQ18" s="19"/>
      <c r="QOR18" s="15"/>
      <c r="QPB18" s="16"/>
      <c r="QPC18" s="17"/>
      <c r="QPE18" s="18"/>
      <c r="QPF18" s="17"/>
      <c r="QPH18" s="19"/>
      <c r="QPI18" s="15"/>
      <c r="QPS18" s="16"/>
      <c r="QPT18" s="17"/>
      <c r="QPV18" s="18"/>
      <c r="QPW18" s="17"/>
      <c r="QPY18" s="19"/>
      <c r="QPZ18" s="15"/>
      <c r="QQJ18" s="16"/>
      <c r="QQK18" s="17"/>
      <c r="QQM18" s="18"/>
      <c r="QQN18" s="17"/>
      <c r="QQP18" s="19"/>
      <c r="QQQ18" s="15"/>
      <c r="QRA18" s="16"/>
      <c r="QRB18" s="17"/>
      <c r="QRD18" s="18"/>
      <c r="QRE18" s="17"/>
      <c r="QRG18" s="19"/>
      <c r="QRH18" s="15"/>
      <c r="QRR18" s="16"/>
      <c r="QRS18" s="17"/>
      <c r="QRU18" s="18"/>
      <c r="QRV18" s="17"/>
      <c r="QRX18" s="19"/>
      <c r="QRY18" s="15"/>
      <c r="QSI18" s="16"/>
      <c r="QSJ18" s="17"/>
      <c r="QSL18" s="18"/>
      <c r="QSM18" s="17"/>
      <c r="QSO18" s="19"/>
      <c r="QSP18" s="15"/>
      <c r="QSZ18" s="16"/>
      <c r="QTA18" s="17"/>
      <c r="QTC18" s="18"/>
      <c r="QTD18" s="17"/>
      <c r="QTF18" s="19"/>
      <c r="QTG18" s="15"/>
      <c r="QTQ18" s="16"/>
      <c r="QTR18" s="17"/>
      <c r="QTT18" s="18"/>
      <c r="QTU18" s="17"/>
      <c r="QTW18" s="19"/>
      <c r="QTX18" s="15"/>
      <c r="QUH18" s="16"/>
      <c r="QUI18" s="17"/>
      <c r="QUK18" s="18"/>
      <c r="QUL18" s="17"/>
      <c r="QUN18" s="19"/>
      <c r="QUO18" s="15"/>
      <c r="QUY18" s="16"/>
      <c r="QUZ18" s="17"/>
      <c r="QVB18" s="18"/>
      <c r="QVC18" s="17"/>
      <c r="QVE18" s="19"/>
      <c r="QVF18" s="15"/>
      <c r="QVP18" s="16"/>
      <c r="QVQ18" s="17"/>
      <c r="QVS18" s="18"/>
      <c r="QVT18" s="17"/>
      <c r="QVV18" s="19"/>
      <c r="QVW18" s="15"/>
      <c r="QWG18" s="16"/>
      <c r="QWH18" s="17"/>
      <c r="QWJ18" s="18"/>
      <c r="QWK18" s="17"/>
      <c r="QWM18" s="19"/>
      <c r="QWN18" s="15"/>
      <c r="QWX18" s="16"/>
      <c r="QWY18" s="17"/>
      <c r="QXA18" s="18"/>
      <c r="QXB18" s="17"/>
      <c r="QXD18" s="19"/>
      <c r="QXE18" s="15"/>
      <c r="QXO18" s="16"/>
      <c r="QXP18" s="17"/>
      <c r="QXR18" s="18"/>
      <c r="QXS18" s="17"/>
      <c r="QXU18" s="19"/>
      <c r="QXV18" s="15"/>
      <c r="QYF18" s="16"/>
      <c r="QYG18" s="17"/>
      <c r="QYI18" s="18"/>
      <c r="QYJ18" s="17"/>
      <c r="QYL18" s="19"/>
      <c r="QYM18" s="15"/>
      <c r="QYW18" s="16"/>
      <c r="QYX18" s="17"/>
      <c r="QYZ18" s="18"/>
      <c r="QZA18" s="17"/>
      <c r="QZC18" s="19"/>
      <c r="QZD18" s="15"/>
      <c r="QZN18" s="16"/>
      <c r="QZO18" s="17"/>
      <c r="QZQ18" s="18"/>
      <c r="QZR18" s="17"/>
      <c r="QZT18" s="19"/>
      <c r="QZU18" s="15"/>
      <c r="RAE18" s="16"/>
      <c r="RAF18" s="17"/>
      <c r="RAH18" s="18"/>
      <c r="RAI18" s="17"/>
      <c r="RAK18" s="19"/>
      <c r="RAL18" s="15"/>
      <c r="RAV18" s="16"/>
      <c r="RAW18" s="17"/>
      <c r="RAY18" s="18"/>
      <c r="RAZ18" s="17"/>
      <c r="RBB18" s="19"/>
      <c r="RBC18" s="15"/>
      <c r="RBM18" s="16"/>
      <c r="RBN18" s="17"/>
      <c r="RBP18" s="18"/>
      <c r="RBQ18" s="17"/>
      <c r="RBS18" s="19"/>
      <c r="RBT18" s="15"/>
      <c r="RCD18" s="16"/>
      <c r="RCE18" s="17"/>
      <c r="RCG18" s="18"/>
      <c r="RCH18" s="17"/>
      <c r="RCJ18" s="19"/>
      <c r="RCK18" s="15"/>
      <c r="RCU18" s="16"/>
      <c r="RCV18" s="17"/>
      <c r="RCX18" s="18"/>
      <c r="RCY18" s="17"/>
      <c r="RDA18" s="19"/>
      <c r="RDB18" s="15"/>
      <c r="RDL18" s="16"/>
      <c r="RDM18" s="17"/>
      <c r="RDO18" s="18"/>
      <c r="RDP18" s="17"/>
      <c r="RDR18" s="19"/>
      <c r="RDS18" s="15"/>
      <c r="REC18" s="16"/>
      <c r="RED18" s="17"/>
      <c r="REF18" s="18"/>
      <c r="REG18" s="17"/>
      <c r="REI18" s="19"/>
      <c r="REJ18" s="15"/>
      <c r="RET18" s="16"/>
      <c r="REU18" s="17"/>
      <c r="REW18" s="18"/>
      <c r="REX18" s="17"/>
      <c r="REZ18" s="19"/>
      <c r="RFA18" s="15"/>
      <c r="RFK18" s="16"/>
      <c r="RFL18" s="17"/>
      <c r="RFN18" s="18"/>
      <c r="RFO18" s="17"/>
      <c r="RFQ18" s="19"/>
      <c r="RFR18" s="15"/>
      <c r="RGB18" s="16"/>
      <c r="RGC18" s="17"/>
      <c r="RGE18" s="18"/>
      <c r="RGF18" s="17"/>
      <c r="RGH18" s="19"/>
      <c r="RGI18" s="15"/>
      <c r="RGS18" s="16"/>
      <c r="RGT18" s="17"/>
      <c r="RGV18" s="18"/>
      <c r="RGW18" s="17"/>
      <c r="RGY18" s="19"/>
      <c r="RGZ18" s="15"/>
      <c r="RHJ18" s="16"/>
      <c r="RHK18" s="17"/>
      <c r="RHM18" s="18"/>
      <c r="RHN18" s="17"/>
      <c r="RHP18" s="19"/>
      <c r="RHQ18" s="15"/>
      <c r="RIA18" s="16"/>
      <c r="RIB18" s="17"/>
      <c r="RID18" s="18"/>
      <c r="RIE18" s="17"/>
      <c r="RIG18" s="19"/>
      <c r="RIH18" s="15"/>
      <c r="RIR18" s="16"/>
      <c r="RIS18" s="17"/>
      <c r="RIU18" s="18"/>
      <c r="RIV18" s="17"/>
      <c r="RIX18" s="19"/>
      <c r="RIY18" s="15"/>
      <c r="RJI18" s="16"/>
      <c r="RJJ18" s="17"/>
      <c r="RJL18" s="18"/>
      <c r="RJM18" s="17"/>
      <c r="RJO18" s="19"/>
      <c r="RJP18" s="15"/>
      <c r="RJZ18" s="16"/>
      <c r="RKA18" s="17"/>
      <c r="RKC18" s="18"/>
      <c r="RKD18" s="17"/>
      <c r="RKF18" s="19"/>
      <c r="RKG18" s="15"/>
      <c r="RKQ18" s="16"/>
      <c r="RKR18" s="17"/>
      <c r="RKT18" s="18"/>
      <c r="RKU18" s="17"/>
      <c r="RKW18" s="19"/>
      <c r="RKX18" s="15"/>
      <c r="RLH18" s="16"/>
      <c r="RLI18" s="17"/>
      <c r="RLK18" s="18"/>
      <c r="RLL18" s="17"/>
      <c r="RLN18" s="19"/>
      <c r="RLO18" s="15"/>
      <c r="RLY18" s="16"/>
      <c r="RLZ18" s="17"/>
      <c r="RMB18" s="18"/>
      <c r="RMC18" s="17"/>
      <c r="RME18" s="19"/>
      <c r="RMF18" s="15"/>
      <c r="RMP18" s="16"/>
      <c r="RMQ18" s="17"/>
      <c r="RMS18" s="18"/>
      <c r="RMT18" s="17"/>
      <c r="RMV18" s="19"/>
      <c r="RMW18" s="15"/>
      <c r="RNG18" s="16"/>
      <c r="RNH18" s="17"/>
      <c r="RNJ18" s="18"/>
      <c r="RNK18" s="17"/>
      <c r="RNM18" s="19"/>
      <c r="RNN18" s="15"/>
      <c r="RNX18" s="16"/>
      <c r="RNY18" s="17"/>
      <c r="ROA18" s="18"/>
      <c r="ROB18" s="17"/>
      <c r="ROD18" s="19"/>
      <c r="ROE18" s="15"/>
      <c r="ROO18" s="16"/>
      <c r="ROP18" s="17"/>
      <c r="ROR18" s="18"/>
      <c r="ROS18" s="17"/>
      <c r="ROU18" s="19"/>
      <c r="ROV18" s="15"/>
      <c r="RPF18" s="16"/>
      <c r="RPG18" s="17"/>
      <c r="RPI18" s="18"/>
      <c r="RPJ18" s="17"/>
      <c r="RPL18" s="19"/>
      <c r="RPM18" s="15"/>
      <c r="RPW18" s="16"/>
      <c r="RPX18" s="17"/>
      <c r="RPZ18" s="18"/>
      <c r="RQA18" s="17"/>
      <c r="RQC18" s="19"/>
      <c r="RQD18" s="15"/>
      <c r="RQN18" s="16"/>
      <c r="RQO18" s="17"/>
      <c r="RQQ18" s="18"/>
      <c r="RQR18" s="17"/>
      <c r="RQT18" s="19"/>
      <c r="RQU18" s="15"/>
      <c r="RRE18" s="16"/>
      <c r="RRF18" s="17"/>
      <c r="RRH18" s="18"/>
      <c r="RRI18" s="17"/>
      <c r="RRK18" s="19"/>
      <c r="RRL18" s="15"/>
      <c r="RRV18" s="16"/>
      <c r="RRW18" s="17"/>
      <c r="RRY18" s="18"/>
      <c r="RRZ18" s="17"/>
      <c r="RSB18" s="19"/>
      <c r="RSC18" s="15"/>
      <c r="RSM18" s="16"/>
      <c r="RSN18" s="17"/>
      <c r="RSP18" s="18"/>
      <c r="RSQ18" s="17"/>
      <c r="RSS18" s="19"/>
      <c r="RST18" s="15"/>
      <c r="RTD18" s="16"/>
      <c r="RTE18" s="17"/>
      <c r="RTG18" s="18"/>
      <c r="RTH18" s="17"/>
      <c r="RTJ18" s="19"/>
      <c r="RTK18" s="15"/>
      <c r="RTU18" s="16"/>
      <c r="RTV18" s="17"/>
      <c r="RTX18" s="18"/>
      <c r="RTY18" s="17"/>
      <c r="RUA18" s="19"/>
      <c r="RUB18" s="15"/>
      <c r="RUL18" s="16"/>
      <c r="RUM18" s="17"/>
      <c r="RUO18" s="18"/>
      <c r="RUP18" s="17"/>
      <c r="RUR18" s="19"/>
      <c r="RUS18" s="15"/>
      <c r="RVC18" s="16"/>
      <c r="RVD18" s="17"/>
      <c r="RVF18" s="18"/>
      <c r="RVG18" s="17"/>
      <c r="RVI18" s="19"/>
      <c r="RVJ18" s="15"/>
      <c r="RVT18" s="16"/>
      <c r="RVU18" s="17"/>
      <c r="RVW18" s="18"/>
      <c r="RVX18" s="17"/>
      <c r="RVZ18" s="19"/>
      <c r="RWA18" s="15"/>
      <c r="RWK18" s="16"/>
      <c r="RWL18" s="17"/>
      <c r="RWN18" s="18"/>
      <c r="RWO18" s="17"/>
      <c r="RWQ18" s="19"/>
      <c r="RWR18" s="15"/>
      <c r="RXB18" s="16"/>
      <c r="RXC18" s="17"/>
      <c r="RXE18" s="18"/>
      <c r="RXF18" s="17"/>
      <c r="RXH18" s="19"/>
      <c r="RXI18" s="15"/>
      <c r="RXS18" s="16"/>
      <c r="RXT18" s="17"/>
      <c r="RXV18" s="18"/>
      <c r="RXW18" s="17"/>
      <c r="RXY18" s="19"/>
      <c r="RXZ18" s="15"/>
      <c r="RYJ18" s="16"/>
      <c r="RYK18" s="17"/>
      <c r="RYM18" s="18"/>
      <c r="RYN18" s="17"/>
      <c r="RYP18" s="19"/>
      <c r="RYQ18" s="15"/>
      <c r="RZA18" s="16"/>
      <c r="RZB18" s="17"/>
      <c r="RZD18" s="18"/>
      <c r="RZE18" s="17"/>
      <c r="RZG18" s="19"/>
      <c r="RZH18" s="15"/>
      <c r="RZR18" s="16"/>
      <c r="RZS18" s="17"/>
      <c r="RZU18" s="18"/>
      <c r="RZV18" s="17"/>
      <c r="RZX18" s="19"/>
      <c r="RZY18" s="15"/>
      <c r="SAI18" s="16"/>
      <c r="SAJ18" s="17"/>
      <c r="SAL18" s="18"/>
      <c r="SAM18" s="17"/>
      <c r="SAO18" s="19"/>
      <c r="SAP18" s="15"/>
      <c r="SAZ18" s="16"/>
      <c r="SBA18" s="17"/>
      <c r="SBC18" s="18"/>
      <c r="SBD18" s="17"/>
      <c r="SBF18" s="19"/>
      <c r="SBG18" s="15"/>
      <c r="SBQ18" s="16"/>
      <c r="SBR18" s="17"/>
      <c r="SBT18" s="18"/>
      <c r="SBU18" s="17"/>
      <c r="SBW18" s="19"/>
      <c r="SBX18" s="15"/>
      <c r="SCH18" s="16"/>
      <c r="SCI18" s="17"/>
      <c r="SCK18" s="18"/>
      <c r="SCL18" s="17"/>
      <c r="SCN18" s="19"/>
      <c r="SCO18" s="15"/>
      <c r="SCY18" s="16"/>
      <c r="SCZ18" s="17"/>
      <c r="SDB18" s="18"/>
      <c r="SDC18" s="17"/>
      <c r="SDE18" s="19"/>
      <c r="SDF18" s="15"/>
      <c r="SDP18" s="16"/>
      <c r="SDQ18" s="17"/>
      <c r="SDS18" s="18"/>
      <c r="SDT18" s="17"/>
      <c r="SDV18" s="19"/>
      <c r="SDW18" s="15"/>
      <c r="SEG18" s="16"/>
      <c r="SEH18" s="17"/>
      <c r="SEJ18" s="18"/>
      <c r="SEK18" s="17"/>
      <c r="SEM18" s="19"/>
      <c r="SEN18" s="15"/>
      <c r="SEX18" s="16"/>
      <c r="SEY18" s="17"/>
      <c r="SFA18" s="18"/>
      <c r="SFB18" s="17"/>
      <c r="SFD18" s="19"/>
      <c r="SFE18" s="15"/>
      <c r="SFO18" s="16"/>
      <c r="SFP18" s="17"/>
      <c r="SFR18" s="18"/>
      <c r="SFS18" s="17"/>
      <c r="SFU18" s="19"/>
      <c r="SFV18" s="15"/>
      <c r="SGF18" s="16"/>
      <c r="SGG18" s="17"/>
      <c r="SGI18" s="18"/>
      <c r="SGJ18" s="17"/>
      <c r="SGL18" s="19"/>
      <c r="SGM18" s="15"/>
      <c r="SGW18" s="16"/>
      <c r="SGX18" s="17"/>
      <c r="SGZ18" s="18"/>
      <c r="SHA18" s="17"/>
      <c r="SHC18" s="19"/>
      <c r="SHD18" s="15"/>
      <c r="SHN18" s="16"/>
      <c r="SHO18" s="17"/>
      <c r="SHQ18" s="18"/>
      <c r="SHR18" s="17"/>
      <c r="SHT18" s="19"/>
      <c r="SHU18" s="15"/>
      <c r="SIE18" s="16"/>
      <c r="SIF18" s="17"/>
      <c r="SIH18" s="18"/>
      <c r="SII18" s="17"/>
      <c r="SIK18" s="19"/>
      <c r="SIL18" s="15"/>
      <c r="SIV18" s="16"/>
      <c r="SIW18" s="17"/>
      <c r="SIY18" s="18"/>
      <c r="SIZ18" s="17"/>
      <c r="SJB18" s="19"/>
      <c r="SJC18" s="15"/>
      <c r="SJM18" s="16"/>
      <c r="SJN18" s="17"/>
      <c r="SJP18" s="18"/>
      <c r="SJQ18" s="17"/>
      <c r="SJS18" s="19"/>
      <c r="SJT18" s="15"/>
      <c r="SKD18" s="16"/>
      <c r="SKE18" s="17"/>
      <c r="SKG18" s="18"/>
      <c r="SKH18" s="17"/>
      <c r="SKJ18" s="19"/>
      <c r="SKK18" s="15"/>
      <c r="SKU18" s="16"/>
      <c r="SKV18" s="17"/>
      <c r="SKX18" s="18"/>
      <c r="SKY18" s="17"/>
      <c r="SLA18" s="19"/>
      <c r="SLB18" s="15"/>
      <c r="SLL18" s="16"/>
      <c r="SLM18" s="17"/>
      <c r="SLO18" s="18"/>
      <c r="SLP18" s="17"/>
      <c r="SLR18" s="19"/>
      <c r="SLS18" s="15"/>
      <c r="SMC18" s="16"/>
      <c r="SMD18" s="17"/>
      <c r="SMF18" s="18"/>
      <c r="SMG18" s="17"/>
      <c r="SMI18" s="19"/>
      <c r="SMJ18" s="15"/>
      <c r="SMT18" s="16"/>
      <c r="SMU18" s="17"/>
      <c r="SMW18" s="18"/>
      <c r="SMX18" s="17"/>
      <c r="SMZ18" s="19"/>
      <c r="SNA18" s="15"/>
      <c r="SNK18" s="16"/>
      <c r="SNL18" s="17"/>
      <c r="SNN18" s="18"/>
      <c r="SNO18" s="17"/>
      <c r="SNQ18" s="19"/>
      <c r="SNR18" s="15"/>
      <c r="SOB18" s="16"/>
      <c r="SOC18" s="17"/>
      <c r="SOE18" s="18"/>
      <c r="SOF18" s="17"/>
      <c r="SOH18" s="19"/>
      <c r="SOI18" s="15"/>
      <c r="SOS18" s="16"/>
      <c r="SOT18" s="17"/>
      <c r="SOV18" s="18"/>
      <c r="SOW18" s="17"/>
      <c r="SOY18" s="19"/>
      <c r="SOZ18" s="15"/>
      <c r="SPJ18" s="16"/>
      <c r="SPK18" s="17"/>
      <c r="SPM18" s="18"/>
      <c r="SPN18" s="17"/>
      <c r="SPP18" s="19"/>
      <c r="SPQ18" s="15"/>
      <c r="SQA18" s="16"/>
      <c r="SQB18" s="17"/>
      <c r="SQD18" s="18"/>
      <c r="SQE18" s="17"/>
      <c r="SQG18" s="19"/>
      <c r="SQH18" s="15"/>
      <c r="SQR18" s="16"/>
      <c r="SQS18" s="17"/>
      <c r="SQU18" s="18"/>
      <c r="SQV18" s="17"/>
      <c r="SQX18" s="19"/>
      <c r="SQY18" s="15"/>
      <c r="SRI18" s="16"/>
      <c r="SRJ18" s="17"/>
      <c r="SRL18" s="18"/>
      <c r="SRM18" s="17"/>
      <c r="SRO18" s="19"/>
      <c r="SRP18" s="15"/>
      <c r="SRZ18" s="16"/>
      <c r="SSA18" s="17"/>
      <c r="SSC18" s="18"/>
      <c r="SSD18" s="17"/>
      <c r="SSF18" s="19"/>
      <c r="SSG18" s="15"/>
      <c r="SSQ18" s="16"/>
      <c r="SSR18" s="17"/>
      <c r="SST18" s="18"/>
      <c r="SSU18" s="17"/>
      <c r="SSW18" s="19"/>
      <c r="SSX18" s="15"/>
      <c r="STH18" s="16"/>
      <c r="STI18" s="17"/>
      <c r="STK18" s="18"/>
      <c r="STL18" s="17"/>
      <c r="STN18" s="19"/>
      <c r="STO18" s="15"/>
      <c r="STY18" s="16"/>
      <c r="STZ18" s="17"/>
      <c r="SUB18" s="18"/>
      <c r="SUC18" s="17"/>
      <c r="SUE18" s="19"/>
      <c r="SUF18" s="15"/>
      <c r="SUP18" s="16"/>
      <c r="SUQ18" s="17"/>
      <c r="SUS18" s="18"/>
      <c r="SUT18" s="17"/>
      <c r="SUV18" s="19"/>
      <c r="SUW18" s="15"/>
      <c r="SVG18" s="16"/>
      <c r="SVH18" s="17"/>
      <c r="SVJ18" s="18"/>
      <c r="SVK18" s="17"/>
      <c r="SVM18" s="19"/>
      <c r="SVN18" s="15"/>
      <c r="SVX18" s="16"/>
      <c r="SVY18" s="17"/>
      <c r="SWA18" s="18"/>
      <c r="SWB18" s="17"/>
      <c r="SWD18" s="19"/>
      <c r="SWE18" s="15"/>
      <c r="SWO18" s="16"/>
      <c r="SWP18" s="17"/>
      <c r="SWR18" s="18"/>
      <c r="SWS18" s="17"/>
      <c r="SWU18" s="19"/>
      <c r="SWV18" s="15"/>
      <c r="SXF18" s="16"/>
      <c r="SXG18" s="17"/>
      <c r="SXI18" s="18"/>
      <c r="SXJ18" s="17"/>
      <c r="SXL18" s="19"/>
      <c r="SXM18" s="15"/>
      <c r="SXW18" s="16"/>
      <c r="SXX18" s="17"/>
      <c r="SXZ18" s="18"/>
      <c r="SYA18" s="17"/>
      <c r="SYC18" s="19"/>
      <c r="SYD18" s="15"/>
      <c r="SYN18" s="16"/>
      <c r="SYO18" s="17"/>
      <c r="SYQ18" s="18"/>
      <c r="SYR18" s="17"/>
      <c r="SYT18" s="19"/>
      <c r="SYU18" s="15"/>
      <c r="SZE18" s="16"/>
      <c r="SZF18" s="17"/>
      <c r="SZH18" s="18"/>
      <c r="SZI18" s="17"/>
      <c r="SZK18" s="19"/>
      <c r="SZL18" s="15"/>
      <c r="SZV18" s="16"/>
      <c r="SZW18" s="17"/>
      <c r="SZY18" s="18"/>
      <c r="SZZ18" s="17"/>
      <c r="TAB18" s="19"/>
      <c r="TAC18" s="15"/>
      <c r="TAM18" s="16"/>
      <c r="TAN18" s="17"/>
      <c r="TAP18" s="18"/>
      <c r="TAQ18" s="17"/>
      <c r="TAS18" s="19"/>
      <c r="TAT18" s="15"/>
      <c r="TBD18" s="16"/>
      <c r="TBE18" s="17"/>
      <c r="TBG18" s="18"/>
      <c r="TBH18" s="17"/>
      <c r="TBJ18" s="19"/>
      <c r="TBK18" s="15"/>
      <c r="TBU18" s="16"/>
      <c r="TBV18" s="17"/>
      <c r="TBX18" s="18"/>
      <c r="TBY18" s="17"/>
      <c r="TCA18" s="19"/>
      <c r="TCB18" s="15"/>
      <c r="TCL18" s="16"/>
      <c r="TCM18" s="17"/>
      <c r="TCO18" s="18"/>
      <c r="TCP18" s="17"/>
      <c r="TCR18" s="19"/>
      <c r="TCS18" s="15"/>
      <c r="TDC18" s="16"/>
      <c r="TDD18" s="17"/>
      <c r="TDF18" s="18"/>
      <c r="TDG18" s="17"/>
      <c r="TDI18" s="19"/>
      <c r="TDJ18" s="15"/>
      <c r="TDT18" s="16"/>
      <c r="TDU18" s="17"/>
      <c r="TDW18" s="18"/>
      <c r="TDX18" s="17"/>
      <c r="TDZ18" s="19"/>
      <c r="TEA18" s="15"/>
      <c r="TEK18" s="16"/>
      <c r="TEL18" s="17"/>
      <c r="TEN18" s="18"/>
      <c r="TEO18" s="17"/>
      <c r="TEQ18" s="19"/>
      <c r="TER18" s="15"/>
      <c r="TFB18" s="16"/>
      <c r="TFC18" s="17"/>
      <c r="TFE18" s="18"/>
      <c r="TFF18" s="17"/>
      <c r="TFH18" s="19"/>
      <c r="TFI18" s="15"/>
      <c r="TFS18" s="16"/>
      <c r="TFT18" s="17"/>
      <c r="TFV18" s="18"/>
      <c r="TFW18" s="17"/>
      <c r="TFY18" s="19"/>
      <c r="TFZ18" s="15"/>
      <c r="TGJ18" s="16"/>
      <c r="TGK18" s="17"/>
      <c r="TGM18" s="18"/>
      <c r="TGN18" s="17"/>
      <c r="TGP18" s="19"/>
      <c r="TGQ18" s="15"/>
      <c r="THA18" s="16"/>
      <c r="THB18" s="17"/>
      <c r="THD18" s="18"/>
      <c r="THE18" s="17"/>
      <c r="THG18" s="19"/>
      <c r="THH18" s="15"/>
      <c r="THR18" s="16"/>
      <c r="THS18" s="17"/>
      <c r="THU18" s="18"/>
      <c r="THV18" s="17"/>
      <c r="THX18" s="19"/>
      <c r="THY18" s="15"/>
      <c r="TII18" s="16"/>
      <c r="TIJ18" s="17"/>
      <c r="TIL18" s="18"/>
      <c r="TIM18" s="17"/>
      <c r="TIO18" s="19"/>
      <c r="TIP18" s="15"/>
      <c r="TIZ18" s="16"/>
      <c r="TJA18" s="17"/>
      <c r="TJC18" s="18"/>
      <c r="TJD18" s="17"/>
      <c r="TJF18" s="19"/>
      <c r="TJG18" s="15"/>
      <c r="TJQ18" s="16"/>
      <c r="TJR18" s="17"/>
      <c r="TJT18" s="18"/>
      <c r="TJU18" s="17"/>
      <c r="TJW18" s="19"/>
      <c r="TJX18" s="15"/>
      <c r="TKH18" s="16"/>
      <c r="TKI18" s="17"/>
      <c r="TKK18" s="18"/>
      <c r="TKL18" s="17"/>
      <c r="TKN18" s="19"/>
      <c r="TKO18" s="15"/>
      <c r="TKY18" s="16"/>
      <c r="TKZ18" s="17"/>
      <c r="TLB18" s="18"/>
      <c r="TLC18" s="17"/>
      <c r="TLE18" s="19"/>
      <c r="TLF18" s="15"/>
      <c r="TLP18" s="16"/>
      <c r="TLQ18" s="17"/>
      <c r="TLS18" s="18"/>
      <c r="TLT18" s="17"/>
      <c r="TLV18" s="19"/>
      <c r="TLW18" s="15"/>
      <c r="TMG18" s="16"/>
      <c r="TMH18" s="17"/>
      <c r="TMJ18" s="18"/>
      <c r="TMK18" s="17"/>
      <c r="TMM18" s="19"/>
      <c r="TMN18" s="15"/>
      <c r="TMX18" s="16"/>
      <c r="TMY18" s="17"/>
      <c r="TNA18" s="18"/>
      <c r="TNB18" s="17"/>
      <c r="TND18" s="19"/>
      <c r="TNE18" s="15"/>
      <c r="TNO18" s="16"/>
      <c r="TNP18" s="17"/>
      <c r="TNR18" s="18"/>
      <c r="TNS18" s="17"/>
      <c r="TNU18" s="19"/>
      <c r="TNV18" s="15"/>
      <c r="TOF18" s="16"/>
      <c r="TOG18" s="17"/>
      <c r="TOI18" s="18"/>
      <c r="TOJ18" s="17"/>
      <c r="TOL18" s="19"/>
      <c r="TOM18" s="15"/>
      <c r="TOW18" s="16"/>
      <c r="TOX18" s="17"/>
      <c r="TOZ18" s="18"/>
      <c r="TPA18" s="17"/>
      <c r="TPC18" s="19"/>
      <c r="TPD18" s="15"/>
      <c r="TPN18" s="16"/>
      <c r="TPO18" s="17"/>
      <c r="TPQ18" s="18"/>
      <c r="TPR18" s="17"/>
      <c r="TPT18" s="19"/>
      <c r="TPU18" s="15"/>
      <c r="TQE18" s="16"/>
      <c r="TQF18" s="17"/>
      <c r="TQH18" s="18"/>
      <c r="TQI18" s="17"/>
      <c r="TQK18" s="19"/>
      <c r="TQL18" s="15"/>
      <c r="TQV18" s="16"/>
      <c r="TQW18" s="17"/>
      <c r="TQY18" s="18"/>
      <c r="TQZ18" s="17"/>
      <c r="TRB18" s="19"/>
      <c r="TRC18" s="15"/>
      <c r="TRM18" s="16"/>
      <c r="TRN18" s="17"/>
      <c r="TRP18" s="18"/>
      <c r="TRQ18" s="17"/>
      <c r="TRS18" s="19"/>
      <c r="TRT18" s="15"/>
      <c r="TSD18" s="16"/>
      <c r="TSE18" s="17"/>
      <c r="TSG18" s="18"/>
      <c r="TSH18" s="17"/>
      <c r="TSJ18" s="19"/>
      <c r="TSK18" s="15"/>
      <c r="TSU18" s="16"/>
      <c r="TSV18" s="17"/>
      <c r="TSX18" s="18"/>
      <c r="TSY18" s="17"/>
      <c r="TTA18" s="19"/>
      <c r="TTB18" s="15"/>
      <c r="TTL18" s="16"/>
      <c r="TTM18" s="17"/>
      <c r="TTO18" s="18"/>
      <c r="TTP18" s="17"/>
      <c r="TTR18" s="19"/>
      <c r="TTS18" s="15"/>
      <c r="TUC18" s="16"/>
      <c r="TUD18" s="17"/>
      <c r="TUF18" s="18"/>
      <c r="TUG18" s="17"/>
      <c r="TUI18" s="19"/>
      <c r="TUJ18" s="15"/>
      <c r="TUT18" s="16"/>
      <c r="TUU18" s="17"/>
      <c r="TUW18" s="18"/>
      <c r="TUX18" s="17"/>
      <c r="TUZ18" s="19"/>
      <c r="TVA18" s="15"/>
      <c r="TVK18" s="16"/>
      <c r="TVL18" s="17"/>
      <c r="TVN18" s="18"/>
      <c r="TVO18" s="17"/>
      <c r="TVQ18" s="19"/>
      <c r="TVR18" s="15"/>
      <c r="TWB18" s="16"/>
      <c r="TWC18" s="17"/>
      <c r="TWE18" s="18"/>
      <c r="TWF18" s="17"/>
      <c r="TWH18" s="19"/>
      <c r="TWI18" s="15"/>
      <c r="TWS18" s="16"/>
      <c r="TWT18" s="17"/>
      <c r="TWV18" s="18"/>
      <c r="TWW18" s="17"/>
      <c r="TWY18" s="19"/>
      <c r="TWZ18" s="15"/>
      <c r="TXJ18" s="16"/>
      <c r="TXK18" s="17"/>
      <c r="TXM18" s="18"/>
      <c r="TXN18" s="17"/>
      <c r="TXP18" s="19"/>
      <c r="TXQ18" s="15"/>
      <c r="TYA18" s="16"/>
      <c r="TYB18" s="17"/>
      <c r="TYD18" s="18"/>
      <c r="TYE18" s="17"/>
      <c r="TYG18" s="19"/>
      <c r="TYH18" s="15"/>
      <c r="TYR18" s="16"/>
      <c r="TYS18" s="17"/>
      <c r="TYU18" s="18"/>
      <c r="TYV18" s="17"/>
      <c r="TYX18" s="19"/>
      <c r="TYY18" s="15"/>
      <c r="TZI18" s="16"/>
      <c r="TZJ18" s="17"/>
      <c r="TZL18" s="18"/>
      <c r="TZM18" s="17"/>
      <c r="TZO18" s="19"/>
      <c r="TZP18" s="15"/>
      <c r="TZZ18" s="16"/>
      <c r="UAA18" s="17"/>
      <c r="UAC18" s="18"/>
      <c r="UAD18" s="17"/>
      <c r="UAF18" s="19"/>
      <c r="UAG18" s="15"/>
      <c r="UAQ18" s="16"/>
      <c r="UAR18" s="17"/>
      <c r="UAT18" s="18"/>
      <c r="UAU18" s="17"/>
      <c r="UAW18" s="19"/>
      <c r="UAX18" s="15"/>
      <c r="UBH18" s="16"/>
      <c r="UBI18" s="17"/>
      <c r="UBK18" s="18"/>
      <c r="UBL18" s="17"/>
      <c r="UBN18" s="19"/>
      <c r="UBO18" s="15"/>
      <c r="UBY18" s="16"/>
      <c r="UBZ18" s="17"/>
      <c r="UCB18" s="18"/>
      <c r="UCC18" s="17"/>
      <c r="UCE18" s="19"/>
      <c r="UCF18" s="15"/>
      <c r="UCP18" s="16"/>
      <c r="UCQ18" s="17"/>
      <c r="UCS18" s="18"/>
      <c r="UCT18" s="17"/>
      <c r="UCV18" s="19"/>
      <c r="UCW18" s="15"/>
      <c r="UDG18" s="16"/>
      <c r="UDH18" s="17"/>
      <c r="UDJ18" s="18"/>
      <c r="UDK18" s="17"/>
      <c r="UDM18" s="19"/>
      <c r="UDN18" s="15"/>
      <c r="UDX18" s="16"/>
      <c r="UDY18" s="17"/>
      <c r="UEA18" s="18"/>
      <c r="UEB18" s="17"/>
      <c r="UED18" s="19"/>
      <c r="UEE18" s="15"/>
      <c r="UEO18" s="16"/>
      <c r="UEP18" s="17"/>
      <c r="UER18" s="18"/>
      <c r="UES18" s="17"/>
      <c r="UEU18" s="19"/>
      <c r="UEV18" s="15"/>
      <c r="UFF18" s="16"/>
      <c r="UFG18" s="17"/>
      <c r="UFI18" s="18"/>
      <c r="UFJ18" s="17"/>
      <c r="UFL18" s="19"/>
      <c r="UFM18" s="15"/>
      <c r="UFW18" s="16"/>
      <c r="UFX18" s="17"/>
      <c r="UFZ18" s="18"/>
      <c r="UGA18" s="17"/>
      <c r="UGC18" s="19"/>
      <c r="UGD18" s="15"/>
      <c r="UGN18" s="16"/>
      <c r="UGO18" s="17"/>
      <c r="UGQ18" s="18"/>
      <c r="UGR18" s="17"/>
      <c r="UGT18" s="19"/>
      <c r="UGU18" s="15"/>
      <c r="UHE18" s="16"/>
      <c r="UHF18" s="17"/>
      <c r="UHH18" s="18"/>
      <c r="UHI18" s="17"/>
      <c r="UHK18" s="19"/>
      <c r="UHL18" s="15"/>
      <c r="UHV18" s="16"/>
      <c r="UHW18" s="17"/>
      <c r="UHY18" s="18"/>
      <c r="UHZ18" s="17"/>
      <c r="UIB18" s="19"/>
      <c r="UIC18" s="15"/>
      <c r="UIM18" s="16"/>
      <c r="UIN18" s="17"/>
      <c r="UIP18" s="18"/>
      <c r="UIQ18" s="17"/>
      <c r="UIS18" s="19"/>
      <c r="UIT18" s="15"/>
      <c r="UJD18" s="16"/>
      <c r="UJE18" s="17"/>
      <c r="UJG18" s="18"/>
      <c r="UJH18" s="17"/>
      <c r="UJJ18" s="19"/>
      <c r="UJK18" s="15"/>
      <c r="UJU18" s="16"/>
      <c r="UJV18" s="17"/>
      <c r="UJX18" s="18"/>
      <c r="UJY18" s="17"/>
      <c r="UKA18" s="19"/>
      <c r="UKB18" s="15"/>
      <c r="UKL18" s="16"/>
      <c r="UKM18" s="17"/>
      <c r="UKO18" s="18"/>
      <c r="UKP18" s="17"/>
      <c r="UKR18" s="19"/>
      <c r="UKS18" s="15"/>
      <c r="ULC18" s="16"/>
      <c r="ULD18" s="17"/>
      <c r="ULF18" s="18"/>
      <c r="ULG18" s="17"/>
      <c r="ULI18" s="19"/>
      <c r="ULJ18" s="15"/>
      <c r="ULT18" s="16"/>
      <c r="ULU18" s="17"/>
      <c r="ULW18" s="18"/>
      <c r="ULX18" s="17"/>
      <c r="ULZ18" s="19"/>
      <c r="UMA18" s="15"/>
      <c r="UMK18" s="16"/>
      <c r="UML18" s="17"/>
      <c r="UMN18" s="18"/>
      <c r="UMO18" s="17"/>
      <c r="UMQ18" s="19"/>
      <c r="UMR18" s="15"/>
      <c r="UNB18" s="16"/>
      <c r="UNC18" s="17"/>
      <c r="UNE18" s="18"/>
      <c r="UNF18" s="17"/>
      <c r="UNH18" s="19"/>
      <c r="UNI18" s="15"/>
      <c r="UNS18" s="16"/>
      <c r="UNT18" s="17"/>
      <c r="UNV18" s="18"/>
      <c r="UNW18" s="17"/>
      <c r="UNY18" s="19"/>
      <c r="UNZ18" s="15"/>
      <c r="UOJ18" s="16"/>
      <c r="UOK18" s="17"/>
      <c r="UOM18" s="18"/>
      <c r="UON18" s="17"/>
      <c r="UOP18" s="19"/>
      <c r="UOQ18" s="15"/>
      <c r="UPA18" s="16"/>
      <c r="UPB18" s="17"/>
      <c r="UPD18" s="18"/>
      <c r="UPE18" s="17"/>
      <c r="UPG18" s="19"/>
      <c r="UPH18" s="15"/>
      <c r="UPR18" s="16"/>
      <c r="UPS18" s="17"/>
      <c r="UPU18" s="18"/>
      <c r="UPV18" s="17"/>
      <c r="UPX18" s="19"/>
      <c r="UPY18" s="15"/>
      <c r="UQI18" s="16"/>
      <c r="UQJ18" s="17"/>
      <c r="UQL18" s="18"/>
      <c r="UQM18" s="17"/>
      <c r="UQO18" s="19"/>
      <c r="UQP18" s="15"/>
      <c r="UQZ18" s="16"/>
      <c r="URA18" s="17"/>
      <c r="URC18" s="18"/>
      <c r="URD18" s="17"/>
      <c r="URF18" s="19"/>
      <c r="URG18" s="15"/>
      <c r="URQ18" s="16"/>
      <c r="URR18" s="17"/>
      <c r="URT18" s="18"/>
      <c r="URU18" s="17"/>
      <c r="URW18" s="19"/>
      <c r="URX18" s="15"/>
      <c r="USH18" s="16"/>
      <c r="USI18" s="17"/>
      <c r="USK18" s="18"/>
      <c r="USL18" s="17"/>
      <c r="USN18" s="19"/>
      <c r="USO18" s="15"/>
      <c r="USY18" s="16"/>
      <c r="USZ18" s="17"/>
      <c r="UTB18" s="18"/>
      <c r="UTC18" s="17"/>
      <c r="UTE18" s="19"/>
      <c r="UTF18" s="15"/>
      <c r="UTP18" s="16"/>
      <c r="UTQ18" s="17"/>
      <c r="UTS18" s="18"/>
      <c r="UTT18" s="17"/>
      <c r="UTV18" s="19"/>
      <c r="UTW18" s="15"/>
      <c r="UUG18" s="16"/>
      <c r="UUH18" s="17"/>
      <c r="UUJ18" s="18"/>
      <c r="UUK18" s="17"/>
      <c r="UUM18" s="19"/>
      <c r="UUN18" s="15"/>
      <c r="UUX18" s="16"/>
      <c r="UUY18" s="17"/>
      <c r="UVA18" s="18"/>
      <c r="UVB18" s="17"/>
      <c r="UVD18" s="19"/>
      <c r="UVE18" s="15"/>
      <c r="UVO18" s="16"/>
      <c r="UVP18" s="17"/>
      <c r="UVR18" s="18"/>
      <c r="UVS18" s="17"/>
      <c r="UVU18" s="19"/>
      <c r="UVV18" s="15"/>
      <c r="UWF18" s="16"/>
      <c r="UWG18" s="17"/>
      <c r="UWI18" s="18"/>
      <c r="UWJ18" s="17"/>
      <c r="UWL18" s="19"/>
      <c r="UWM18" s="15"/>
      <c r="UWW18" s="16"/>
      <c r="UWX18" s="17"/>
      <c r="UWZ18" s="18"/>
      <c r="UXA18" s="17"/>
      <c r="UXC18" s="19"/>
      <c r="UXD18" s="15"/>
      <c r="UXN18" s="16"/>
      <c r="UXO18" s="17"/>
      <c r="UXQ18" s="18"/>
      <c r="UXR18" s="17"/>
      <c r="UXT18" s="19"/>
      <c r="UXU18" s="15"/>
      <c r="UYE18" s="16"/>
      <c r="UYF18" s="17"/>
      <c r="UYH18" s="18"/>
      <c r="UYI18" s="17"/>
      <c r="UYK18" s="19"/>
      <c r="UYL18" s="15"/>
      <c r="UYV18" s="16"/>
      <c r="UYW18" s="17"/>
      <c r="UYY18" s="18"/>
      <c r="UYZ18" s="17"/>
      <c r="UZB18" s="19"/>
      <c r="UZC18" s="15"/>
      <c r="UZM18" s="16"/>
      <c r="UZN18" s="17"/>
      <c r="UZP18" s="18"/>
      <c r="UZQ18" s="17"/>
      <c r="UZS18" s="19"/>
      <c r="UZT18" s="15"/>
      <c r="VAD18" s="16"/>
      <c r="VAE18" s="17"/>
      <c r="VAG18" s="18"/>
      <c r="VAH18" s="17"/>
      <c r="VAJ18" s="19"/>
      <c r="VAK18" s="15"/>
      <c r="VAU18" s="16"/>
      <c r="VAV18" s="17"/>
      <c r="VAX18" s="18"/>
      <c r="VAY18" s="17"/>
      <c r="VBA18" s="19"/>
      <c r="VBB18" s="15"/>
      <c r="VBL18" s="16"/>
      <c r="VBM18" s="17"/>
      <c r="VBO18" s="18"/>
      <c r="VBP18" s="17"/>
      <c r="VBR18" s="19"/>
      <c r="VBS18" s="15"/>
      <c r="VCC18" s="16"/>
      <c r="VCD18" s="17"/>
      <c r="VCF18" s="18"/>
      <c r="VCG18" s="17"/>
      <c r="VCI18" s="19"/>
      <c r="VCJ18" s="15"/>
      <c r="VCT18" s="16"/>
      <c r="VCU18" s="17"/>
      <c r="VCW18" s="18"/>
      <c r="VCX18" s="17"/>
      <c r="VCZ18" s="19"/>
      <c r="VDA18" s="15"/>
      <c r="VDK18" s="16"/>
      <c r="VDL18" s="17"/>
      <c r="VDN18" s="18"/>
      <c r="VDO18" s="17"/>
      <c r="VDQ18" s="19"/>
      <c r="VDR18" s="15"/>
      <c r="VEB18" s="16"/>
      <c r="VEC18" s="17"/>
      <c r="VEE18" s="18"/>
      <c r="VEF18" s="17"/>
      <c r="VEH18" s="19"/>
      <c r="VEI18" s="15"/>
      <c r="VES18" s="16"/>
      <c r="VET18" s="17"/>
      <c r="VEV18" s="18"/>
      <c r="VEW18" s="17"/>
      <c r="VEY18" s="19"/>
      <c r="VEZ18" s="15"/>
      <c r="VFJ18" s="16"/>
      <c r="VFK18" s="17"/>
      <c r="VFM18" s="18"/>
      <c r="VFN18" s="17"/>
      <c r="VFP18" s="19"/>
      <c r="VFQ18" s="15"/>
      <c r="VGA18" s="16"/>
      <c r="VGB18" s="17"/>
      <c r="VGD18" s="18"/>
      <c r="VGE18" s="17"/>
      <c r="VGG18" s="19"/>
      <c r="VGH18" s="15"/>
      <c r="VGR18" s="16"/>
      <c r="VGS18" s="17"/>
      <c r="VGU18" s="18"/>
      <c r="VGV18" s="17"/>
      <c r="VGX18" s="19"/>
      <c r="VGY18" s="15"/>
      <c r="VHI18" s="16"/>
      <c r="VHJ18" s="17"/>
      <c r="VHL18" s="18"/>
      <c r="VHM18" s="17"/>
      <c r="VHO18" s="19"/>
      <c r="VHP18" s="15"/>
      <c r="VHZ18" s="16"/>
      <c r="VIA18" s="17"/>
      <c r="VIC18" s="18"/>
      <c r="VID18" s="17"/>
      <c r="VIF18" s="19"/>
      <c r="VIG18" s="15"/>
      <c r="VIQ18" s="16"/>
      <c r="VIR18" s="17"/>
      <c r="VIT18" s="18"/>
      <c r="VIU18" s="17"/>
      <c r="VIW18" s="19"/>
      <c r="VIX18" s="15"/>
      <c r="VJH18" s="16"/>
      <c r="VJI18" s="17"/>
      <c r="VJK18" s="18"/>
      <c r="VJL18" s="17"/>
      <c r="VJN18" s="19"/>
      <c r="VJO18" s="15"/>
      <c r="VJY18" s="16"/>
      <c r="VJZ18" s="17"/>
      <c r="VKB18" s="18"/>
      <c r="VKC18" s="17"/>
      <c r="VKE18" s="19"/>
      <c r="VKF18" s="15"/>
      <c r="VKP18" s="16"/>
      <c r="VKQ18" s="17"/>
      <c r="VKS18" s="18"/>
      <c r="VKT18" s="17"/>
      <c r="VKV18" s="19"/>
      <c r="VKW18" s="15"/>
      <c r="VLG18" s="16"/>
      <c r="VLH18" s="17"/>
      <c r="VLJ18" s="18"/>
      <c r="VLK18" s="17"/>
      <c r="VLM18" s="19"/>
      <c r="VLN18" s="15"/>
      <c r="VLX18" s="16"/>
      <c r="VLY18" s="17"/>
      <c r="VMA18" s="18"/>
      <c r="VMB18" s="17"/>
      <c r="VMD18" s="19"/>
      <c r="VME18" s="15"/>
      <c r="VMO18" s="16"/>
      <c r="VMP18" s="17"/>
      <c r="VMR18" s="18"/>
      <c r="VMS18" s="17"/>
      <c r="VMU18" s="19"/>
      <c r="VMV18" s="15"/>
      <c r="VNF18" s="16"/>
      <c r="VNG18" s="17"/>
      <c r="VNI18" s="18"/>
      <c r="VNJ18" s="17"/>
      <c r="VNL18" s="19"/>
      <c r="VNM18" s="15"/>
      <c r="VNW18" s="16"/>
      <c r="VNX18" s="17"/>
      <c r="VNZ18" s="18"/>
      <c r="VOA18" s="17"/>
      <c r="VOC18" s="19"/>
      <c r="VOD18" s="15"/>
      <c r="VON18" s="16"/>
      <c r="VOO18" s="17"/>
      <c r="VOQ18" s="18"/>
      <c r="VOR18" s="17"/>
      <c r="VOT18" s="19"/>
      <c r="VOU18" s="15"/>
      <c r="VPE18" s="16"/>
      <c r="VPF18" s="17"/>
      <c r="VPH18" s="18"/>
      <c r="VPI18" s="17"/>
      <c r="VPK18" s="19"/>
      <c r="VPL18" s="15"/>
      <c r="VPV18" s="16"/>
      <c r="VPW18" s="17"/>
      <c r="VPY18" s="18"/>
      <c r="VPZ18" s="17"/>
      <c r="VQB18" s="19"/>
      <c r="VQC18" s="15"/>
      <c r="VQM18" s="16"/>
      <c r="VQN18" s="17"/>
      <c r="VQP18" s="18"/>
      <c r="VQQ18" s="17"/>
      <c r="VQS18" s="19"/>
      <c r="VQT18" s="15"/>
      <c r="VRD18" s="16"/>
      <c r="VRE18" s="17"/>
      <c r="VRG18" s="18"/>
      <c r="VRH18" s="17"/>
      <c r="VRJ18" s="19"/>
      <c r="VRK18" s="15"/>
      <c r="VRU18" s="16"/>
      <c r="VRV18" s="17"/>
      <c r="VRX18" s="18"/>
      <c r="VRY18" s="17"/>
      <c r="VSA18" s="19"/>
      <c r="VSB18" s="15"/>
      <c r="VSL18" s="16"/>
      <c r="VSM18" s="17"/>
      <c r="VSO18" s="18"/>
      <c r="VSP18" s="17"/>
      <c r="VSR18" s="19"/>
      <c r="VSS18" s="15"/>
      <c r="VTC18" s="16"/>
      <c r="VTD18" s="17"/>
      <c r="VTF18" s="18"/>
      <c r="VTG18" s="17"/>
      <c r="VTI18" s="19"/>
      <c r="VTJ18" s="15"/>
      <c r="VTT18" s="16"/>
      <c r="VTU18" s="17"/>
      <c r="VTW18" s="18"/>
      <c r="VTX18" s="17"/>
      <c r="VTZ18" s="19"/>
      <c r="VUA18" s="15"/>
      <c r="VUK18" s="16"/>
      <c r="VUL18" s="17"/>
      <c r="VUN18" s="18"/>
      <c r="VUO18" s="17"/>
      <c r="VUQ18" s="19"/>
      <c r="VUR18" s="15"/>
      <c r="VVB18" s="16"/>
      <c r="VVC18" s="17"/>
      <c r="VVE18" s="18"/>
      <c r="VVF18" s="17"/>
      <c r="VVH18" s="19"/>
      <c r="VVI18" s="15"/>
      <c r="VVS18" s="16"/>
      <c r="VVT18" s="17"/>
      <c r="VVV18" s="18"/>
      <c r="VVW18" s="17"/>
      <c r="VVY18" s="19"/>
      <c r="VVZ18" s="15"/>
      <c r="VWJ18" s="16"/>
      <c r="VWK18" s="17"/>
      <c r="VWM18" s="18"/>
      <c r="VWN18" s="17"/>
      <c r="VWP18" s="19"/>
      <c r="VWQ18" s="15"/>
      <c r="VXA18" s="16"/>
      <c r="VXB18" s="17"/>
      <c r="VXD18" s="18"/>
      <c r="VXE18" s="17"/>
      <c r="VXG18" s="19"/>
      <c r="VXH18" s="15"/>
      <c r="VXR18" s="16"/>
      <c r="VXS18" s="17"/>
      <c r="VXU18" s="18"/>
      <c r="VXV18" s="17"/>
      <c r="VXX18" s="19"/>
      <c r="VXY18" s="15"/>
      <c r="VYI18" s="16"/>
      <c r="VYJ18" s="17"/>
      <c r="VYL18" s="18"/>
      <c r="VYM18" s="17"/>
      <c r="VYO18" s="19"/>
      <c r="VYP18" s="15"/>
      <c r="VYZ18" s="16"/>
      <c r="VZA18" s="17"/>
      <c r="VZC18" s="18"/>
      <c r="VZD18" s="17"/>
      <c r="VZF18" s="19"/>
      <c r="VZG18" s="15"/>
      <c r="VZQ18" s="16"/>
      <c r="VZR18" s="17"/>
      <c r="VZT18" s="18"/>
      <c r="VZU18" s="17"/>
      <c r="VZW18" s="19"/>
      <c r="VZX18" s="15"/>
      <c r="WAH18" s="16"/>
      <c r="WAI18" s="17"/>
      <c r="WAK18" s="18"/>
      <c r="WAL18" s="17"/>
      <c r="WAN18" s="19"/>
      <c r="WAO18" s="15"/>
      <c r="WAY18" s="16"/>
      <c r="WAZ18" s="17"/>
      <c r="WBB18" s="18"/>
      <c r="WBC18" s="17"/>
      <c r="WBE18" s="19"/>
      <c r="WBF18" s="15"/>
      <c r="WBP18" s="16"/>
      <c r="WBQ18" s="17"/>
      <c r="WBS18" s="18"/>
      <c r="WBT18" s="17"/>
      <c r="WBV18" s="19"/>
      <c r="WBW18" s="15"/>
      <c r="WCG18" s="16"/>
      <c r="WCH18" s="17"/>
      <c r="WCJ18" s="18"/>
      <c r="WCK18" s="17"/>
      <c r="WCM18" s="19"/>
      <c r="WCN18" s="15"/>
      <c r="WCX18" s="16"/>
      <c r="WCY18" s="17"/>
      <c r="WDA18" s="18"/>
      <c r="WDB18" s="17"/>
      <c r="WDD18" s="19"/>
      <c r="WDE18" s="15"/>
      <c r="WDO18" s="16"/>
      <c r="WDP18" s="17"/>
      <c r="WDR18" s="18"/>
      <c r="WDS18" s="17"/>
      <c r="WDU18" s="19"/>
      <c r="WDV18" s="15"/>
      <c r="WEF18" s="16"/>
      <c r="WEG18" s="17"/>
      <c r="WEI18" s="18"/>
      <c r="WEJ18" s="17"/>
      <c r="WEL18" s="19"/>
      <c r="WEM18" s="15"/>
      <c r="WEW18" s="16"/>
      <c r="WEX18" s="17"/>
      <c r="WEZ18" s="18"/>
      <c r="WFA18" s="17"/>
      <c r="WFC18" s="19"/>
      <c r="WFD18" s="15"/>
      <c r="WFN18" s="16"/>
      <c r="WFO18" s="17"/>
      <c r="WFQ18" s="18"/>
      <c r="WFR18" s="17"/>
      <c r="WFT18" s="19"/>
      <c r="WFU18" s="15"/>
      <c r="WGE18" s="16"/>
      <c r="WGF18" s="17"/>
      <c r="WGH18" s="18"/>
      <c r="WGI18" s="17"/>
      <c r="WGK18" s="19"/>
      <c r="WGL18" s="15"/>
      <c r="WGV18" s="16"/>
      <c r="WGW18" s="17"/>
      <c r="WGY18" s="18"/>
      <c r="WGZ18" s="17"/>
      <c r="WHB18" s="19"/>
      <c r="WHC18" s="15"/>
      <c r="WHM18" s="16"/>
      <c r="WHN18" s="17"/>
      <c r="WHP18" s="18"/>
      <c r="WHQ18" s="17"/>
      <c r="WHS18" s="19"/>
      <c r="WHT18" s="15"/>
      <c r="WID18" s="16"/>
      <c r="WIE18" s="17"/>
      <c r="WIG18" s="18"/>
      <c r="WIH18" s="17"/>
      <c r="WIJ18" s="19"/>
      <c r="WIK18" s="15"/>
      <c r="WIU18" s="16"/>
      <c r="WIV18" s="17"/>
      <c r="WIX18" s="18"/>
      <c r="WIY18" s="17"/>
      <c r="WJA18" s="19"/>
      <c r="WJB18" s="15"/>
      <c r="WJL18" s="16"/>
      <c r="WJM18" s="17"/>
      <c r="WJO18" s="18"/>
      <c r="WJP18" s="17"/>
      <c r="WJR18" s="19"/>
      <c r="WJS18" s="15"/>
      <c r="WKC18" s="16"/>
      <c r="WKD18" s="17"/>
      <c r="WKF18" s="18"/>
      <c r="WKG18" s="17"/>
      <c r="WKI18" s="19"/>
      <c r="WKJ18" s="15"/>
      <c r="WKT18" s="16"/>
      <c r="WKU18" s="17"/>
      <c r="WKW18" s="18"/>
      <c r="WKX18" s="17"/>
      <c r="WKZ18" s="19"/>
      <c r="WLA18" s="15"/>
      <c r="WLK18" s="16"/>
      <c r="WLL18" s="17"/>
      <c r="WLN18" s="18"/>
      <c r="WLO18" s="17"/>
      <c r="WLQ18" s="19"/>
      <c r="WLR18" s="15"/>
      <c r="WMB18" s="16"/>
      <c r="WMC18" s="17"/>
      <c r="WME18" s="18"/>
      <c r="WMF18" s="17"/>
      <c r="WMH18" s="19"/>
      <c r="WMI18" s="15"/>
      <c r="WMS18" s="16"/>
      <c r="WMT18" s="17"/>
      <c r="WMV18" s="18"/>
      <c r="WMW18" s="17"/>
      <c r="WMY18" s="19"/>
      <c r="WMZ18" s="15"/>
      <c r="WNJ18" s="16"/>
      <c r="WNK18" s="17"/>
      <c r="WNM18" s="18"/>
      <c r="WNN18" s="17"/>
      <c r="WNP18" s="19"/>
      <c r="WNQ18" s="15"/>
      <c r="WOA18" s="16"/>
      <c r="WOB18" s="17"/>
      <c r="WOD18" s="18"/>
      <c r="WOE18" s="17"/>
      <c r="WOG18" s="19"/>
      <c r="WOH18" s="15"/>
      <c r="WOR18" s="16"/>
      <c r="WOS18" s="17"/>
      <c r="WOU18" s="18"/>
      <c r="WOV18" s="17"/>
      <c r="WOX18" s="19"/>
      <c r="WOY18" s="15"/>
      <c r="WPI18" s="16"/>
      <c r="WPJ18" s="17"/>
      <c r="WPL18" s="18"/>
      <c r="WPM18" s="17"/>
      <c r="WPO18" s="19"/>
      <c r="WPP18" s="15"/>
      <c r="WPZ18" s="16"/>
      <c r="WQA18" s="17"/>
      <c r="WQC18" s="18"/>
      <c r="WQD18" s="17"/>
      <c r="WQF18" s="19"/>
      <c r="WQG18" s="15"/>
      <c r="WQQ18" s="16"/>
      <c r="WQR18" s="17"/>
      <c r="WQT18" s="18"/>
      <c r="WQU18" s="17"/>
      <c r="WQW18" s="19"/>
      <c r="WQX18" s="15"/>
      <c r="WRH18" s="16"/>
      <c r="WRI18" s="17"/>
      <c r="WRK18" s="18"/>
      <c r="WRL18" s="17"/>
      <c r="WRN18" s="19"/>
      <c r="WRO18" s="15"/>
      <c r="WRY18" s="16"/>
      <c r="WRZ18" s="17"/>
      <c r="WSB18" s="18"/>
      <c r="WSC18" s="17"/>
      <c r="WSE18" s="19"/>
      <c r="WSF18" s="15"/>
      <c r="WSP18" s="16"/>
      <c r="WSQ18" s="17"/>
      <c r="WSS18" s="18"/>
      <c r="WST18" s="17"/>
      <c r="WSV18" s="19"/>
      <c r="WSW18" s="15"/>
      <c r="WTG18" s="16"/>
      <c r="WTH18" s="17"/>
      <c r="WTJ18" s="18"/>
      <c r="WTK18" s="17"/>
      <c r="WTM18" s="19"/>
      <c r="WTN18" s="15"/>
      <c r="WTX18" s="16"/>
      <c r="WTY18" s="17"/>
      <c r="WUA18" s="18"/>
      <c r="WUB18" s="17"/>
      <c r="WUD18" s="19"/>
      <c r="WUE18" s="15"/>
      <c r="WUO18" s="16"/>
      <c r="WUP18" s="17"/>
      <c r="WUR18" s="18"/>
      <c r="WUS18" s="17"/>
      <c r="WUU18" s="19"/>
      <c r="WUV18" s="15"/>
      <c r="WVF18" s="16"/>
      <c r="WVG18" s="17"/>
      <c r="WVI18" s="18"/>
      <c r="WVJ18" s="17"/>
      <c r="WVL18" s="19"/>
      <c r="WVM18" s="15"/>
      <c r="WVW18" s="16"/>
      <c r="WVX18" s="17"/>
      <c r="WVZ18" s="18"/>
      <c r="WWA18" s="17"/>
      <c r="WWC18" s="19"/>
      <c r="WWD18" s="15"/>
      <c r="WWN18" s="16"/>
      <c r="WWO18" s="17"/>
      <c r="WWQ18" s="18"/>
      <c r="WWR18" s="17"/>
      <c r="WWT18" s="19"/>
      <c r="WWU18" s="15"/>
      <c r="WXE18" s="16"/>
      <c r="WXF18" s="17"/>
      <c r="WXH18" s="18"/>
      <c r="WXI18" s="17"/>
      <c r="WXK18" s="19"/>
      <c r="WXL18" s="15"/>
      <c r="WXV18" s="16"/>
      <c r="WXW18" s="17"/>
      <c r="WXY18" s="18"/>
      <c r="WXZ18" s="17"/>
      <c r="WYB18" s="19"/>
      <c r="WYC18" s="15"/>
      <c r="WYM18" s="16"/>
      <c r="WYN18" s="17"/>
      <c r="WYP18" s="18"/>
      <c r="WYQ18" s="17"/>
      <c r="WYS18" s="19"/>
      <c r="WYT18" s="15"/>
      <c r="WZD18" s="16"/>
      <c r="WZE18" s="17"/>
      <c r="WZG18" s="18"/>
      <c r="WZH18" s="17"/>
      <c r="WZJ18" s="19"/>
      <c r="WZK18" s="15"/>
      <c r="WZU18" s="16"/>
      <c r="WZV18" s="17"/>
      <c r="WZX18" s="18"/>
      <c r="WZY18" s="17"/>
      <c r="XAA18" s="19"/>
      <c r="XAB18" s="15"/>
      <c r="XAL18" s="16"/>
      <c r="XAM18" s="17"/>
      <c r="XAO18" s="18"/>
      <c r="XAP18" s="17"/>
      <c r="XAR18" s="19"/>
      <c r="XAS18" s="15"/>
      <c r="XBC18" s="16"/>
      <c r="XBD18" s="17"/>
      <c r="XBF18" s="18"/>
      <c r="XBG18" s="17"/>
      <c r="XBI18" s="19"/>
      <c r="XBJ18" s="15"/>
      <c r="XBT18" s="16"/>
      <c r="XBU18" s="17"/>
      <c r="XBW18" s="18"/>
      <c r="XBX18" s="17"/>
      <c r="XBZ18" s="19"/>
      <c r="XCA18" s="15"/>
      <c r="XCK18" s="16"/>
      <c r="XCL18" s="17"/>
      <c r="XCN18" s="18"/>
      <c r="XCO18" s="17"/>
      <c r="XCQ18" s="19"/>
      <c r="XCR18" s="15"/>
      <c r="XDB18" s="16"/>
      <c r="XDC18" s="17"/>
      <c r="XDE18" s="18"/>
      <c r="XDF18" s="17"/>
      <c r="XDH18" s="19"/>
      <c r="XDI18" s="15"/>
      <c r="XDS18" s="16"/>
      <c r="XDT18" s="17"/>
      <c r="XDV18" s="18"/>
      <c r="XDW18" s="17"/>
      <c r="XDY18" s="19"/>
      <c r="XDZ18" s="15"/>
      <c r="XEJ18" s="16"/>
      <c r="XEK18" s="17"/>
      <c r="XEM18" s="18"/>
      <c r="XEN18" s="17"/>
      <c r="XEP18" s="19"/>
      <c r="XEQ18" s="15"/>
      <c r="XFA18" s="16"/>
      <c r="XFB18" s="17"/>
    </row>
    <row r="19" spans="1:1020 1030:2040 2050:3071 3073:5117 5127:6137 6147:7168 7170:8191 8193:9214 9224:10234 10244:12288 12290:13311 13321:14331 14341:15351 15361:16382" x14ac:dyDescent="0.25">
      <c r="A19" s="48">
        <v>6</v>
      </c>
      <c r="B19" s="51">
        <v>44286</v>
      </c>
      <c r="C19" s="54" t="s">
        <v>94</v>
      </c>
      <c r="D19" s="2" t="s">
        <v>15</v>
      </c>
      <c r="E19" s="2" t="s">
        <v>32</v>
      </c>
      <c r="F19" s="51"/>
      <c r="G19" s="2"/>
      <c r="H19" s="61"/>
      <c r="I19" s="61"/>
      <c r="J19" s="61"/>
      <c r="K19" s="61"/>
      <c r="L19" s="51"/>
      <c r="M19" s="50" t="s">
        <v>34</v>
      </c>
      <c r="N19" s="2" t="s">
        <v>55</v>
      </c>
      <c r="O19" s="1" t="s">
        <v>37</v>
      </c>
      <c r="P19" s="50">
        <v>20003</v>
      </c>
      <c r="Q19" s="2" t="s">
        <v>56</v>
      </c>
      <c r="R19" s="46" t="s">
        <v>46</v>
      </c>
      <c r="S19" s="39" t="s">
        <v>129</v>
      </c>
      <c r="T19" s="124" t="s">
        <v>245</v>
      </c>
    </row>
    <row r="20" spans="1:1020 1030:2040 2050:3071 3073:5117 5127:6137 6147:7168 7170:8191 8193:9214 9224:10234 10244:12288 12290:13311 13321:14331 14341:15351 15361:16382" x14ac:dyDescent="0.25">
      <c r="A20" s="48"/>
      <c r="B20" s="51">
        <v>44293</v>
      </c>
      <c r="C20" s="77" t="s">
        <v>97</v>
      </c>
      <c r="D20" s="2" t="s">
        <v>16</v>
      </c>
      <c r="E20" s="2" t="s">
        <v>43</v>
      </c>
      <c r="F20" s="51"/>
      <c r="G20" s="2"/>
      <c r="H20" s="61"/>
      <c r="I20" s="61"/>
      <c r="J20" s="61"/>
      <c r="K20" s="61"/>
      <c r="L20" s="120">
        <v>44680</v>
      </c>
      <c r="M20" s="121" t="s">
        <v>215</v>
      </c>
      <c r="N20" s="2" t="s">
        <v>231</v>
      </c>
      <c r="O20" s="1" t="s">
        <v>37</v>
      </c>
      <c r="P20" s="50">
        <v>20003</v>
      </c>
      <c r="Q20" s="2" t="s">
        <v>13</v>
      </c>
      <c r="R20" s="26" t="s">
        <v>30</v>
      </c>
      <c r="S20" s="39" t="s">
        <v>143</v>
      </c>
      <c r="T20" s="124" t="s">
        <v>243</v>
      </c>
    </row>
    <row r="21" spans="1:1020 1030:2040 2050:3071 3073:5117 5127:6137 6147:7168 7170:8191 8193:9214 9224:10234 10244:12288 12290:13311 13321:14331 14341:15351 15361:16382" x14ac:dyDescent="0.25">
      <c r="A21" s="48">
        <v>7</v>
      </c>
      <c r="B21" s="51">
        <v>44322</v>
      </c>
      <c r="C21" s="62" t="s">
        <v>105</v>
      </c>
      <c r="D21" s="2" t="s">
        <v>16</v>
      </c>
      <c r="E21" s="2" t="s">
        <v>43</v>
      </c>
      <c r="F21" s="51">
        <v>44463</v>
      </c>
      <c r="G21" s="2" t="s">
        <v>124</v>
      </c>
      <c r="H21" s="61"/>
      <c r="I21" s="61"/>
      <c r="J21" s="61"/>
      <c r="K21" s="61"/>
      <c r="L21" s="51"/>
      <c r="M21" s="50" t="s">
        <v>34</v>
      </c>
      <c r="N21" s="2" t="s">
        <v>106</v>
      </c>
      <c r="O21" s="1" t="s">
        <v>37</v>
      </c>
      <c r="P21" s="50">
        <v>20003</v>
      </c>
      <c r="Q21" s="2" t="s">
        <v>13</v>
      </c>
      <c r="R21" s="26" t="s">
        <v>30</v>
      </c>
      <c r="S21" s="39" t="s">
        <v>107</v>
      </c>
      <c r="T21" s="124" t="s">
        <v>243</v>
      </c>
    </row>
    <row r="22" spans="1:1020 1030:2040 2050:3071 3073:5117 5127:6137 6147:7168 7170:8191 8193:9214 9224:10234 10244:12288 12290:13311 13321:14331 14341:15351 15361:16382" x14ac:dyDescent="0.25">
      <c r="A22" s="48">
        <v>8</v>
      </c>
      <c r="B22" s="51">
        <v>44323</v>
      </c>
      <c r="C22" s="63" t="s">
        <v>110</v>
      </c>
      <c r="D22" s="2" t="s">
        <v>109</v>
      </c>
      <c r="E22" s="2" t="s">
        <v>43</v>
      </c>
      <c r="F22" s="51"/>
      <c r="G22" s="2"/>
      <c r="H22" s="61"/>
      <c r="I22" s="61"/>
      <c r="J22" s="61"/>
      <c r="K22" s="61"/>
      <c r="L22" s="51"/>
      <c r="M22" s="50" t="s">
        <v>34</v>
      </c>
      <c r="N22" s="2" t="s">
        <v>108</v>
      </c>
      <c r="O22" s="1" t="s">
        <v>35</v>
      </c>
      <c r="P22" s="50">
        <v>19011</v>
      </c>
      <c r="Q22" s="2" t="s">
        <v>13</v>
      </c>
      <c r="R22" s="29" t="s">
        <v>264</v>
      </c>
      <c r="S22" s="39"/>
      <c r="T22" s="124" t="s">
        <v>244</v>
      </c>
    </row>
    <row r="23" spans="1:1020 1030:2040 2050:3071 3073:5117 5127:6137 6147:7168 7170:8191 8193:9214 9224:10234 10244:12288 12290:13311 13321:14331 14341:15351 15361:16382" x14ac:dyDescent="0.25">
      <c r="A23" s="48">
        <v>9</v>
      </c>
      <c r="B23" s="51">
        <v>44332</v>
      </c>
      <c r="C23" s="52" t="s">
        <v>111</v>
      </c>
      <c r="D23" s="2" t="s">
        <v>86</v>
      </c>
      <c r="E23" s="2" t="s">
        <v>29</v>
      </c>
      <c r="F23" s="51"/>
      <c r="G23" s="2"/>
      <c r="H23" s="61"/>
      <c r="I23" s="61"/>
      <c r="J23" s="61"/>
      <c r="K23" s="61"/>
      <c r="L23" s="51"/>
      <c r="M23" s="50" t="s">
        <v>34</v>
      </c>
      <c r="N23" s="2" t="s">
        <v>101</v>
      </c>
      <c r="O23" s="1" t="s">
        <v>31</v>
      </c>
      <c r="P23" s="50">
        <v>20013</v>
      </c>
      <c r="Q23" s="2" t="s">
        <v>13</v>
      </c>
      <c r="R23" s="32" t="s">
        <v>38</v>
      </c>
      <c r="S23" s="39"/>
      <c r="T23" s="124"/>
    </row>
    <row r="24" spans="1:1020 1030:2040 2050:3071 3073:5117 5127:6137 6147:7168 7170:8191 8193:9214 9224:10234 10244:12288 12290:13311 13321:14331 14341:15351 15361:16382" x14ac:dyDescent="0.25">
      <c r="A24" s="48">
        <v>11</v>
      </c>
      <c r="B24" s="51">
        <v>44340</v>
      </c>
      <c r="C24" s="62" t="s">
        <v>112</v>
      </c>
      <c r="D24" s="2" t="s">
        <v>33</v>
      </c>
      <c r="E24" s="2" t="s">
        <v>43</v>
      </c>
      <c r="F24" s="51">
        <v>44552</v>
      </c>
      <c r="G24" s="2" t="s">
        <v>130</v>
      </c>
      <c r="H24" s="61"/>
      <c r="I24" s="61"/>
      <c r="J24" s="61"/>
      <c r="K24" s="61"/>
      <c r="L24" s="51"/>
      <c r="M24" s="50" t="s">
        <v>34</v>
      </c>
      <c r="N24" s="2" t="s">
        <v>231</v>
      </c>
      <c r="O24" s="1" t="s">
        <v>37</v>
      </c>
      <c r="P24" s="50">
        <v>20003</v>
      </c>
      <c r="Q24" s="2" t="s">
        <v>13</v>
      </c>
      <c r="R24" s="26" t="s">
        <v>30</v>
      </c>
      <c r="S24" s="39" t="s">
        <v>233</v>
      </c>
      <c r="T24" s="124" t="s">
        <v>243</v>
      </c>
    </row>
    <row r="25" spans="1:1020 1030:2040 2050:3071 3073:5117 5127:6137 6147:7168 7170:8191 8193:9214 9224:10234 10244:12288 12290:13311 13321:14331 14341:15351 15361:16382" x14ac:dyDescent="0.25">
      <c r="A25" s="48">
        <v>12</v>
      </c>
      <c r="B25" s="51">
        <v>44344</v>
      </c>
      <c r="C25" s="64" t="s">
        <v>114</v>
      </c>
      <c r="D25" s="2" t="s">
        <v>61</v>
      </c>
      <c r="E25" s="2" t="s">
        <v>43</v>
      </c>
      <c r="F25" s="51"/>
      <c r="G25" s="2"/>
      <c r="H25" s="61"/>
      <c r="I25" s="61"/>
      <c r="J25" s="61"/>
      <c r="K25" s="61"/>
      <c r="L25" s="51"/>
      <c r="M25" s="50" t="s">
        <v>34</v>
      </c>
      <c r="N25" s="2" t="s">
        <v>232</v>
      </c>
      <c r="O25" s="1" t="s">
        <v>37</v>
      </c>
      <c r="P25" s="50">
        <v>20003</v>
      </c>
      <c r="Q25" s="2" t="s">
        <v>56</v>
      </c>
      <c r="R25" s="24" t="s">
        <v>117</v>
      </c>
      <c r="S25" s="39" t="s">
        <v>234</v>
      </c>
      <c r="T25" s="124" t="s">
        <v>245</v>
      </c>
    </row>
    <row r="26" spans="1:1020 1030:2040 2050:3071 3073:5117 5127:6137 6147:7168 7170:8191 8193:9214 9224:10234 10244:12288 12290:13311 13321:14331 14341:15351 15361:16382" x14ac:dyDescent="0.25">
      <c r="A26" s="48">
        <v>13</v>
      </c>
      <c r="B26" s="51">
        <v>44344</v>
      </c>
      <c r="C26" s="64" t="s">
        <v>115</v>
      </c>
      <c r="D26" s="2" t="s">
        <v>61</v>
      </c>
      <c r="E26" s="2" t="s">
        <v>43</v>
      </c>
      <c r="F26" s="51"/>
      <c r="G26" s="2"/>
      <c r="H26" s="61"/>
      <c r="I26" s="61"/>
      <c r="J26" s="61"/>
      <c r="K26" s="61"/>
      <c r="L26" s="51"/>
      <c r="M26" s="50" t="s">
        <v>34</v>
      </c>
      <c r="N26" s="2" t="s">
        <v>47</v>
      </c>
      <c r="O26" s="1" t="s">
        <v>37</v>
      </c>
      <c r="P26" s="50">
        <v>20003</v>
      </c>
      <c r="Q26" s="2" t="s">
        <v>56</v>
      </c>
      <c r="R26" s="24" t="s">
        <v>117</v>
      </c>
      <c r="S26" s="39"/>
      <c r="T26" s="124" t="s">
        <v>245</v>
      </c>
    </row>
    <row r="27" spans="1:1020 1030:2040 2050:3071 3073:5117 5127:6137 6147:7168 7170:8191 8193:9214 9224:10234 10244:12288 12290:13311 13321:14331 14341:15351 15361:16382" x14ac:dyDescent="0.25">
      <c r="A27" s="48">
        <v>14</v>
      </c>
      <c r="B27" s="51">
        <v>44345</v>
      </c>
      <c r="C27" s="64" t="s">
        <v>116</v>
      </c>
      <c r="D27" s="2" t="s">
        <v>61</v>
      </c>
      <c r="E27" s="2" t="s">
        <v>43</v>
      </c>
      <c r="F27" s="51"/>
      <c r="G27" s="2"/>
      <c r="H27" s="61"/>
      <c r="I27" s="61"/>
      <c r="J27" s="61"/>
      <c r="K27" s="61"/>
      <c r="L27" s="51"/>
      <c r="M27" s="50" t="s">
        <v>34</v>
      </c>
      <c r="N27" s="2" t="s">
        <v>36</v>
      </c>
      <c r="O27" s="1" t="s">
        <v>37</v>
      </c>
      <c r="P27" s="50">
        <v>20003</v>
      </c>
      <c r="Q27" s="2" t="s">
        <v>56</v>
      </c>
      <c r="R27" s="24" t="s">
        <v>117</v>
      </c>
      <c r="S27" s="39"/>
      <c r="T27" s="124" t="s">
        <v>245</v>
      </c>
    </row>
    <row r="28" spans="1:1020 1030:2040 2050:3071 3073:5117 5127:6137 6147:7168 7170:8191 8193:9214 9224:10234 10244:12288 12290:13311 13321:14331 14341:15351 15361:16382" x14ac:dyDescent="0.25">
      <c r="A28" s="48">
        <v>15</v>
      </c>
      <c r="B28" s="51">
        <v>44345</v>
      </c>
      <c r="C28" s="64" t="s">
        <v>118</v>
      </c>
      <c r="D28" s="2" t="s">
        <v>61</v>
      </c>
      <c r="E28" s="2" t="s">
        <v>43</v>
      </c>
      <c r="F28" s="51"/>
      <c r="G28" s="2"/>
      <c r="H28" s="61"/>
      <c r="I28" s="61"/>
      <c r="J28" s="61"/>
      <c r="K28" s="61"/>
      <c r="L28" s="51"/>
      <c r="M28" s="50" t="s">
        <v>34</v>
      </c>
      <c r="N28" s="2" t="s">
        <v>191</v>
      </c>
      <c r="O28" s="1" t="s">
        <v>37</v>
      </c>
      <c r="P28" s="50">
        <v>20003</v>
      </c>
      <c r="Q28" s="2" t="s">
        <v>56</v>
      </c>
      <c r="R28" s="24" t="s">
        <v>117</v>
      </c>
      <c r="S28" s="39"/>
      <c r="T28" s="124" t="s">
        <v>245</v>
      </c>
    </row>
    <row r="29" spans="1:1020 1030:2040 2050:3071 3073:5117 5127:6137 6147:7168 7170:8191 8193:9214 9224:10234 10244:12288 12290:13311 13321:14331 14341:15351 15361:16382" x14ac:dyDescent="0.25">
      <c r="A29" s="48">
        <v>16</v>
      </c>
      <c r="B29" s="51">
        <v>44345</v>
      </c>
      <c r="C29" s="64" t="s">
        <v>119</v>
      </c>
      <c r="D29" s="2" t="s">
        <v>61</v>
      </c>
      <c r="E29" s="2" t="s">
        <v>43</v>
      </c>
      <c r="F29" s="51"/>
      <c r="G29" s="2"/>
      <c r="H29" s="61"/>
      <c r="I29" s="61"/>
      <c r="J29" s="61"/>
      <c r="K29" s="61"/>
      <c r="L29" s="51"/>
      <c r="M29" s="50" t="s">
        <v>34</v>
      </c>
      <c r="N29" s="2" t="s">
        <v>57</v>
      </c>
      <c r="O29" s="1" t="s">
        <v>37</v>
      </c>
      <c r="P29" s="50">
        <v>20003</v>
      </c>
      <c r="Q29" s="2" t="s">
        <v>56</v>
      </c>
      <c r="R29" s="24" t="s">
        <v>117</v>
      </c>
      <c r="S29" s="39"/>
      <c r="T29" s="124" t="s">
        <v>245</v>
      </c>
    </row>
    <row r="30" spans="1:1020 1030:2040 2050:3071 3073:5117 5127:6137 6147:7168 7170:8191 8193:9214 9224:10234 10244:12288 12290:13311 13321:14331 14341:15351 15361:16382" x14ac:dyDescent="0.25">
      <c r="A30" s="48">
        <v>17</v>
      </c>
      <c r="B30" s="73">
        <v>44506</v>
      </c>
      <c r="C30" s="78" t="s">
        <v>126</v>
      </c>
      <c r="D30" s="2" t="s">
        <v>5</v>
      </c>
      <c r="E30" s="2" t="s">
        <v>32</v>
      </c>
      <c r="F30" s="73"/>
      <c r="G30" s="74"/>
      <c r="H30" s="61"/>
      <c r="I30" s="61"/>
      <c r="J30" s="51"/>
      <c r="K30" s="61"/>
      <c r="L30" s="73"/>
      <c r="M30" s="50" t="s">
        <v>34</v>
      </c>
      <c r="N30" s="2" t="s">
        <v>54</v>
      </c>
      <c r="O30" s="1" t="s">
        <v>37</v>
      </c>
      <c r="P30" s="75">
        <v>20003</v>
      </c>
      <c r="Q30" s="2" t="s">
        <v>13</v>
      </c>
      <c r="R30" s="36" t="s">
        <v>65</v>
      </c>
      <c r="S30" s="39" t="s">
        <v>125</v>
      </c>
      <c r="T30" s="124"/>
    </row>
    <row r="31" spans="1:1020 1030:2040 2050:3071 3073:5117 5127:6137 6147:7168 7170:8191 8193:9214 9224:10234 10244:12288 12290:13311 13321:14331 14341:15351 15361:16382" x14ac:dyDescent="0.25">
      <c r="A31" s="48">
        <v>18</v>
      </c>
      <c r="B31" s="79">
        <v>44568</v>
      </c>
      <c r="C31" s="84" t="s">
        <v>132</v>
      </c>
      <c r="D31" s="2" t="s">
        <v>9</v>
      </c>
      <c r="E31" s="2" t="s">
        <v>29</v>
      </c>
      <c r="F31" s="79">
        <v>44575</v>
      </c>
      <c r="G31" s="2" t="s">
        <v>140</v>
      </c>
      <c r="H31" s="61"/>
      <c r="I31" s="61"/>
      <c r="J31" s="51"/>
      <c r="K31" s="61"/>
      <c r="L31" s="79"/>
      <c r="M31" s="50" t="s">
        <v>34</v>
      </c>
      <c r="N31" s="2" t="s">
        <v>137</v>
      </c>
      <c r="O31" s="2" t="s">
        <v>133</v>
      </c>
      <c r="P31" s="81">
        <v>21029</v>
      </c>
      <c r="Q31" s="2" t="s">
        <v>13</v>
      </c>
      <c r="R31" s="85" t="s">
        <v>135</v>
      </c>
      <c r="S31" s="82"/>
      <c r="T31" s="124"/>
    </row>
    <row r="32" spans="1:1020 1030:2040 2050:3071 3073:5117 5127:6137 6147:7168 7170:8191 8193:9214 9224:10234 10244:12288 12290:13311 13321:14331 14341:15351 15361:16382" x14ac:dyDescent="0.25">
      <c r="A32" s="48">
        <v>19</v>
      </c>
      <c r="B32" s="79">
        <v>44568</v>
      </c>
      <c r="C32" s="84" t="s">
        <v>136</v>
      </c>
      <c r="D32" s="2" t="s">
        <v>9</v>
      </c>
      <c r="E32" s="2" t="s">
        <v>29</v>
      </c>
      <c r="F32" s="79">
        <v>44575</v>
      </c>
      <c r="G32" s="2" t="s">
        <v>141</v>
      </c>
      <c r="H32" s="61"/>
      <c r="I32" s="61"/>
      <c r="J32" s="51"/>
      <c r="K32" s="61"/>
      <c r="L32" s="79"/>
      <c r="M32" s="50" t="s">
        <v>34</v>
      </c>
      <c r="N32" s="2" t="s">
        <v>138</v>
      </c>
      <c r="O32" s="2" t="s">
        <v>133</v>
      </c>
      <c r="P32" s="81">
        <v>21029</v>
      </c>
      <c r="Q32" s="2" t="s">
        <v>13</v>
      </c>
      <c r="R32" s="85" t="s">
        <v>135</v>
      </c>
      <c r="S32" s="82"/>
      <c r="T32" s="124"/>
    </row>
    <row r="33" spans="1:20" x14ac:dyDescent="0.25">
      <c r="A33" s="48">
        <v>20</v>
      </c>
      <c r="B33" s="79">
        <v>44573</v>
      </c>
      <c r="C33" s="84" t="s">
        <v>134</v>
      </c>
      <c r="D33" s="2" t="s">
        <v>7</v>
      </c>
      <c r="E33" s="2" t="s">
        <v>29</v>
      </c>
      <c r="F33" s="79">
        <v>44582</v>
      </c>
      <c r="G33" s="2" t="s">
        <v>147</v>
      </c>
      <c r="H33" s="51">
        <v>44583</v>
      </c>
      <c r="I33" s="2" t="s">
        <v>146</v>
      </c>
      <c r="J33" s="51"/>
      <c r="K33" s="61"/>
      <c r="L33" s="79"/>
      <c r="M33" s="50" t="s">
        <v>34</v>
      </c>
      <c r="N33" s="56" t="s">
        <v>139</v>
      </c>
      <c r="O33" s="2" t="s">
        <v>133</v>
      </c>
      <c r="P33" s="81">
        <v>21029</v>
      </c>
      <c r="Q33" s="2" t="s">
        <v>13</v>
      </c>
      <c r="R33" s="85" t="s">
        <v>135</v>
      </c>
      <c r="S33" s="82"/>
      <c r="T33" s="124"/>
    </row>
    <row r="34" spans="1:20" x14ac:dyDescent="0.25">
      <c r="A34" s="48">
        <v>21</v>
      </c>
      <c r="B34" s="79">
        <v>44578</v>
      </c>
      <c r="C34" s="84" t="s">
        <v>144</v>
      </c>
      <c r="D34" s="2" t="s">
        <v>51</v>
      </c>
      <c r="E34" s="2" t="s">
        <v>29</v>
      </c>
      <c r="F34" s="79"/>
      <c r="G34" s="80"/>
      <c r="H34" s="61"/>
      <c r="I34" s="61"/>
      <c r="J34" s="51"/>
      <c r="K34" s="61"/>
      <c r="L34" s="79"/>
      <c r="M34" s="50" t="s">
        <v>34</v>
      </c>
      <c r="N34" s="56" t="s">
        <v>145</v>
      </c>
      <c r="O34" s="2" t="s">
        <v>133</v>
      </c>
      <c r="P34" s="81">
        <v>21029</v>
      </c>
      <c r="Q34" s="2" t="s">
        <v>13</v>
      </c>
      <c r="R34" s="85" t="s">
        <v>135</v>
      </c>
      <c r="S34" s="82"/>
      <c r="T34" s="124"/>
    </row>
    <row r="35" spans="1:20" x14ac:dyDescent="0.25">
      <c r="A35" s="48"/>
      <c r="B35" s="79">
        <v>44591</v>
      </c>
      <c r="C35" s="76" t="s">
        <v>148</v>
      </c>
      <c r="D35" s="2" t="s">
        <v>16</v>
      </c>
      <c r="E35" s="2" t="s">
        <v>62</v>
      </c>
      <c r="F35" s="79"/>
      <c r="G35" s="80"/>
      <c r="H35" s="61"/>
      <c r="I35" s="61"/>
      <c r="J35" s="51"/>
      <c r="K35" s="61"/>
      <c r="L35" s="120">
        <v>44691</v>
      </c>
      <c r="M35" s="121" t="s">
        <v>215</v>
      </c>
      <c r="N35" s="56" t="s">
        <v>149</v>
      </c>
      <c r="O35" s="2" t="s">
        <v>65</v>
      </c>
      <c r="P35" s="81">
        <v>20003</v>
      </c>
      <c r="Q35" s="2" t="s">
        <v>13</v>
      </c>
      <c r="R35" s="36" t="s">
        <v>65</v>
      </c>
      <c r="S35" s="82"/>
      <c r="T35" s="124"/>
    </row>
    <row r="36" spans="1:20" x14ac:dyDescent="0.25">
      <c r="A36" s="48">
        <v>22</v>
      </c>
      <c r="B36" s="51">
        <v>44612</v>
      </c>
      <c r="C36" s="54" t="s">
        <v>150</v>
      </c>
      <c r="D36" s="2" t="s">
        <v>16</v>
      </c>
      <c r="E36" s="2" t="s">
        <v>43</v>
      </c>
      <c r="F36" s="51"/>
      <c r="G36" s="2"/>
      <c r="H36" s="61"/>
      <c r="I36" s="61"/>
      <c r="J36" s="51"/>
      <c r="K36" s="61"/>
      <c r="L36" s="51"/>
      <c r="M36" s="50" t="s">
        <v>34</v>
      </c>
      <c r="N36" s="2" t="s">
        <v>10</v>
      </c>
      <c r="O36" s="1" t="s">
        <v>214</v>
      </c>
      <c r="P36" s="50">
        <v>22005</v>
      </c>
      <c r="Q36" s="2" t="s">
        <v>13</v>
      </c>
      <c r="R36" s="46" t="s">
        <v>46</v>
      </c>
      <c r="S36" s="39"/>
      <c r="T36" s="124"/>
    </row>
    <row r="37" spans="1:20" x14ac:dyDescent="0.25">
      <c r="A37" s="48">
        <v>23</v>
      </c>
      <c r="B37" s="57">
        <v>44621</v>
      </c>
      <c r="C37" s="91" t="s">
        <v>153</v>
      </c>
      <c r="D37" s="56" t="s">
        <v>91</v>
      </c>
      <c r="E37" s="56" t="s">
        <v>29</v>
      </c>
      <c r="F37" s="57"/>
      <c r="G37" s="56"/>
      <c r="H37" s="65"/>
      <c r="I37" s="65"/>
      <c r="J37" s="57"/>
      <c r="K37" s="65"/>
      <c r="L37" s="57"/>
      <c r="M37" s="58" t="s">
        <v>34</v>
      </c>
      <c r="N37" s="56" t="s">
        <v>154</v>
      </c>
      <c r="O37" s="59" t="s">
        <v>175</v>
      </c>
      <c r="P37" s="58">
        <v>22006</v>
      </c>
      <c r="Q37" s="56" t="s">
        <v>13</v>
      </c>
      <c r="R37" s="29" t="s">
        <v>264</v>
      </c>
      <c r="S37" s="66"/>
      <c r="T37" s="124"/>
    </row>
    <row r="38" spans="1:20" x14ac:dyDescent="0.25">
      <c r="A38" s="48">
        <v>24</v>
      </c>
      <c r="B38" s="87">
        <v>44622</v>
      </c>
      <c r="C38" s="91" t="s">
        <v>151</v>
      </c>
      <c r="D38" s="56" t="s">
        <v>51</v>
      </c>
      <c r="E38" s="56" t="s">
        <v>29</v>
      </c>
      <c r="F38" s="87"/>
      <c r="G38" s="88"/>
      <c r="H38" s="65"/>
      <c r="I38" s="65"/>
      <c r="J38" s="57"/>
      <c r="K38" s="65"/>
      <c r="L38" s="87"/>
      <c r="M38" s="58" t="s">
        <v>34</v>
      </c>
      <c r="N38" s="56" t="s">
        <v>152</v>
      </c>
      <c r="O38" s="59" t="s">
        <v>175</v>
      </c>
      <c r="P38" s="89">
        <v>22006</v>
      </c>
      <c r="Q38" s="56" t="s">
        <v>13</v>
      </c>
      <c r="R38" s="29" t="s">
        <v>264</v>
      </c>
      <c r="S38" s="90"/>
      <c r="T38" s="124"/>
    </row>
    <row r="39" spans="1:20" x14ac:dyDescent="0.25">
      <c r="A39" s="48">
        <v>25</v>
      </c>
      <c r="B39" s="57">
        <v>44625</v>
      </c>
      <c r="C39" s="54" t="s">
        <v>161</v>
      </c>
      <c r="D39" s="56" t="s">
        <v>5</v>
      </c>
      <c r="E39" s="56" t="s">
        <v>32</v>
      </c>
      <c r="F39" s="57"/>
      <c r="G39" s="56"/>
      <c r="H39" s="65"/>
      <c r="I39" s="65"/>
      <c r="J39" s="57"/>
      <c r="K39" s="65"/>
      <c r="L39" s="57"/>
      <c r="M39" s="58" t="s">
        <v>34</v>
      </c>
      <c r="N39" s="56" t="s">
        <v>162</v>
      </c>
      <c r="O39" s="59" t="s">
        <v>176</v>
      </c>
      <c r="P39" s="58">
        <v>22007</v>
      </c>
      <c r="Q39" s="56" t="s">
        <v>13</v>
      </c>
      <c r="R39" s="46" t="s">
        <v>46</v>
      </c>
      <c r="S39" s="66" t="s">
        <v>163</v>
      </c>
      <c r="T39" s="124"/>
    </row>
    <row r="40" spans="1:20" x14ac:dyDescent="0.25">
      <c r="A40" s="48">
        <v>26</v>
      </c>
      <c r="B40" s="57">
        <v>44627</v>
      </c>
      <c r="C40" s="91" t="s">
        <v>156</v>
      </c>
      <c r="D40" s="56" t="s">
        <v>157</v>
      </c>
      <c r="E40" s="56" t="s">
        <v>43</v>
      </c>
      <c r="F40" s="57">
        <v>44679</v>
      </c>
      <c r="G40" s="56" t="s">
        <v>235</v>
      </c>
      <c r="H40" s="65"/>
      <c r="I40" s="65"/>
      <c r="J40" s="57"/>
      <c r="K40" s="65"/>
      <c r="L40" s="57"/>
      <c r="M40" s="58" t="s">
        <v>34</v>
      </c>
      <c r="N40" s="56" t="s">
        <v>158</v>
      </c>
      <c r="O40" s="59" t="s">
        <v>176</v>
      </c>
      <c r="P40" s="58">
        <v>22007</v>
      </c>
      <c r="Q40" s="56" t="s">
        <v>13</v>
      </c>
      <c r="R40" s="29" t="s">
        <v>264</v>
      </c>
      <c r="S40" s="66"/>
      <c r="T40" s="124"/>
    </row>
    <row r="41" spans="1:20" x14ac:dyDescent="0.25">
      <c r="A41" s="48">
        <v>27</v>
      </c>
      <c r="B41" s="94">
        <v>44629</v>
      </c>
      <c r="C41" s="110" t="s">
        <v>164</v>
      </c>
      <c r="D41" s="56" t="s">
        <v>16</v>
      </c>
      <c r="E41" s="56" t="s">
        <v>62</v>
      </c>
      <c r="F41" s="94"/>
      <c r="G41" s="95"/>
      <c r="H41" s="65"/>
      <c r="I41" s="65"/>
      <c r="J41" s="57"/>
      <c r="K41" s="65"/>
      <c r="L41" s="94"/>
      <c r="M41" s="58" t="s">
        <v>34</v>
      </c>
      <c r="N41" s="56" t="s">
        <v>182</v>
      </c>
      <c r="O41" s="59" t="s">
        <v>175</v>
      </c>
      <c r="P41" s="96">
        <v>22006</v>
      </c>
      <c r="Q41" s="56" t="s">
        <v>13</v>
      </c>
      <c r="R41" s="99" t="s">
        <v>167</v>
      </c>
      <c r="S41" s="66" t="s">
        <v>188</v>
      </c>
      <c r="T41" s="124"/>
    </row>
    <row r="42" spans="1:20" x14ac:dyDescent="0.25">
      <c r="A42" s="48">
        <v>28</v>
      </c>
      <c r="B42" s="94">
        <v>44628</v>
      </c>
      <c r="C42" s="103" t="s">
        <v>168</v>
      </c>
      <c r="D42" s="56" t="s">
        <v>5</v>
      </c>
      <c r="E42" s="56" t="s">
        <v>32</v>
      </c>
      <c r="F42" s="94"/>
      <c r="G42" s="95"/>
      <c r="H42" s="65"/>
      <c r="I42" s="65"/>
      <c r="J42" s="57"/>
      <c r="K42" s="65"/>
      <c r="L42" s="94"/>
      <c r="M42" s="58" t="s">
        <v>34</v>
      </c>
      <c r="N42" s="56" t="s">
        <v>169</v>
      </c>
      <c r="O42" s="59" t="s">
        <v>175</v>
      </c>
      <c r="P42" s="96">
        <v>22006</v>
      </c>
      <c r="Q42" s="56" t="s">
        <v>13</v>
      </c>
      <c r="R42" s="100" t="s">
        <v>170</v>
      </c>
      <c r="S42" s="97"/>
      <c r="T42" s="124"/>
    </row>
    <row r="43" spans="1:20" x14ac:dyDescent="0.25">
      <c r="A43" s="48">
        <v>29</v>
      </c>
      <c r="B43" s="57">
        <v>44633</v>
      </c>
      <c r="C43" s="104" t="s">
        <v>172</v>
      </c>
      <c r="D43" s="56" t="s">
        <v>173</v>
      </c>
      <c r="E43" s="56" t="s">
        <v>32</v>
      </c>
      <c r="F43" s="57"/>
      <c r="G43" s="56"/>
      <c r="H43" s="65"/>
      <c r="I43" s="65"/>
      <c r="J43" s="57"/>
      <c r="K43" s="65"/>
      <c r="L43" s="57"/>
      <c r="M43" s="58" t="s">
        <v>34</v>
      </c>
      <c r="N43" s="56" t="s">
        <v>174</v>
      </c>
      <c r="O43" s="59" t="s">
        <v>175</v>
      </c>
      <c r="P43" s="58">
        <v>22006</v>
      </c>
      <c r="Q43" s="56" t="s">
        <v>13</v>
      </c>
      <c r="R43" s="102" t="s">
        <v>177</v>
      </c>
      <c r="S43" s="66"/>
      <c r="T43" s="124"/>
    </row>
    <row r="44" spans="1:20" x14ac:dyDescent="0.25">
      <c r="A44" s="48">
        <v>0</v>
      </c>
      <c r="B44" s="57">
        <v>44635</v>
      </c>
      <c r="C44" s="91" t="s">
        <v>178</v>
      </c>
      <c r="D44" s="56" t="s">
        <v>12</v>
      </c>
      <c r="E44" s="56" t="s">
        <v>29</v>
      </c>
      <c r="F44" s="57"/>
      <c r="G44" s="56"/>
      <c r="H44" s="65"/>
      <c r="I44" s="65"/>
      <c r="J44" s="57"/>
      <c r="K44" s="65"/>
      <c r="L44" s="57"/>
      <c r="M44" s="58" t="s">
        <v>34</v>
      </c>
      <c r="N44" s="56" t="s">
        <v>179</v>
      </c>
      <c r="O44" s="59" t="s">
        <v>175</v>
      </c>
      <c r="P44" s="58">
        <v>22006</v>
      </c>
      <c r="Q44" s="56" t="s">
        <v>13</v>
      </c>
      <c r="R44" s="29" t="s">
        <v>264</v>
      </c>
      <c r="S44" s="66" t="s">
        <v>180</v>
      </c>
      <c r="T44" s="124"/>
    </row>
    <row r="45" spans="1:20" x14ac:dyDescent="0.25">
      <c r="A45" s="48">
        <v>31</v>
      </c>
      <c r="B45" s="57">
        <v>44638</v>
      </c>
      <c r="C45" s="105" t="s">
        <v>181</v>
      </c>
      <c r="D45" s="56" t="s">
        <v>53</v>
      </c>
      <c r="E45" s="56" t="s">
        <v>32</v>
      </c>
      <c r="F45" s="57">
        <v>44694</v>
      </c>
      <c r="G45" s="56" t="s">
        <v>261</v>
      </c>
      <c r="H45" s="65"/>
      <c r="I45" s="65"/>
      <c r="J45" s="57"/>
      <c r="K45" s="65"/>
      <c r="L45" s="57"/>
      <c r="M45" s="58" t="s">
        <v>34</v>
      </c>
      <c r="N45" s="56" t="s">
        <v>159</v>
      </c>
      <c r="O45" s="59" t="s">
        <v>175</v>
      </c>
      <c r="P45" s="58">
        <v>22006</v>
      </c>
      <c r="Q45" s="56" t="s">
        <v>13</v>
      </c>
      <c r="R45" s="99" t="s">
        <v>167</v>
      </c>
      <c r="S45" s="66"/>
      <c r="T45" s="124"/>
    </row>
    <row r="46" spans="1:20" x14ac:dyDescent="0.25">
      <c r="A46" s="48">
        <v>32</v>
      </c>
      <c r="B46" s="57">
        <v>44639</v>
      </c>
      <c r="C46" s="105" t="s">
        <v>183</v>
      </c>
      <c r="D46" s="56" t="s">
        <v>5</v>
      </c>
      <c r="E46" s="56" t="s">
        <v>32</v>
      </c>
      <c r="F46" s="57"/>
      <c r="G46" s="56"/>
      <c r="H46" s="65"/>
      <c r="I46" s="65"/>
      <c r="J46" s="57"/>
      <c r="K46" s="65"/>
      <c r="L46" s="57"/>
      <c r="M46" s="58" t="s">
        <v>34</v>
      </c>
      <c r="N46" s="56" t="s">
        <v>165</v>
      </c>
      <c r="O46" s="59" t="s">
        <v>175</v>
      </c>
      <c r="P46" s="58">
        <v>22006</v>
      </c>
      <c r="Q46" s="56" t="s">
        <v>13</v>
      </c>
      <c r="R46" s="99" t="s">
        <v>167</v>
      </c>
      <c r="S46" s="66"/>
      <c r="T46" s="124"/>
    </row>
    <row r="47" spans="1:20" x14ac:dyDescent="0.25">
      <c r="A47" s="48">
        <v>33</v>
      </c>
      <c r="B47" s="57">
        <v>44640</v>
      </c>
      <c r="C47" s="105" t="s">
        <v>184</v>
      </c>
      <c r="D47" s="56" t="s">
        <v>51</v>
      </c>
      <c r="E47" s="56" t="s">
        <v>29</v>
      </c>
      <c r="F47" s="57"/>
      <c r="G47" s="56"/>
      <c r="H47" s="65"/>
      <c r="I47" s="65"/>
      <c r="J47" s="57"/>
      <c r="K47" s="65"/>
      <c r="L47" s="57"/>
      <c r="M47" s="58" t="s">
        <v>34</v>
      </c>
      <c r="N47" s="56" t="s">
        <v>185</v>
      </c>
      <c r="O47" s="59" t="s">
        <v>175</v>
      </c>
      <c r="P47" s="58">
        <v>22006</v>
      </c>
      <c r="Q47" s="56" t="s">
        <v>13</v>
      </c>
      <c r="R47" s="99" t="s">
        <v>167</v>
      </c>
      <c r="S47" s="66"/>
      <c r="T47" s="124"/>
    </row>
    <row r="48" spans="1:20" x14ac:dyDescent="0.25">
      <c r="A48" s="48">
        <v>34</v>
      </c>
      <c r="B48" s="106">
        <v>44644</v>
      </c>
      <c r="C48" s="93" t="s">
        <v>186</v>
      </c>
      <c r="D48" s="56" t="s">
        <v>173</v>
      </c>
      <c r="E48" s="56" t="s">
        <v>32</v>
      </c>
      <c r="F48" s="106"/>
      <c r="G48" s="107"/>
      <c r="H48" s="65"/>
      <c r="I48" s="65"/>
      <c r="J48" s="57"/>
      <c r="K48" s="65"/>
      <c r="L48" s="106"/>
      <c r="M48" s="58" t="s">
        <v>34</v>
      </c>
      <c r="N48" s="56" t="s">
        <v>187</v>
      </c>
      <c r="O48" s="59" t="s">
        <v>176</v>
      </c>
      <c r="P48" s="108">
        <v>22007</v>
      </c>
      <c r="Q48" s="56" t="s">
        <v>160</v>
      </c>
      <c r="R48" s="93" t="s">
        <v>155</v>
      </c>
      <c r="S48" s="109"/>
      <c r="T48" s="61"/>
    </row>
    <row r="49" spans="1:20" x14ac:dyDescent="0.25">
      <c r="A49" s="48">
        <v>35</v>
      </c>
      <c r="B49" s="111">
        <v>44650</v>
      </c>
      <c r="C49" s="93" t="s">
        <v>189</v>
      </c>
      <c r="D49" s="2" t="s">
        <v>9</v>
      </c>
      <c r="E49" s="2" t="s">
        <v>29</v>
      </c>
      <c r="F49" s="111"/>
      <c r="G49" s="112"/>
      <c r="H49" s="61"/>
      <c r="I49" s="61"/>
      <c r="J49" s="51"/>
      <c r="K49" s="61"/>
      <c r="L49" s="111"/>
      <c r="M49" s="50" t="s">
        <v>34</v>
      </c>
      <c r="N49" s="2" t="s">
        <v>190</v>
      </c>
      <c r="O49" s="1" t="s">
        <v>176</v>
      </c>
      <c r="P49" s="113">
        <v>22007</v>
      </c>
      <c r="Q49" s="2" t="s">
        <v>160</v>
      </c>
      <c r="R49" s="93" t="s">
        <v>155</v>
      </c>
      <c r="S49" s="114"/>
      <c r="T49" s="61"/>
    </row>
    <row r="50" spans="1:20" x14ac:dyDescent="0.25">
      <c r="A50" s="48">
        <v>36</v>
      </c>
      <c r="B50" s="57">
        <v>44655</v>
      </c>
      <c r="C50" s="93" t="s">
        <v>192</v>
      </c>
      <c r="D50" s="56" t="s">
        <v>9</v>
      </c>
      <c r="E50" s="56" t="s">
        <v>29</v>
      </c>
      <c r="F50" s="57"/>
      <c r="G50" s="56"/>
      <c r="H50" s="65"/>
      <c r="I50" s="65"/>
      <c r="J50" s="57"/>
      <c r="K50" s="65"/>
      <c r="L50" s="57"/>
      <c r="M50" s="58" t="s">
        <v>34</v>
      </c>
      <c r="N50" s="56" t="s">
        <v>193</v>
      </c>
      <c r="O50" s="59" t="s">
        <v>175</v>
      </c>
      <c r="P50" s="58">
        <v>22006</v>
      </c>
      <c r="Q50" s="56" t="s">
        <v>160</v>
      </c>
      <c r="R50" s="93" t="s">
        <v>155</v>
      </c>
      <c r="S50" s="66"/>
      <c r="T50" s="61"/>
    </row>
    <row r="51" spans="1:20" x14ac:dyDescent="0.25">
      <c r="A51" s="48">
        <v>37</v>
      </c>
      <c r="B51" s="57">
        <v>44657</v>
      </c>
      <c r="C51" s="93" t="s">
        <v>210</v>
      </c>
      <c r="D51" s="56" t="s">
        <v>157</v>
      </c>
      <c r="E51" s="56" t="s">
        <v>43</v>
      </c>
      <c r="F51" s="57"/>
      <c r="G51" s="56"/>
      <c r="H51" s="65"/>
      <c r="I51" s="65"/>
      <c r="J51" s="57"/>
      <c r="K51" s="65"/>
      <c r="L51" s="57"/>
      <c r="M51" s="58" t="s">
        <v>34</v>
      </c>
      <c r="N51" s="56" t="s">
        <v>211</v>
      </c>
      <c r="O51" s="59" t="s">
        <v>175</v>
      </c>
      <c r="P51" s="58">
        <v>22006</v>
      </c>
      <c r="Q51" s="56" t="s">
        <v>160</v>
      </c>
      <c r="R51" s="93" t="s">
        <v>155</v>
      </c>
      <c r="S51" s="66"/>
      <c r="T51" s="61"/>
    </row>
    <row r="52" spans="1:20" x14ac:dyDescent="0.25">
      <c r="A52" s="48">
        <v>38</v>
      </c>
      <c r="B52" s="57">
        <v>44662</v>
      </c>
      <c r="C52" s="93" t="s">
        <v>195</v>
      </c>
      <c r="D52" s="56" t="s">
        <v>194</v>
      </c>
      <c r="E52" s="56" t="s">
        <v>43</v>
      </c>
      <c r="F52" s="57"/>
      <c r="G52" s="56"/>
      <c r="H52" s="65"/>
      <c r="I52" s="65"/>
      <c r="J52" s="57"/>
      <c r="K52" s="65"/>
      <c r="L52" s="57"/>
      <c r="M52" s="58" t="s">
        <v>34</v>
      </c>
      <c r="N52" s="127" t="s">
        <v>196</v>
      </c>
      <c r="O52" s="59" t="s">
        <v>176</v>
      </c>
      <c r="P52" s="58">
        <v>22007</v>
      </c>
      <c r="Q52" s="56" t="s">
        <v>160</v>
      </c>
      <c r="R52" s="93" t="s">
        <v>155</v>
      </c>
      <c r="S52" s="66"/>
      <c r="T52" s="61"/>
    </row>
    <row r="53" spans="1:20" x14ac:dyDescent="0.25">
      <c r="A53" s="48">
        <v>39</v>
      </c>
      <c r="B53" s="115">
        <v>44668</v>
      </c>
      <c r="C53" s="93" t="s">
        <v>207</v>
      </c>
      <c r="D53" s="56" t="s">
        <v>194</v>
      </c>
      <c r="E53" s="56" t="s">
        <v>43</v>
      </c>
      <c r="F53" s="115"/>
      <c r="G53" s="116"/>
      <c r="H53" s="65"/>
      <c r="I53" s="65"/>
      <c r="J53" s="57"/>
      <c r="K53" s="65"/>
      <c r="L53" s="115"/>
      <c r="M53" s="58" t="s">
        <v>34</v>
      </c>
      <c r="N53" s="56" t="s">
        <v>253</v>
      </c>
      <c r="O53" s="59" t="s">
        <v>175</v>
      </c>
      <c r="P53" s="117">
        <v>22006</v>
      </c>
      <c r="Q53" s="56" t="s">
        <v>160</v>
      </c>
      <c r="R53" s="93" t="s">
        <v>155</v>
      </c>
      <c r="S53" s="66" t="s">
        <v>254</v>
      </c>
      <c r="T53" s="61"/>
    </row>
    <row r="54" spans="1:20" x14ac:dyDescent="0.25">
      <c r="A54" s="48">
        <v>40</v>
      </c>
      <c r="B54" s="115">
        <v>44666</v>
      </c>
      <c r="C54" s="119" t="s">
        <v>218</v>
      </c>
      <c r="D54" s="56" t="s">
        <v>194</v>
      </c>
      <c r="E54" s="56" t="s">
        <v>62</v>
      </c>
      <c r="F54" s="115"/>
      <c r="G54" s="116"/>
      <c r="H54" s="65"/>
      <c r="I54" s="65"/>
      <c r="J54" s="57"/>
      <c r="K54" s="65"/>
      <c r="L54" s="115"/>
      <c r="M54" s="58" t="s">
        <v>34</v>
      </c>
      <c r="N54" s="127" t="s">
        <v>219</v>
      </c>
      <c r="O54" s="59" t="s">
        <v>176</v>
      </c>
      <c r="P54" s="117">
        <v>22007</v>
      </c>
      <c r="Q54" s="56" t="s">
        <v>39</v>
      </c>
      <c r="R54" s="56" t="s">
        <v>39</v>
      </c>
      <c r="S54" s="118"/>
      <c r="T54" s="61"/>
    </row>
    <row r="55" spans="1:20" x14ac:dyDescent="0.25">
      <c r="A55" s="48">
        <v>41</v>
      </c>
      <c r="B55" s="115">
        <v>44666</v>
      </c>
      <c r="C55" s="119" t="s">
        <v>224</v>
      </c>
      <c r="D55" s="56" t="s">
        <v>7</v>
      </c>
      <c r="E55" s="56" t="s">
        <v>29</v>
      </c>
      <c r="F55" s="115"/>
      <c r="G55" s="116"/>
      <c r="H55" s="65"/>
      <c r="I55" s="65"/>
      <c r="J55" s="57"/>
      <c r="K55" s="65"/>
      <c r="L55" s="115"/>
      <c r="M55" s="58" t="s">
        <v>34</v>
      </c>
      <c r="N55" s="126" t="s">
        <v>225</v>
      </c>
      <c r="O55" s="59" t="s">
        <v>176</v>
      </c>
      <c r="P55" s="117">
        <v>22007</v>
      </c>
      <c r="Q55" s="56" t="s">
        <v>39</v>
      </c>
      <c r="R55" s="56" t="s">
        <v>39</v>
      </c>
      <c r="S55" s="118"/>
      <c r="T55" s="61"/>
    </row>
    <row r="56" spans="1:20" x14ac:dyDescent="0.25">
      <c r="A56" s="48">
        <v>42</v>
      </c>
      <c r="B56" s="115">
        <v>44669</v>
      </c>
      <c r="C56" s="93" t="s">
        <v>197</v>
      </c>
      <c r="D56" s="56" t="s">
        <v>157</v>
      </c>
      <c r="E56" s="56" t="s">
        <v>43</v>
      </c>
      <c r="F56" s="115"/>
      <c r="G56" s="116"/>
      <c r="H56" s="65"/>
      <c r="I56" s="65"/>
      <c r="J56" s="57"/>
      <c r="K56" s="65"/>
      <c r="L56" s="115"/>
      <c r="M56" s="58" t="s">
        <v>34</v>
      </c>
      <c r="N56" s="127" t="s">
        <v>198</v>
      </c>
      <c r="O56" s="59" t="s">
        <v>176</v>
      </c>
      <c r="P56" s="117">
        <v>22007</v>
      </c>
      <c r="Q56" s="56" t="s">
        <v>160</v>
      </c>
      <c r="R56" s="93" t="s">
        <v>155</v>
      </c>
      <c r="S56" s="118"/>
      <c r="T56" s="61"/>
    </row>
    <row r="57" spans="1:20" x14ac:dyDescent="0.25">
      <c r="A57" s="48">
        <v>43</v>
      </c>
      <c r="B57" s="115">
        <v>44669</v>
      </c>
      <c r="C57" s="93" t="s">
        <v>199</v>
      </c>
      <c r="D57" s="56" t="s">
        <v>157</v>
      </c>
      <c r="E57" s="56" t="s">
        <v>43</v>
      </c>
      <c r="F57" s="115"/>
      <c r="G57" s="116"/>
      <c r="H57" s="65"/>
      <c r="I57" s="65"/>
      <c r="J57" s="57"/>
      <c r="K57" s="65"/>
      <c r="L57" s="115"/>
      <c r="M57" s="58" t="s">
        <v>34</v>
      </c>
      <c r="N57" s="127" t="s">
        <v>200</v>
      </c>
      <c r="O57" s="59" t="s">
        <v>176</v>
      </c>
      <c r="P57" s="117">
        <v>22007</v>
      </c>
      <c r="Q57" s="56" t="s">
        <v>160</v>
      </c>
      <c r="R57" s="93" t="s">
        <v>155</v>
      </c>
      <c r="S57" s="118"/>
      <c r="T57" s="61"/>
    </row>
    <row r="58" spans="1:20" x14ac:dyDescent="0.25">
      <c r="A58" s="48">
        <v>44</v>
      </c>
      <c r="B58" s="115">
        <v>44669</v>
      </c>
      <c r="C58" s="91" t="s">
        <v>201</v>
      </c>
      <c r="D58" s="56" t="s">
        <v>53</v>
      </c>
      <c r="E58" s="56" t="s">
        <v>32</v>
      </c>
      <c r="F58" s="115"/>
      <c r="G58" s="116"/>
      <c r="H58" s="65"/>
      <c r="I58" s="65"/>
      <c r="J58" s="57"/>
      <c r="K58" s="65"/>
      <c r="L58" s="115"/>
      <c r="M58" s="58" t="s">
        <v>34</v>
      </c>
      <c r="N58" s="56" t="s">
        <v>202</v>
      </c>
      <c r="O58" s="59" t="s">
        <v>175</v>
      </c>
      <c r="P58" s="117">
        <v>22006</v>
      </c>
      <c r="Q58" s="56" t="s">
        <v>13</v>
      </c>
      <c r="R58" s="29" t="s">
        <v>264</v>
      </c>
      <c r="S58" s="118"/>
      <c r="T58" s="61"/>
    </row>
    <row r="59" spans="1:20" x14ac:dyDescent="0.25">
      <c r="A59" s="48">
        <v>45</v>
      </c>
      <c r="B59" s="57">
        <v>44669</v>
      </c>
      <c r="C59" s="72" t="s">
        <v>208</v>
      </c>
      <c r="D59" s="56" t="s">
        <v>16</v>
      </c>
      <c r="E59" s="56" t="s">
        <v>43</v>
      </c>
      <c r="F59" s="57"/>
      <c r="G59" s="56"/>
      <c r="H59" s="65"/>
      <c r="I59" s="65"/>
      <c r="J59" s="57"/>
      <c r="K59" s="65"/>
      <c r="L59" s="57"/>
      <c r="M59" s="58" t="s">
        <v>34</v>
      </c>
      <c r="N59" s="56" t="s">
        <v>209</v>
      </c>
      <c r="O59" s="59" t="s">
        <v>37</v>
      </c>
      <c r="P59" s="58">
        <v>20003</v>
      </c>
      <c r="Q59" s="56" t="s">
        <v>160</v>
      </c>
      <c r="R59" s="26" t="s">
        <v>30</v>
      </c>
      <c r="S59" s="66"/>
      <c r="T59" s="61"/>
    </row>
    <row r="60" spans="1:20" x14ac:dyDescent="0.25">
      <c r="A60" s="48">
        <v>46</v>
      </c>
      <c r="B60" s="57">
        <v>44670</v>
      </c>
      <c r="C60" s="93" t="s">
        <v>203</v>
      </c>
      <c r="D60" s="56" t="s">
        <v>157</v>
      </c>
      <c r="E60" s="56" t="s">
        <v>43</v>
      </c>
      <c r="F60" s="57"/>
      <c r="G60" s="56"/>
      <c r="H60" s="65"/>
      <c r="I60" s="65"/>
      <c r="J60" s="57"/>
      <c r="K60" s="65"/>
      <c r="L60" s="57"/>
      <c r="M60" s="58" t="s">
        <v>34</v>
      </c>
      <c r="N60" s="126" t="s">
        <v>204</v>
      </c>
      <c r="O60" s="59" t="s">
        <v>176</v>
      </c>
      <c r="P60" s="58">
        <v>22007</v>
      </c>
      <c r="Q60" s="56" t="s">
        <v>160</v>
      </c>
      <c r="R60" s="93" t="s">
        <v>155</v>
      </c>
      <c r="S60" s="66"/>
      <c r="T60" s="61"/>
    </row>
    <row r="61" spans="1:20" x14ac:dyDescent="0.25">
      <c r="A61" s="48">
        <v>47</v>
      </c>
      <c r="B61" s="57">
        <v>44670</v>
      </c>
      <c r="C61" s="93" t="s">
        <v>205</v>
      </c>
      <c r="D61" s="56" t="s">
        <v>194</v>
      </c>
      <c r="E61" s="56" t="s">
        <v>43</v>
      </c>
      <c r="F61" s="57"/>
      <c r="G61" s="56"/>
      <c r="H61" s="65"/>
      <c r="I61" s="65"/>
      <c r="J61" s="57"/>
      <c r="K61" s="65"/>
      <c r="L61" s="57"/>
      <c r="M61" s="58" t="s">
        <v>34</v>
      </c>
      <c r="N61" s="127" t="s">
        <v>206</v>
      </c>
      <c r="O61" s="59" t="s">
        <v>176</v>
      </c>
      <c r="P61" s="58">
        <v>22007</v>
      </c>
      <c r="Q61" s="56" t="s">
        <v>160</v>
      </c>
      <c r="R61" s="93" t="s">
        <v>155</v>
      </c>
      <c r="S61" s="66"/>
      <c r="T61" s="61"/>
    </row>
    <row r="62" spans="1:20" x14ac:dyDescent="0.25">
      <c r="A62" s="48">
        <v>48</v>
      </c>
      <c r="B62" s="57">
        <v>44670</v>
      </c>
      <c r="C62" s="93" t="s">
        <v>216</v>
      </c>
      <c r="D62" s="56" t="s">
        <v>194</v>
      </c>
      <c r="E62" s="56" t="s">
        <v>43</v>
      </c>
      <c r="F62" s="57">
        <v>44686</v>
      </c>
      <c r="G62" s="56" t="s">
        <v>250</v>
      </c>
      <c r="H62" s="57">
        <v>44696</v>
      </c>
      <c r="I62" s="56" t="s">
        <v>262</v>
      </c>
      <c r="J62" s="57"/>
      <c r="K62" s="65"/>
      <c r="L62" s="57"/>
      <c r="M62" s="58" t="s">
        <v>34</v>
      </c>
      <c r="N62" s="127" t="s">
        <v>217</v>
      </c>
      <c r="O62" s="59" t="s">
        <v>176</v>
      </c>
      <c r="P62" s="58">
        <v>22007</v>
      </c>
      <c r="Q62" s="56" t="s">
        <v>160</v>
      </c>
      <c r="R62" s="93" t="s">
        <v>155</v>
      </c>
      <c r="S62" s="66"/>
      <c r="T62" s="61"/>
    </row>
    <row r="63" spans="1:20" x14ac:dyDescent="0.25">
      <c r="A63" s="48">
        <v>49</v>
      </c>
      <c r="B63" s="57">
        <v>44672</v>
      </c>
      <c r="C63" s="93" t="s">
        <v>212</v>
      </c>
      <c r="D63" s="56">
        <v>2008</v>
      </c>
      <c r="E63" s="56" t="s">
        <v>43</v>
      </c>
      <c r="F63" s="57"/>
      <c r="G63" s="56"/>
      <c r="H63" s="65"/>
      <c r="I63" s="65"/>
      <c r="J63" s="57"/>
      <c r="K63" s="65"/>
      <c r="L63" s="57"/>
      <c r="M63" s="58" t="s">
        <v>34</v>
      </c>
      <c r="N63" s="127" t="s">
        <v>213</v>
      </c>
      <c r="O63" s="59" t="s">
        <v>176</v>
      </c>
      <c r="P63" s="58">
        <v>22007</v>
      </c>
      <c r="Q63" s="56" t="s">
        <v>160</v>
      </c>
      <c r="R63" s="93" t="s">
        <v>155</v>
      </c>
      <c r="S63" s="66"/>
      <c r="T63" s="61"/>
    </row>
    <row r="64" spans="1:20" x14ac:dyDescent="0.25">
      <c r="A64" s="48">
        <v>50</v>
      </c>
      <c r="B64" s="57">
        <v>44672</v>
      </c>
      <c r="C64" s="93" t="s">
        <v>220</v>
      </c>
      <c r="D64" s="56" t="s">
        <v>157</v>
      </c>
      <c r="E64" s="56" t="s">
        <v>43</v>
      </c>
      <c r="F64" s="57"/>
      <c r="G64" s="56"/>
      <c r="H64" s="65"/>
      <c r="I64" s="65"/>
      <c r="J64" s="57"/>
      <c r="K64" s="65"/>
      <c r="L64" s="57"/>
      <c r="M64" s="58" t="s">
        <v>34</v>
      </c>
      <c r="N64" s="127" t="s">
        <v>221</v>
      </c>
      <c r="O64" s="59" t="s">
        <v>176</v>
      </c>
      <c r="P64" s="58">
        <v>22007</v>
      </c>
      <c r="Q64" s="56" t="s">
        <v>160</v>
      </c>
      <c r="R64" s="93" t="s">
        <v>155</v>
      </c>
      <c r="S64" s="66"/>
      <c r="T64" s="61"/>
    </row>
    <row r="65" spans="1:20" x14ac:dyDescent="0.25">
      <c r="A65" s="48">
        <v>51</v>
      </c>
      <c r="B65" s="57">
        <v>44672</v>
      </c>
      <c r="C65" s="93" t="s">
        <v>223</v>
      </c>
      <c r="D65" s="56" t="s">
        <v>157</v>
      </c>
      <c r="E65" s="56" t="s">
        <v>43</v>
      </c>
      <c r="F65" s="57">
        <v>44679</v>
      </c>
      <c r="G65" s="56" t="s">
        <v>249</v>
      </c>
      <c r="H65" s="65"/>
      <c r="I65" s="65"/>
      <c r="J65" s="57"/>
      <c r="K65" s="65"/>
      <c r="L65" s="57"/>
      <c r="M65" s="58" t="s">
        <v>34</v>
      </c>
      <c r="N65" s="127" t="s">
        <v>222</v>
      </c>
      <c r="O65" s="59" t="s">
        <v>176</v>
      </c>
      <c r="P65" s="58">
        <v>22007</v>
      </c>
      <c r="Q65" s="56" t="s">
        <v>160</v>
      </c>
      <c r="R65" s="93" t="s">
        <v>155</v>
      </c>
      <c r="S65" s="66"/>
      <c r="T65" s="61"/>
    </row>
    <row r="66" spans="1:20" x14ac:dyDescent="0.25">
      <c r="A66" s="48">
        <v>52</v>
      </c>
      <c r="B66" s="57">
        <v>44673</v>
      </c>
      <c r="C66" s="103" t="s">
        <v>226</v>
      </c>
      <c r="D66" s="56" t="s">
        <v>5</v>
      </c>
      <c r="E66" s="56" t="s">
        <v>32</v>
      </c>
      <c r="F66" s="57"/>
      <c r="G66" s="56"/>
      <c r="H66" s="65"/>
      <c r="I66" s="65"/>
      <c r="J66" s="57"/>
      <c r="K66" s="65"/>
      <c r="L66" s="57"/>
      <c r="M66" s="58" t="s">
        <v>34</v>
      </c>
      <c r="N66" s="56" t="s">
        <v>227</v>
      </c>
      <c r="O66" s="59" t="s">
        <v>175</v>
      </c>
      <c r="P66" s="58">
        <v>22006</v>
      </c>
      <c r="Q66" s="56" t="s">
        <v>160</v>
      </c>
      <c r="R66" s="100" t="s">
        <v>228</v>
      </c>
      <c r="S66" s="66"/>
      <c r="T66" s="61"/>
    </row>
    <row r="67" spans="1:20" x14ac:dyDescent="0.25">
      <c r="A67" s="48">
        <v>53</v>
      </c>
      <c r="B67" s="57">
        <v>44676</v>
      </c>
      <c r="C67" s="93" t="s">
        <v>229</v>
      </c>
      <c r="D67" s="56">
        <v>2008</v>
      </c>
      <c r="E67" s="56" t="s">
        <v>43</v>
      </c>
      <c r="F67" s="57"/>
      <c r="G67" s="56"/>
      <c r="H67" s="65"/>
      <c r="I67" s="65"/>
      <c r="J67" s="57"/>
      <c r="K67" s="65"/>
      <c r="L67" s="57"/>
      <c r="M67" s="58" t="s">
        <v>34</v>
      </c>
      <c r="N67" s="127" t="s">
        <v>230</v>
      </c>
      <c r="O67" s="59" t="s">
        <v>176</v>
      </c>
      <c r="P67" s="58">
        <v>22007</v>
      </c>
      <c r="Q67" s="56" t="s">
        <v>160</v>
      </c>
      <c r="R67" s="93" t="s">
        <v>155</v>
      </c>
      <c r="S67" s="66"/>
      <c r="T67" s="61"/>
    </row>
    <row r="68" spans="1:20" x14ac:dyDescent="0.25">
      <c r="A68" s="48">
        <v>54</v>
      </c>
      <c r="B68" s="57">
        <v>44673</v>
      </c>
      <c r="C68" s="122" t="s">
        <v>236</v>
      </c>
      <c r="D68" s="56" t="s">
        <v>157</v>
      </c>
      <c r="E68" s="56" t="s">
        <v>43</v>
      </c>
      <c r="F68" s="57">
        <v>44691</v>
      </c>
      <c r="G68" s="56" t="s">
        <v>263</v>
      </c>
      <c r="H68" s="65"/>
      <c r="I68" s="65"/>
      <c r="J68" s="57"/>
      <c r="K68" s="65"/>
      <c r="L68" s="57"/>
      <c r="M68" s="58" t="s">
        <v>34</v>
      </c>
      <c r="N68" s="56" t="s">
        <v>237</v>
      </c>
      <c r="O68" s="59" t="s">
        <v>37</v>
      </c>
      <c r="P68" s="58">
        <v>20003</v>
      </c>
      <c r="Q68" s="56" t="s">
        <v>8</v>
      </c>
      <c r="R68" s="123" t="s">
        <v>117</v>
      </c>
      <c r="S68" s="66"/>
      <c r="T68" s="61"/>
    </row>
    <row r="69" spans="1:20" x14ac:dyDescent="0.25">
      <c r="A69" s="48">
        <v>55</v>
      </c>
      <c r="B69" s="57">
        <v>44673</v>
      </c>
      <c r="C69" s="122" t="s">
        <v>239</v>
      </c>
      <c r="D69" s="56" t="s">
        <v>157</v>
      </c>
      <c r="E69" s="56" t="s">
        <v>43</v>
      </c>
      <c r="F69" s="57">
        <v>44677</v>
      </c>
      <c r="G69" s="56" t="s">
        <v>240</v>
      </c>
      <c r="H69" s="65"/>
      <c r="I69" s="65"/>
      <c r="J69" s="57"/>
      <c r="K69" s="65"/>
      <c r="L69" s="57"/>
      <c r="M69" s="58" t="s">
        <v>34</v>
      </c>
      <c r="N69" s="56" t="s">
        <v>238</v>
      </c>
      <c r="O69" s="59" t="s">
        <v>37</v>
      </c>
      <c r="P69" s="58">
        <v>20003</v>
      </c>
      <c r="Q69" s="56" t="s">
        <v>8</v>
      </c>
      <c r="R69" s="123" t="s">
        <v>117</v>
      </c>
      <c r="S69" s="66"/>
      <c r="T69" s="61"/>
    </row>
    <row r="70" spans="1:20" x14ac:dyDescent="0.25">
      <c r="A70" s="48">
        <v>56</v>
      </c>
      <c r="B70" s="57">
        <v>44684</v>
      </c>
      <c r="C70" s="119" t="s">
        <v>257</v>
      </c>
      <c r="D70" s="56" t="s">
        <v>194</v>
      </c>
      <c r="E70" s="56" t="s">
        <v>43</v>
      </c>
      <c r="F70" s="57"/>
      <c r="G70" s="56"/>
      <c r="H70" s="65"/>
      <c r="I70" s="65"/>
      <c r="J70" s="57"/>
      <c r="K70" s="65"/>
      <c r="L70" s="57"/>
      <c r="M70" s="58" t="s">
        <v>34</v>
      </c>
      <c r="N70" s="56" t="s">
        <v>258</v>
      </c>
      <c r="O70" s="59" t="s">
        <v>175</v>
      </c>
      <c r="P70" s="58">
        <v>22006</v>
      </c>
      <c r="Q70" s="56" t="s">
        <v>39</v>
      </c>
      <c r="R70" s="19" t="s">
        <v>39</v>
      </c>
      <c r="S70" s="66"/>
      <c r="T70" s="61"/>
    </row>
    <row r="71" spans="1:20" x14ac:dyDescent="0.25">
      <c r="A71" s="48">
        <v>57</v>
      </c>
      <c r="B71" s="57">
        <v>44686</v>
      </c>
      <c r="C71" s="105" t="s">
        <v>246</v>
      </c>
      <c r="D71" s="56" t="s">
        <v>5</v>
      </c>
      <c r="E71" s="56" t="s">
        <v>247</v>
      </c>
      <c r="F71" s="57"/>
      <c r="G71" s="56"/>
      <c r="H71" s="65"/>
      <c r="I71" s="65"/>
      <c r="J71" s="57"/>
      <c r="K71" s="65"/>
      <c r="L71" s="57"/>
      <c r="M71" s="58" t="s">
        <v>34</v>
      </c>
      <c r="N71" s="56" t="s">
        <v>248</v>
      </c>
      <c r="O71" s="59" t="s">
        <v>175</v>
      </c>
      <c r="P71" s="58">
        <v>22006</v>
      </c>
      <c r="Q71" s="56" t="s">
        <v>13</v>
      </c>
      <c r="R71" s="99" t="s">
        <v>166</v>
      </c>
      <c r="S71" s="66"/>
      <c r="T71" s="61"/>
    </row>
    <row r="72" spans="1:20" x14ac:dyDescent="0.25">
      <c r="A72" s="48">
        <v>58</v>
      </c>
      <c r="B72" s="57">
        <v>44687</v>
      </c>
      <c r="C72" s="93" t="s">
        <v>251</v>
      </c>
      <c r="D72" s="56" t="s">
        <v>53</v>
      </c>
      <c r="E72" s="56" t="s">
        <v>32</v>
      </c>
      <c r="F72" s="57"/>
      <c r="G72" s="56"/>
      <c r="H72" s="65"/>
      <c r="I72" s="65"/>
      <c r="J72" s="57"/>
      <c r="K72" s="65"/>
      <c r="L72" s="57"/>
      <c r="M72" s="58" t="s">
        <v>34</v>
      </c>
      <c r="N72" s="126" t="s">
        <v>252</v>
      </c>
      <c r="O72" s="59" t="s">
        <v>176</v>
      </c>
      <c r="P72" s="58">
        <v>22007</v>
      </c>
      <c r="Q72" s="56" t="s">
        <v>160</v>
      </c>
      <c r="R72" s="93" t="s">
        <v>155</v>
      </c>
      <c r="S72" s="66"/>
      <c r="T72" s="61"/>
    </row>
    <row r="73" spans="1:20" x14ac:dyDescent="0.25">
      <c r="A73" s="128">
        <v>59</v>
      </c>
      <c r="B73" s="129">
        <v>44694</v>
      </c>
      <c r="C73" s="105" t="s">
        <v>256</v>
      </c>
      <c r="D73" s="56" t="s">
        <v>33</v>
      </c>
      <c r="E73" s="56" t="s">
        <v>43</v>
      </c>
      <c r="F73" s="129"/>
      <c r="G73" s="130"/>
      <c r="H73" s="65"/>
      <c r="I73" s="65"/>
      <c r="J73" s="57"/>
      <c r="K73" s="65"/>
      <c r="L73" s="129"/>
      <c r="M73" s="58" t="s">
        <v>34</v>
      </c>
      <c r="N73" s="56" t="s">
        <v>255</v>
      </c>
      <c r="O73" s="59" t="s">
        <v>175</v>
      </c>
      <c r="P73" s="131">
        <v>22006</v>
      </c>
      <c r="Q73" s="56" t="s">
        <v>13</v>
      </c>
      <c r="R73" s="99" t="s">
        <v>166</v>
      </c>
      <c r="S73" s="132"/>
      <c r="T73" s="65"/>
    </row>
    <row r="74" spans="1:20" x14ac:dyDescent="0.25">
      <c r="A74" s="128">
        <v>60</v>
      </c>
      <c r="B74" s="129">
        <v>44697</v>
      </c>
      <c r="C74" s="93" t="s">
        <v>260</v>
      </c>
      <c r="D74" s="56" t="s">
        <v>173</v>
      </c>
      <c r="E74" s="56" t="s">
        <v>32</v>
      </c>
      <c r="F74" s="129"/>
      <c r="G74" s="130"/>
      <c r="H74" s="65"/>
      <c r="I74" s="65"/>
      <c r="J74" s="57"/>
      <c r="K74" s="65"/>
      <c r="L74" s="129"/>
      <c r="M74" s="58" t="s">
        <v>34</v>
      </c>
      <c r="N74" s="56" t="s">
        <v>259</v>
      </c>
      <c r="O74" s="59" t="s">
        <v>175</v>
      </c>
      <c r="P74" s="131">
        <v>22006</v>
      </c>
      <c r="Q74" s="56" t="s">
        <v>160</v>
      </c>
      <c r="R74" s="93" t="s">
        <v>155</v>
      </c>
      <c r="S74" s="132"/>
      <c r="T74" s="65"/>
    </row>
  </sheetData>
  <mergeCells count="19">
    <mergeCell ref="A11:B11"/>
    <mergeCell ref="D11:E11"/>
    <mergeCell ref="A10:B10"/>
    <mergeCell ref="D10:E10"/>
    <mergeCell ref="A7:B7"/>
    <mergeCell ref="D9:E9"/>
    <mergeCell ref="A1:A2"/>
    <mergeCell ref="B1:S2"/>
    <mergeCell ref="A3:F3"/>
    <mergeCell ref="A9:B9"/>
    <mergeCell ref="A6:B6"/>
    <mergeCell ref="D5:E5"/>
    <mergeCell ref="A4:B4"/>
    <mergeCell ref="D4:E4"/>
    <mergeCell ref="D7:E7"/>
    <mergeCell ref="A5:B5"/>
    <mergeCell ref="A8:B8"/>
    <mergeCell ref="D6:E6"/>
    <mergeCell ref="D8:E8"/>
  </mergeCells>
  <pageMargins left="0.511811024" right="0.511811024" top="0.78740157499999996" bottom="0.78740157499999996" header="0.31496062000000002" footer="0.31496062000000002"/>
  <pageSetup paperSize="9" orientation="portrait" horizontalDpi="300"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85"/>
  <sheetViews>
    <sheetView showGridLines="0" tabSelected="1" zoomScale="85" zoomScaleNormal="85" workbookViewId="0">
      <pane xSplit="8" ySplit="3" topLeftCell="I133" activePane="bottomRight" state="frozen"/>
      <selection pane="topRight" activeCell="H1" sqref="H1"/>
      <selection pane="bottomLeft" activeCell="A7" sqref="A7"/>
      <selection pane="bottomRight" activeCell="D496" sqref="D496"/>
    </sheetView>
  </sheetViews>
  <sheetFormatPr defaultColWidth="9.140625" defaultRowHeight="12.75" x14ac:dyDescent="0.2"/>
  <cols>
    <col min="1" max="1" width="8" style="450" customWidth="1"/>
    <col min="2" max="2" width="9.42578125" style="450" customWidth="1"/>
    <col min="3" max="3" width="22.140625" style="453" customWidth="1"/>
    <col min="4" max="4" width="11.7109375" style="450" customWidth="1"/>
    <col min="5" max="5" width="14.85546875" style="450" bestFit="1" customWidth="1"/>
    <col min="6" max="6" width="30.7109375" style="451" bestFit="1" customWidth="1"/>
    <col min="7" max="7" width="33.5703125" style="451" bestFit="1" customWidth="1"/>
    <col min="8" max="8" width="15.140625" style="450" customWidth="1"/>
    <col min="9" max="9" width="14" style="450" customWidth="1"/>
    <col min="10" max="10" width="17.28515625" style="450" customWidth="1"/>
    <col min="11" max="11" width="15.42578125" style="450" bestFit="1" customWidth="1"/>
    <col min="12" max="13" width="15.42578125" style="450" customWidth="1"/>
    <col min="14" max="14" width="23.5703125" style="450" bestFit="1" customWidth="1"/>
    <col min="15" max="15" width="13.7109375" style="450" customWidth="1"/>
    <col min="16" max="16" width="21.42578125" style="450" bestFit="1" customWidth="1"/>
    <col min="17" max="17" width="17.42578125" style="450" bestFit="1" customWidth="1"/>
    <col min="18" max="18" width="21.7109375" style="450" bestFit="1" customWidth="1"/>
    <col min="19" max="19" width="17.42578125" style="450" bestFit="1" customWidth="1"/>
    <col min="20" max="20" width="21.140625" style="450" bestFit="1" customWidth="1"/>
    <col min="21" max="21" width="16.140625" style="450" customWidth="1"/>
    <col min="22" max="22" width="19.42578125" style="450" bestFit="1" customWidth="1"/>
    <col min="23" max="23" width="15" style="450" customWidth="1"/>
    <col min="24" max="24" width="20.85546875" style="450" customWidth="1"/>
    <col min="25" max="25" width="14.140625" style="450" customWidth="1"/>
    <col min="26" max="26" width="19.42578125" style="450" bestFit="1" customWidth="1"/>
    <col min="27" max="27" width="18.140625" style="451" customWidth="1"/>
    <col min="28" max="28" width="18.42578125" style="451" customWidth="1"/>
    <col min="29" max="29" width="31.7109375" style="450" bestFit="1" customWidth="1"/>
    <col min="30" max="30" width="58.7109375" style="450" customWidth="1"/>
    <col min="31" max="16384" width="9.140625" style="450"/>
  </cols>
  <sheetData>
    <row r="1" spans="1:30" ht="21" x14ac:dyDescent="0.2">
      <c r="A1" s="705" t="s">
        <v>1279</v>
      </c>
      <c r="B1" s="706"/>
      <c r="C1" s="706"/>
      <c r="D1" s="706"/>
      <c r="E1" s="706"/>
      <c r="F1" s="706"/>
      <c r="G1" s="706"/>
      <c r="H1" s="706"/>
      <c r="I1" s="706"/>
      <c r="J1" s="706"/>
      <c r="K1" s="706"/>
      <c r="L1" s="706"/>
      <c r="M1" s="706"/>
      <c r="N1" s="706"/>
      <c r="O1" s="706"/>
      <c r="P1" s="706"/>
      <c r="Q1" s="706"/>
      <c r="R1" s="706"/>
      <c r="S1" s="706"/>
      <c r="T1" s="706"/>
      <c r="U1" s="706"/>
      <c r="V1" s="706"/>
      <c r="W1" s="706"/>
      <c r="X1" s="706"/>
      <c r="Y1" s="706"/>
      <c r="Z1" s="706"/>
      <c r="AA1" s="706"/>
      <c r="AB1" s="706"/>
      <c r="AC1" s="706"/>
      <c r="AD1" s="707"/>
    </row>
    <row r="2" spans="1:30" ht="21.75" thickBot="1" x14ac:dyDescent="0.25">
      <c r="A2" s="708" t="s">
        <v>1280</v>
      </c>
      <c r="B2" s="709"/>
      <c r="C2" s="709"/>
      <c r="D2" s="709"/>
      <c r="E2" s="709"/>
      <c r="F2" s="709"/>
      <c r="G2" s="709"/>
      <c r="H2" s="709"/>
      <c r="I2" s="709"/>
      <c r="J2" s="709"/>
      <c r="K2" s="709"/>
      <c r="L2" s="709"/>
      <c r="M2" s="709"/>
      <c r="N2" s="709"/>
      <c r="O2" s="709"/>
      <c r="P2" s="709"/>
      <c r="Q2" s="709"/>
      <c r="R2" s="709"/>
      <c r="S2" s="709"/>
      <c r="T2" s="709"/>
      <c r="U2" s="709"/>
      <c r="V2" s="709"/>
      <c r="W2" s="709"/>
      <c r="X2" s="709"/>
      <c r="Y2" s="709"/>
      <c r="Z2" s="709"/>
      <c r="AA2" s="709"/>
      <c r="AB2" s="709"/>
      <c r="AC2" s="709"/>
      <c r="AD2" s="710"/>
    </row>
    <row r="3" spans="1:30" s="453" customFormat="1" ht="25.5" x14ac:dyDescent="0.25">
      <c r="A3" s="640" t="s">
        <v>95</v>
      </c>
      <c r="B3" s="641" t="s">
        <v>24</v>
      </c>
      <c r="C3" s="641" t="s">
        <v>3</v>
      </c>
      <c r="D3" s="641" t="s">
        <v>518</v>
      </c>
      <c r="E3" s="641" t="s">
        <v>88</v>
      </c>
      <c r="F3" s="641" t="s">
        <v>25</v>
      </c>
      <c r="G3" s="641" t="s">
        <v>417</v>
      </c>
      <c r="H3" s="642" t="s">
        <v>0</v>
      </c>
      <c r="I3" s="641" t="s">
        <v>1</v>
      </c>
      <c r="J3" s="641" t="s">
        <v>541</v>
      </c>
      <c r="K3" s="641" t="s">
        <v>301</v>
      </c>
      <c r="L3" s="641" t="s">
        <v>1272</v>
      </c>
      <c r="M3" s="641" t="s">
        <v>1693</v>
      </c>
      <c r="N3" s="641" t="s">
        <v>2</v>
      </c>
      <c r="O3" s="641" t="s">
        <v>265</v>
      </c>
      <c r="P3" s="641" t="s">
        <v>268</v>
      </c>
      <c r="Q3" s="641" t="s">
        <v>269</v>
      </c>
      <c r="R3" s="641" t="s">
        <v>270</v>
      </c>
      <c r="S3" s="641" t="s">
        <v>271</v>
      </c>
      <c r="T3" s="641" t="s">
        <v>272</v>
      </c>
      <c r="U3" s="643" t="s">
        <v>321</v>
      </c>
      <c r="V3" s="643" t="s">
        <v>320</v>
      </c>
      <c r="W3" s="643" t="s">
        <v>840</v>
      </c>
      <c r="X3" s="643" t="s">
        <v>841</v>
      </c>
      <c r="Y3" s="643" t="s">
        <v>853</v>
      </c>
      <c r="Z3" s="643" t="s">
        <v>854</v>
      </c>
      <c r="AA3" s="643" t="s">
        <v>302</v>
      </c>
      <c r="AB3" s="641" t="s">
        <v>241</v>
      </c>
      <c r="AC3" s="641" t="s">
        <v>28</v>
      </c>
      <c r="AD3" s="641" t="s">
        <v>4</v>
      </c>
    </row>
    <row r="4" spans="1:30" s="452" customFormat="1" ht="38.25" hidden="1" x14ac:dyDescent="0.25">
      <c r="A4" s="644">
        <v>1</v>
      </c>
      <c r="B4" s="645" t="s">
        <v>215</v>
      </c>
      <c r="C4" s="646" t="s">
        <v>266</v>
      </c>
      <c r="D4" s="645">
        <v>22005</v>
      </c>
      <c r="E4" s="647">
        <v>44323</v>
      </c>
      <c r="F4" s="646" t="s">
        <v>440</v>
      </c>
      <c r="G4" s="646" t="s">
        <v>104</v>
      </c>
      <c r="H4" s="648" t="s">
        <v>110</v>
      </c>
      <c r="I4" s="452" t="s">
        <v>109</v>
      </c>
      <c r="J4" s="452" t="s">
        <v>542</v>
      </c>
      <c r="K4" s="645" t="s">
        <v>43</v>
      </c>
      <c r="L4" s="645" t="s">
        <v>544</v>
      </c>
      <c r="M4" s="645" t="s">
        <v>544</v>
      </c>
      <c r="N4" s="645" t="s">
        <v>8</v>
      </c>
      <c r="O4" s="647">
        <v>44895</v>
      </c>
      <c r="P4" s="647" t="s">
        <v>536</v>
      </c>
      <c r="Q4" s="647">
        <v>44990</v>
      </c>
      <c r="V4" s="647"/>
      <c r="W4" s="647"/>
      <c r="X4" s="647"/>
      <c r="Y4" s="647"/>
      <c r="Z4" s="647"/>
      <c r="AA4" s="647">
        <v>45401</v>
      </c>
      <c r="AB4" s="452">
        <v>3000</v>
      </c>
      <c r="AC4" s="649" t="s">
        <v>264</v>
      </c>
      <c r="AD4" s="646" t="s">
        <v>1121</v>
      </c>
    </row>
    <row r="5" spans="1:30" s="452" customFormat="1" hidden="1" x14ac:dyDescent="0.25">
      <c r="A5" s="644">
        <v>2</v>
      </c>
      <c r="B5" s="645" t="s">
        <v>215</v>
      </c>
      <c r="C5" s="646" t="s">
        <v>274</v>
      </c>
      <c r="D5" s="645">
        <v>21029</v>
      </c>
      <c r="E5" s="647">
        <v>44568</v>
      </c>
      <c r="F5" s="646" t="s">
        <v>138</v>
      </c>
      <c r="G5" s="646" t="s">
        <v>135</v>
      </c>
      <c r="H5" s="648" t="s">
        <v>132</v>
      </c>
      <c r="I5" s="452" t="s">
        <v>9</v>
      </c>
      <c r="J5" s="452" t="s">
        <v>544</v>
      </c>
      <c r="K5" s="645" t="s">
        <v>29</v>
      </c>
      <c r="L5" s="645" t="s">
        <v>544</v>
      </c>
      <c r="M5" s="645" t="s">
        <v>544</v>
      </c>
      <c r="N5" s="645" t="s">
        <v>13</v>
      </c>
      <c r="O5" s="647">
        <v>44575</v>
      </c>
      <c r="P5" s="647" t="s">
        <v>140</v>
      </c>
      <c r="Q5" s="647">
        <v>44798</v>
      </c>
      <c r="R5" s="452" t="s">
        <v>309</v>
      </c>
      <c r="S5" s="647">
        <v>45154</v>
      </c>
      <c r="T5" s="452" t="s">
        <v>855</v>
      </c>
      <c r="V5" s="647"/>
      <c r="W5" s="647"/>
      <c r="X5" s="647"/>
      <c r="Y5" s="647"/>
      <c r="Z5" s="647"/>
      <c r="AA5" s="647">
        <v>45163</v>
      </c>
      <c r="AB5" s="452">
        <v>3000</v>
      </c>
      <c r="AC5" s="650" t="s">
        <v>135</v>
      </c>
      <c r="AD5" s="646"/>
    </row>
    <row r="6" spans="1:30" s="452" customFormat="1" ht="12.75" hidden="1" customHeight="1" x14ac:dyDescent="0.2">
      <c r="A6" s="644">
        <v>284</v>
      </c>
      <c r="B6" s="644" t="s">
        <v>215</v>
      </c>
      <c r="C6" s="651" t="s">
        <v>1657</v>
      </c>
      <c r="D6" s="645">
        <v>25001</v>
      </c>
      <c r="E6" s="647">
        <v>45714</v>
      </c>
      <c r="F6" s="646" t="s">
        <v>390</v>
      </c>
      <c r="G6" s="450" t="s">
        <v>1658</v>
      </c>
      <c r="H6" s="648" t="s">
        <v>1659</v>
      </c>
      <c r="I6" s="452" t="s">
        <v>5</v>
      </c>
      <c r="J6" s="452" t="s">
        <v>542</v>
      </c>
      <c r="K6" s="452" t="s">
        <v>32</v>
      </c>
      <c r="L6" s="450" t="s">
        <v>542</v>
      </c>
      <c r="M6" s="652">
        <v>46086</v>
      </c>
      <c r="N6" s="645" t="s">
        <v>13</v>
      </c>
      <c r="O6" s="647"/>
      <c r="P6" s="647"/>
      <c r="Q6" s="647"/>
      <c r="V6" s="647"/>
      <c r="W6" s="647"/>
      <c r="X6" s="647"/>
      <c r="Y6" s="647"/>
      <c r="Z6" s="647"/>
      <c r="AA6" s="647">
        <v>46112</v>
      </c>
      <c r="AB6" s="452">
        <v>3000</v>
      </c>
      <c r="AC6" s="653" t="s">
        <v>1661</v>
      </c>
      <c r="AD6" s="646" t="s">
        <v>1690</v>
      </c>
    </row>
    <row r="7" spans="1:30" s="452" customFormat="1" hidden="1" x14ac:dyDescent="0.25">
      <c r="A7" s="644" t="s">
        <v>1232</v>
      </c>
      <c r="B7" s="644" t="s">
        <v>34</v>
      </c>
      <c r="C7" s="651" t="s">
        <v>1236</v>
      </c>
      <c r="D7" s="645">
        <v>24006</v>
      </c>
      <c r="E7" s="647">
        <v>45384</v>
      </c>
      <c r="F7" s="646" t="s">
        <v>1244</v>
      </c>
      <c r="G7" s="646" t="s">
        <v>166</v>
      </c>
      <c r="H7" s="648" t="s">
        <v>1245</v>
      </c>
      <c r="I7" s="452" t="s">
        <v>61</v>
      </c>
      <c r="J7" s="452" t="s">
        <v>542</v>
      </c>
      <c r="K7" s="645" t="s">
        <v>43</v>
      </c>
      <c r="L7" s="645" t="s">
        <v>544</v>
      </c>
      <c r="M7" s="645" t="s">
        <v>544</v>
      </c>
      <c r="N7" s="645" t="s">
        <v>13</v>
      </c>
      <c r="O7" s="647">
        <v>45883</v>
      </c>
      <c r="P7" s="647" t="s">
        <v>1757</v>
      </c>
      <c r="Q7" s="647">
        <v>46088</v>
      </c>
      <c r="R7" s="452" t="s">
        <v>1902</v>
      </c>
      <c r="V7" s="647"/>
      <c r="W7" s="647"/>
      <c r="X7" s="647"/>
      <c r="Y7" s="647"/>
      <c r="Z7" s="647"/>
      <c r="AA7" s="647"/>
      <c r="AB7" s="452">
        <v>3000</v>
      </c>
      <c r="AC7" s="654" t="s">
        <v>1140</v>
      </c>
      <c r="AD7" s="646"/>
    </row>
    <row r="8" spans="1:30" s="452" customFormat="1" hidden="1" x14ac:dyDescent="0.25">
      <c r="A8" s="644">
        <v>5</v>
      </c>
      <c r="B8" s="645" t="s">
        <v>215</v>
      </c>
      <c r="C8" s="646" t="s">
        <v>175</v>
      </c>
      <c r="D8" s="645">
        <v>22006</v>
      </c>
      <c r="E8" s="647">
        <v>44621</v>
      </c>
      <c r="F8" s="646" t="s">
        <v>829</v>
      </c>
      <c r="G8" s="646" t="s">
        <v>104</v>
      </c>
      <c r="H8" s="648" t="s">
        <v>153</v>
      </c>
      <c r="I8" s="452" t="s">
        <v>91</v>
      </c>
      <c r="J8" s="452" t="s">
        <v>542</v>
      </c>
      <c r="K8" s="645" t="s">
        <v>29</v>
      </c>
      <c r="L8" s="645" t="s">
        <v>544</v>
      </c>
      <c r="M8" s="645" t="s">
        <v>544</v>
      </c>
      <c r="N8" s="645" t="s">
        <v>8</v>
      </c>
      <c r="O8" s="647"/>
      <c r="P8" s="647"/>
      <c r="Q8" s="647"/>
      <c r="S8" s="647"/>
      <c r="V8" s="647"/>
      <c r="W8" s="647"/>
      <c r="X8" s="647"/>
      <c r="Y8" s="647"/>
      <c r="Z8" s="647"/>
      <c r="AA8" s="647">
        <v>45129</v>
      </c>
      <c r="AB8" s="452">
        <v>3000</v>
      </c>
      <c r="AC8" s="649" t="s">
        <v>264</v>
      </c>
      <c r="AD8" s="646" t="s">
        <v>308</v>
      </c>
    </row>
    <row r="9" spans="1:30" s="452" customFormat="1" hidden="1" x14ac:dyDescent="0.25">
      <c r="A9" s="644">
        <v>6</v>
      </c>
      <c r="B9" s="645" t="s">
        <v>215</v>
      </c>
      <c r="C9" s="646" t="s">
        <v>176</v>
      </c>
      <c r="D9" s="645">
        <v>22007</v>
      </c>
      <c r="E9" s="647">
        <v>44625</v>
      </c>
      <c r="F9" s="646" t="s">
        <v>162</v>
      </c>
      <c r="G9" s="646" t="s">
        <v>46</v>
      </c>
      <c r="H9" s="648" t="s">
        <v>161</v>
      </c>
      <c r="I9" s="452" t="s">
        <v>5</v>
      </c>
      <c r="J9" s="452" t="s">
        <v>542</v>
      </c>
      <c r="K9" s="645" t="s">
        <v>32</v>
      </c>
      <c r="L9" s="645" t="s">
        <v>544</v>
      </c>
      <c r="M9" s="645"/>
      <c r="N9" s="645" t="s">
        <v>13</v>
      </c>
      <c r="O9" s="647">
        <v>45012</v>
      </c>
      <c r="P9" s="647" t="s">
        <v>446</v>
      </c>
      <c r="Q9" s="647"/>
      <c r="S9" s="647"/>
      <c r="V9" s="647"/>
      <c r="W9" s="647"/>
      <c r="X9" s="647"/>
      <c r="Y9" s="647"/>
      <c r="Z9" s="647"/>
      <c r="AA9" s="647">
        <v>45331</v>
      </c>
      <c r="AB9" s="452">
        <v>6000</v>
      </c>
      <c r="AC9" s="655" t="s">
        <v>46</v>
      </c>
      <c r="AD9" s="646" t="s">
        <v>163</v>
      </c>
    </row>
    <row r="10" spans="1:30" s="452" customFormat="1" ht="25.5" hidden="1" x14ac:dyDescent="0.25">
      <c r="A10" s="644">
        <v>7</v>
      </c>
      <c r="B10" s="645" t="s">
        <v>215</v>
      </c>
      <c r="C10" s="646" t="s">
        <v>176</v>
      </c>
      <c r="D10" s="645">
        <v>22007</v>
      </c>
      <c r="E10" s="647">
        <v>44627</v>
      </c>
      <c r="F10" s="646" t="s">
        <v>286</v>
      </c>
      <c r="G10" s="646" t="s">
        <v>104</v>
      </c>
      <c r="H10" s="648" t="s">
        <v>156</v>
      </c>
      <c r="I10" s="452" t="s">
        <v>157</v>
      </c>
      <c r="J10" s="452" t="s">
        <v>542</v>
      </c>
      <c r="K10" s="645" t="s">
        <v>43</v>
      </c>
      <c r="L10" s="645" t="s">
        <v>544</v>
      </c>
      <c r="M10" s="645" t="s">
        <v>544</v>
      </c>
      <c r="N10" s="645" t="s">
        <v>8</v>
      </c>
      <c r="O10" s="647">
        <v>44679</v>
      </c>
      <c r="P10" s="647" t="s">
        <v>235</v>
      </c>
      <c r="Q10" s="647">
        <v>44946</v>
      </c>
      <c r="R10" s="452" t="s">
        <v>376</v>
      </c>
      <c r="S10" s="647">
        <v>44966</v>
      </c>
      <c r="T10" s="452" t="s">
        <v>394</v>
      </c>
      <c r="U10" s="647">
        <v>44993</v>
      </c>
      <c r="V10" s="647" t="s">
        <v>414</v>
      </c>
      <c r="W10" s="647">
        <v>45134</v>
      </c>
      <c r="X10" s="647" t="s">
        <v>842</v>
      </c>
      <c r="Y10" s="647">
        <v>45141</v>
      </c>
      <c r="Z10" s="647" t="s">
        <v>825</v>
      </c>
      <c r="AA10" s="647">
        <v>45184</v>
      </c>
      <c r="AB10" s="452">
        <v>3000</v>
      </c>
      <c r="AC10" s="649" t="s">
        <v>264</v>
      </c>
      <c r="AD10" s="646" t="s">
        <v>415</v>
      </c>
    </row>
    <row r="11" spans="1:30" s="452" customFormat="1" hidden="1" x14ac:dyDescent="0.25">
      <c r="A11" s="644">
        <v>8</v>
      </c>
      <c r="B11" s="645" t="s">
        <v>215</v>
      </c>
      <c r="C11" s="646" t="s">
        <v>175</v>
      </c>
      <c r="D11" s="645">
        <v>22006</v>
      </c>
      <c r="E11" s="647">
        <v>44640</v>
      </c>
      <c r="F11" s="646" t="s">
        <v>400</v>
      </c>
      <c r="G11" s="646" t="s">
        <v>166</v>
      </c>
      <c r="H11" s="648" t="s">
        <v>184</v>
      </c>
      <c r="I11" s="452" t="s">
        <v>51</v>
      </c>
      <c r="J11" s="452" t="s">
        <v>543</v>
      </c>
      <c r="K11" s="645" t="s">
        <v>29</v>
      </c>
      <c r="L11" s="645" t="s">
        <v>544</v>
      </c>
      <c r="M11" s="645" t="s">
        <v>544</v>
      </c>
      <c r="N11" s="645" t="s">
        <v>13</v>
      </c>
      <c r="O11" s="647">
        <v>44728</v>
      </c>
      <c r="P11" s="647" t="s">
        <v>461</v>
      </c>
      <c r="Q11" s="647"/>
      <c r="S11" s="647"/>
      <c r="V11" s="647"/>
      <c r="W11" s="647"/>
      <c r="X11" s="647"/>
      <c r="Y11" s="647"/>
      <c r="Z11" s="647"/>
      <c r="AA11" s="647" t="s">
        <v>843</v>
      </c>
      <c r="AB11" s="452">
        <v>3000</v>
      </c>
      <c r="AC11" s="654" t="s">
        <v>167</v>
      </c>
      <c r="AD11" s="646" t="s">
        <v>448</v>
      </c>
    </row>
    <row r="12" spans="1:30" s="452" customFormat="1" ht="38.25" hidden="1" x14ac:dyDescent="0.25">
      <c r="A12" s="644">
        <v>9</v>
      </c>
      <c r="B12" s="645" t="s">
        <v>215</v>
      </c>
      <c r="C12" s="646" t="s">
        <v>175</v>
      </c>
      <c r="D12" s="645">
        <v>22006</v>
      </c>
      <c r="E12" s="647">
        <v>44694</v>
      </c>
      <c r="F12" s="646" t="s">
        <v>977</v>
      </c>
      <c r="G12" s="646" t="s">
        <v>166</v>
      </c>
      <c r="H12" s="648" t="s">
        <v>256</v>
      </c>
      <c r="I12" s="452" t="s">
        <v>33</v>
      </c>
      <c r="J12" s="452" t="s">
        <v>544</v>
      </c>
      <c r="K12" s="645" t="s">
        <v>43</v>
      </c>
      <c r="L12" s="645" t="s">
        <v>544</v>
      </c>
      <c r="M12" s="645" t="s">
        <v>544</v>
      </c>
      <c r="N12" s="645" t="s">
        <v>13</v>
      </c>
      <c r="O12" s="647">
        <v>44756</v>
      </c>
      <c r="P12" s="647" t="s">
        <v>299</v>
      </c>
      <c r="Q12" s="647">
        <v>45059</v>
      </c>
      <c r="R12" s="452" t="s">
        <v>799</v>
      </c>
      <c r="S12" s="647"/>
      <c r="V12" s="647"/>
      <c r="W12" s="647"/>
      <c r="X12" s="647"/>
      <c r="Y12" s="647"/>
      <c r="Z12" s="647"/>
      <c r="AA12" s="647">
        <v>45222</v>
      </c>
      <c r="AB12" s="452">
        <v>4500</v>
      </c>
      <c r="AC12" s="654" t="s">
        <v>166</v>
      </c>
      <c r="AD12" s="646" t="s">
        <v>978</v>
      </c>
    </row>
    <row r="13" spans="1:30" s="452" customFormat="1" hidden="1" x14ac:dyDescent="0.25">
      <c r="A13" s="644">
        <v>10</v>
      </c>
      <c r="B13" s="645" t="s">
        <v>215</v>
      </c>
      <c r="C13" s="646" t="s">
        <v>307</v>
      </c>
      <c r="D13" s="645">
        <v>22004</v>
      </c>
      <c r="E13" s="647">
        <v>44750</v>
      </c>
      <c r="F13" s="646" t="s">
        <v>306</v>
      </c>
      <c r="G13" s="646" t="s">
        <v>171</v>
      </c>
      <c r="H13" s="648" t="s">
        <v>305</v>
      </c>
      <c r="I13" s="452" t="s">
        <v>51</v>
      </c>
      <c r="J13" s="452" t="s">
        <v>544</v>
      </c>
      <c r="K13" s="645" t="s">
        <v>29</v>
      </c>
      <c r="L13" s="645" t="s">
        <v>544</v>
      </c>
      <c r="M13" s="645" t="s">
        <v>544</v>
      </c>
      <c r="N13" s="645" t="s">
        <v>8</v>
      </c>
      <c r="O13" s="647">
        <v>45240</v>
      </c>
      <c r="P13" s="647" t="s">
        <v>348</v>
      </c>
      <c r="Q13" s="647"/>
      <c r="S13" s="647"/>
      <c r="V13" s="647"/>
      <c r="W13" s="647"/>
      <c r="X13" s="647"/>
      <c r="Y13" s="647"/>
      <c r="Z13" s="647"/>
      <c r="AA13" s="647">
        <v>45162</v>
      </c>
      <c r="AB13" s="452">
        <v>5000</v>
      </c>
      <c r="AC13" s="656"/>
      <c r="AD13" s="646"/>
    </row>
    <row r="14" spans="1:30" s="452" customFormat="1" ht="25.5" hidden="1" x14ac:dyDescent="0.25">
      <c r="A14" s="644">
        <v>11</v>
      </c>
      <c r="B14" s="645" t="s">
        <v>215</v>
      </c>
      <c r="C14" s="646" t="s">
        <v>266</v>
      </c>
      <c r="D14" s="645">
        <v>22005</v>
      </c>
      <c r="E14" s="647">
        <v>44753</v>
      </c>
      <c r="F14" s="646" t="s">
        <v>384</v>
      </c>
      <c r="G14" s="646" t="s">
        <v>46</v>
      </c>
      <c r="H14" s="648" t="s">
        <v>277</v>
      </c>
      <c r="I14" s="452" t="s">
        <v>194</v>
      </c>
      <c r="J14" s="452" t="s">
        <v>544</v>
      </c>
      <c r="K14" s="645" t="s">
        <v>43</v>
      </c>
      <c r="L14" s="645" t="s">
        <v>544</v>
      </c>
      <c r="M14" s="645" t="s">
        <v>544</v>
      </c>
      <c r="N14" s="645" t="s">
        <v>8</v>
      </c>
      <c r="O14" s="647">
        <v>44769</v>
      </c>
      <c r="P14" s="647" t="s">
        <v>293</v>
      </c>
      <c r="Q14" s="647">
        <v>45118</v>
      </c>
      <c r="R14" s="452" t="s">
        <v>1040</v>
      </c>
      <c r="V14" s="647"/>
      <c r="W14" s="647"/>
      <c r="X14" s="647"/>
      <c r="Y14" s="647"/>
      <c r="Z14" s="647"/>
      <c r="AA14" s="647">
        <v>45310</v>
      </c>
      <c r="AB14" s="452">
        <v>4000</v>
      </c>
      <c r="AC14" s="655" t="s">
        <v>46</v>
      </c>
      <c r="AD14" s="646" t="s">
        <v>980</v>
      </c>
    </row>
    <row r="15" spans="1:30" s="452" customFormat="1" hidden="1" x14ac:dyDescent="0.25">
      <c r="A15" s="644">
        <v>12</v>
      </c>
      <c r="B15" s="645" t="s">
        <v>215</v>
      </c>
      <c r="C15" s="646" t="s">
        <v>176</v>
      </c>
      <c r="D15" s="645">
        <v>22007</v>
      </c>
      <c r="E15" s="647">
        <v>44758</v>
      </c>
      <c r="F15" s="646" t="s">
        <v>283</v>
      </c>
      <c r="G15" s="646" t="s">
        <v>280</v>
      </c>
      <c r="H15" s="648" t="s">
        <v>284</v>
      </c>
      <c r="I15" s="452" t="s">
        <v>16</v>
      </c>
      <c r="J15" s="452" t="s">
        <v>543</v>
      </c>
      <c r="K15" s="645" t="s">
        <v>43</v>
      </c>
      <c r="L15" s="645" t="s">
        <v>544</v>
      </c>
      <c r="M15" s="645" t="s">
        <v>544</v>
      </c>
      <c r="N15" s="645" t="s">
        <v>8</v>
      </c>
      <c r="O15" s="647"/>
      <c r="P15" s="647"/>
      <c r="Q15" s="647"/>
      <c r="V15" s="647"/>
      <c r="W15" s="647"/>
      <c r="X15" s="647"/>
      <c r="Y15" s="647"/>
      <c r="Z15" s="647"/>
      <c r="AA15" s="647">
        <v>45045</v>
      </c>
      <c r="AB15" s="452">
        <v>5000</v>
      </c>
      <c r="AC15" s="657" t="s">
        <v>280</v>
      </c>
      <c r="AD15" s="646"/>
    </row>
    <row r="16" spans="1:30" s="452" customFormat="1" hidden="1" x14ac:dyDescent="0.25">
      <c r="A16" s="644">
        <v>13</v>
      </c>
      <c r="B16" s="645" t="s">
        <v>215</v>
      </c>
      <c r="C16" s="646" t="s">
        <v>176</v>
      </c>
      <c r="D16" s="645">
        <v>22007</v>
      </c>
      <c r="E16" s="647">
        <v>44758</v>
      </c>
      <c r="F16" s="646" t="s">
        <v>297</v>
      </c>
      <c r="G16" s="646" t="s">
        <v>166</v>
      </c>
      <c r="H16" s="648" t="s">
        <v>279</v>
      </c>
      <c r="I16" s="452" t="s">
        <v>5</v>
      </c>
      <c r="J16" s="452" t="s">
        <v>542</v>
      </c>
      <c r="K16" s="645" t="s">
        <v>32</v>
      </c>
      <c r="L16" s="645" t="s">
        <v>544</v>
      </c>
      <c r="M16" s="645"/>
      <c r="N16" s="645" t="s">
        <v>8</v>
      </c>
      <c r="O16" s="647">
        <v>44878</v>
      </c>
      <c r="P16" s="647" t="s">
        <v>461</v>
      </c>
      <c r="Q16" s="647">
        <v>44971</v>
      </c>
      <c r="R16" s="647" t="s">
        <v>349</v>
      </c>
      <c r="V16" s="647"/>
      <c r="W16" s="647"/>
      <c r="X16" s="647"/>
      <c r="Y16" s="647"/>
      <c r="Z16" s="647"/>
      <c r="AA16" s="647">
        <v>45142</v>
      </c>
      <c r="AB16" s="452">
        <v>5000</v>
      </c>
      <c r="AC16" s="654" t="s">
        <v>166</v>
      </c>
      <c r="AD16" s="646" t="s">
        <v>399</v>
      </c>
    </row>
    <row r="17" spans="1:30" s="452" customFormat="1" ht="25.5" hidden="1" x14ac:dyDescent="0.25">
      <c r="A17" s="644">
        <v>14</v>
      </c>
      <c r="B17" s="645" t="s">
        <v>215</v>
      </c>
      <c r="C17" s="646" t="s">
        <v>176</v>
      </c>
      <c r="D17" s="645">
        <v>22007</v>
      </c>
      <c r="E17" s="647">
        <v>44758</v>
      </c>
      <c r="F17" s="646" t="s">
        <v>252</v>
      </c>
      <c r="G17" s="646" t="s">
        <v>280</v>
      </c>
      <c r="H17" s="648" t="s">
        <v>289</v>
      </c>
      <c r="I17" s="452" t="s">
        <v>5</v>
      </c>
      <c r="J17" s="452" t="s">
        <v>542</v>
      </c>
      <c r="K17" s="645" t="s">
        <v>32</v>
      </c>
      <c r="L17" s="645" t="s">
        <v>544</v>
      </c>
      <c r="M17" s="645"/>
      <c r="N17" s="645" t="s">
        <v>8</v>
      </c>
      <c r="O17" s="647">
        <v>45213</v>
      </c>
      <c r="P17" s="647" t="s">
        <v>337</v>
      </c>
      <c r="Q17" s="647">
        <v>44855</v>
      </c>
      <c r="R17" s="452" t="s">
        <v>408</v>
      </c>
      <c r="V17" s="647"/>
      <c r="W17" s="647"/>
      <c r="X17" s="647"/>
      <c r="Y17" s="647"/>
      <c r="Z17" s="647"/>
      <c r="AA17" s="647">
        <v>45076</v>
      </c>
      <c r="AB17" s="452">
        <v>5000</v>
      </c>
      <c r="AC17" s="657" t="s">
        <v>280</v>
      </c>
      <c r="AD17" s="646" t="s">
        <v>282</v>
      </c>
    </row>
    <row r="18" spans="1:30" s="452" customFormat="1" ht="25.5" hidden="1" x14ac:dyDescent="0.25">
      <c r="A18" s="644">
        <v>15</v>
      </c>
      <c r="B18" s="645" t="s">
        <v>215</v>
      </c>
      <c r="C18" s="646" t="s">
        <v>176</v>
      </c>
      <c r="D18" s="645">
        <v>22007</v>
      </c>
      <c r="E18" s="647">
        <v>44758</v>
      </c>
      <c r="F18" s="646" t="s">
        <v>187</v>
      </c>
      <c r="G18" s="646" t="s">
        <v>280</v>
      </c>
      <c r="H18" s="648" t="s">
        <v>281</v>
      </c>
      <c r="I18" s="452" t="s">
        <v>5</v>
      </c>
      <c r="J18" s="452" t="s">
        <v>542</v>
      </c>
      <c r="K18" s="645" t="s">
        <v>32</v>
      </c>
      <c r="L18" s="645" t="s">
        <v>544</v>
      </c>
      <c r="M18" s="645"/>
      <c r="N18" s="645" t="s">
        <v>8</v>
      </c>
      <c r="O18" s="647">
        <v>44868</v>
      </c>
      <c r="P18" s="647" t="s">
        <v>338</v>
      </c>
      <c r="Q18" s="647">
        <v>44946</v>
      </c>
      <c r="R18" s="452" t="s">
        <v>383</v>
      </c>
      <c r="S18" s="647"/>
      <c r="V18" s="647"/>
      <c r="W18" s="647"/>
      <c r="X18" s="647"/>
      <c r="Y18" s="647"/>
      <c r="Z18" s="647"/>
      <c r="AA18" s="647">
        <v>45071</v>
      </c>
      <c r="AB18" s="452">
        <v>5000</v>
      </c>
      <c r="AC18" s="657" t="s">
        <v>280</v>
      </c>
      <c r="AD18" s="646" t="s">
        <v>282</v>
      </c>
    </row>
    <row r="19" spans="1:30" s="452" customFormat="1" ht="38.25" hidden="1" x14ac:dyDescent="0.25">
      <c r="A19" s="644">
        <v>16</v>
      </c>
      <c r="B19" s="645" t="s">
        <v>215</v>
      </c>
      <c r="C19" s="646" t="s">
        <v>176</v>
      </c>
      <c r="D19" s="645">
        <v>22007</v>
      </c>
      <c r="E19" s="647">
        <v>44765</v>
      </c>
      <c r="F19" s="646" t="s">
        <v>330</v>
      </c>
      <c r="G19" s="646" t="s">
        <v>280</v>
      </c>
      <c r="H19" s="648" t="s">
        <v>326</v>
      </c>
      <c r="I19" s="452" t="s">
        <v>285</v>
      </c>
      <c r="J19" s="452" t="s">
        <v>542</v>
      </c>
      <c r="K19" s="645" t="s">
        <v>43</v>
      </c>
      <c r="L19" s="645" t="s">
        <v>544</v>
      </c>
      <c r="M19" s="645" t="s">
        <v>544</v>
      </c>
      <c r="N19" s="645" t="s">
        <v>8</v>
      </c>
      <c r="O19" s="647">
        <v>44874</v>
      </c>
      <c r="P19" s="658" t="s">
        <v>347</v>
      </c>
      <c r="Q19" s="647"/>
      <c r="V19" s="647"/>
      <c r="W19" s="647"/>
      <c r="X19" s="647"/>
      <c r="Y19" s="647"/>
      <c r="Z19" s="647"/>
      <c r="AA19" s="658">
        <v>45110</v>
      </c>
      <c r="AB19" s="452">
        <v>5000</v>
      </c>
      <c r="AC19" s="657" t="s">
        <v>280</v>
      </c>
      <c r="AD19" s="646" t="s">
        <v>331</v>
      </c>
    </row>
    <row r="20" spans="1:30" s="452" customFormat="1" ht="38.25" hidden="1" x14ac:dyDescent="0.25">
      <c r="A20" s="644">
        <v>17</v>
      </c>
      <c r="B20" s="645" t="s">
        <v>215</v>
      </c>
      <c r="C20" s="646" t="s">
        <v>176</v>
      </c>
      <c r="D20" s="645">
        <v>22007</v>
      </c>
      <c r="E20" s="647">
        <v>44765</v>
      </c>
      <c r="F20" s="646" t="s">
        <v>300</v>
      </c>
      <c r="G20" s="646" t="s">
        <v>280</v>
      </c>
      <c r="H20" s="648" t="s">
        <v>287</v>
      </c>
      <c r="I20" s="452" t="s">
        <v>16</v>
      </c>
      <c r="J20" s="452" t="s">
        <v>543</v>
      </c>
      <c r="K20" s="645" t="s">
        <v>43</v>
      </c>
      <c r="L20" s="645" t="s">
        <v>544</v>
      </c>
      <c r="M20" s="645" t="s">
        <v>544</v>
      </c>
      <c r="N20" s="645" t="s">
        <v>8</v>
      </c>
      <c r="O20" s="647"/>
      <c r="P20" s="647"/>
      <c r="Q20" s="647"/>
      <c r="V20" s="647"/>
      <c r="W20" s="647"/>
      <c r="X20" s="647"/>
      <c r="Y20" s="647"/>
      <c r="Z20" s="647"/>
      <c r="AA20" s="647">
        <v>45033</v>
      </c>
      <c r="AB20" s="452">
        <v>5000</v>
      </c>
      <c r="AC20" s="657" t="s">
        <v>280</v>
      </c>
      <c r="AD20" s="646" t="s">
        <v>346</v>
      </c>
    </row>
    <row r="21" spans="1:30" s="452" customFormat="1" hidden="1" x14ac:dyDescent="0.25">
      <c r="A21" s="644">
        <v>18</v>
      </c>
      <c r="B21" s="645" t="s">
        <v>215</v>
      </c>
      <c r="C21" s="646" t="s">
        <v>175</v>
      </c>
      <c r="D21" s="645">
        <v>22006</v>
      </c>
      <c r="E21" s="647">
        <v>44767</v>
      </c>
      <c r="F21" s="646" t="s">
        <v>211</v>
      </c>
      <c r="G21" s="646" t="s">
        <v>276</v>
      </c>
      <c r="H21" s="648" t="s">
        <v>291</v>
      </c>
      <c r="I21" s="452" t="s">
        <v>157</v>
      </c>
      <c r="J21" s="452" t="s">
        <v>543</v>
      </c>
      <c r="K21" s="645" t="s">
        <v>62</v>
      </c>
      <c r="L21" s="645" t="s">
        <v>544</v>
      </c>
      <c r="M21" s="645" t="s">
        <v>544</v>
      </c>
      <c r="N21" s="645" t="s">
        <v>8</v>
      </c>
      <c r="O21" s="647"/>
      <c r="P21" s="647"/>
      <c r="Q21" s="647"/>
      <c r="V21" s="647"/>
      <c r="W21" s="647"/>
      <c r="X21" s="647"/>
      <c r="Y21" s="647"/>
      <c r="Z21" s="647"/>
      <c r="AA21" s="647">
        <v>45033</v>
      </c>
      <c r="AB21" s="452">
        <v>3000</v>
      </c>
      <c r="AC21" s="653" t="s">
        <v>276</v>
      </c>
      <c r="AD21" s="646" t="s">
        <v>290</v>
      </c>
    </row>
    <row r="22" spans="1:30" s="452" customFormat="1" ht="25.5" hidden="1" x14ac:dyDescent="0.25">
      <c r="A22" s="644">
        <v>19</v>
      </c>
      <c r="B22" s="645" t="s">
        <v>215</v>
      </c>
      <c r="C22" s="646" t="s">
        <v>175</v>
      </c>
      <c r="D22" s="645">
        <v>22006</v>
      </c>
      <c r="E22" s="647">
        <v>44767</v>
      </c>
      <c r="F22" s="646" t="s">
        <v>313</v>
      </c>
      <c r="G22" s="646" t="s">
        <v>276</v>
      </c>
      <c r="H22" s="648" t="s">
        <v>288</v>
      </c>
      <c r="I22" s="452" t="s">
        <v>5</v>
      </c>
      <c r="J22" s="452" t="s">
        <v>542</v>
      </c>
      <c r="K22" s="645" t="s">
        <v>32</v>
      </c>
      <c r="L22" s="645" t="s">
        <v>544</v>
      </c>
      <c r="M22" s="645"/>
      <c r="N22" s="645" t="s">
        <v>8</v>
      </c>
      <c r="O22" s="647">
        <v>44828</v>
      </c>
      <c r="P22" s="452" t="s">
        <v>325</v>
      </c>
      <c r="Q22" s="647"/>
      <c r="V22" s="647"/>
      <c r="W22" s="647"/>
      <c r="X22" s="647"/>
      <c r="Y22" s="647"/>
      <c r="Z22" s="647"/>
      <c r="AA22" s="647">
        <v>45087</v>
      </c>
      <c r="AB22" s="452">
        <v>5000</v>
      </c>
      <c r="AC22" s="653" t="s">
        <v>276</v>
      </c>
      <c r="AD22" s="646" t="s">
        <v>519</v>
      </c>
    </row>
    <row r="23" spans="1:30" s="452" customFormat="1" ht="25.5" hidden="1" x14ac:dyDescent="0.25">
      <c r="A23" s="644">
        <v>20</v>
      </c>
      <c r="B23" s="645" t="s">
        <v>215</v>
      </c>
      <c r="C23" s="646" t="s">
        <v>175</v>
      </c>
      <c r="D23" s="645">
        <v>22006</v>
      </c>
      <c r="E23" s="647">
        <v>44769</v>
      </c>
      <c r="F23" s="646" t="s">
        <v>312</v>
      </c>
      <c r="G23" s="646" t="s">
        <v>276</v>
      </c>
      <c r="H23" s="648" t="s">
        <v>295</v>
      </c>
      <c r="I23" s="452" t="s">
        <v>5</v>
      </c>
      <c r="J23" s="452" t="s">
        <v>542</v>
      </c>
      <c r="K23" s="645" t="s">
        <v>43</v>
      </c>
      <c r="L23" s="645" t="s">
        <v>544</v>
      </c>
      <c r="M23" s="645" t="s">
        <v>544</v>
      </c>
      <c r="N23" s="645" t="s">
        <v>8</v>
      </c>
      <c r="O23" s="647">
        <v>44898</v>
      </c>
      <c r="P23" s="647" t="s">
        <v>354</v>
      </c>
      <c r="Q23" s="647"/>
      <c r="V23" s="647"/>
      <c r="W23" s="647"/>
      <c r="X23" s="647"/>
      <c r="Y23" s="647"/>
      <c r="Z23" s="647"/>
      <c r="AA23" s="647">
        <v>45068</v>
      </c>
      <c r="AB23" s="452">
        <v>5000</v>
      </c>
      <c r="AC23" s="653" t="s">
        <v>276</v>
      </c>
      <c r="AD23" s="646" t="s">
        <v>294</v>
      </c>
    </row>
    <row r="24" spans="1:30" s="452" customFormat="1" hidden="1" x14ac:dyDescent="0.25">
      <c r="A24" s="644">
        <v>21</v>
      </c>
      <c r="B24" s="645" t="s">
        <v>215</v>
      </c>
      <c r="C24" s="646" t="s">
        <v>176</v>
      </c>
      <c r="D24" s="645">
        <v>22007</v>
      </c>
      <c r="E24" s="647">
        <v>44779</v>
      </c>
      <c r="F24" s="646" t="s">
        <v>275</v>
      </c>
      <c r="G24" s="646" t="s">
        <v>280</v>
      </c>
      <c r="H24" s="648" t="s">
        <v>303</v>
      </c>
      <c r="I24" s="452" t="s">
        <v>16</v>
      </c>
      <c r="J24" s="452" t="s">
        <v>542</v>
      </c>
      <c r="K24" s="645" t="s">
        <v>43</v>
      </c>
      <c r="L24" s="645" t="s">
        <v>544</v>
      </c>
      <c r="M24" s="645" t="s">
        <v>544</v>
      </c>
      <c r="N24" s="645" t="s">
        <v>8</v>
      </c>
      <c r="O24" s="647">
        <v>44903</v>
      </c>
      <c r="P24" s="647" t="s">
        <v>356</v>
      </c>
      <c r="Q24" s="647">
        <v>45010</v>
      </c>
      <c r="R24" s="452" t="s">
        <v>449</v>
      </c>
      <c r="V24" s="647"/>
      <c r="W24" s="647"/>
      <c r="X24" s="647"/>
      <c r="Y24" s="647"/>
      <c r="Z24" s="647"/>
      <c r="AA24" s="658">
        <v>45114</v>
      </c>
      <c r="AB24" s="452">
        <v>3000</v>
      </c>
      <c r="AC24" s="657" t="s">
        <v>280</v>
      </c>
      <c r="AD24" s="646"/>
    </row>
    <row r="25" spans="1:30" s="452" customFormat="1" hidden="1" x14ac:dyDescent="0.25">
      <c r="A25" s="644">
        <v>22</v>
      </c>
      <c r="B25" s="645" t="s">
        <v>215</v>
      </c>
      <c r="C25" s="646" t="s">
        <v>175</v>
      </c>
      <c r="D25" s="645">
        <v>22006</v>
      </c>
      <c r="E25" s="647">
        <v>44794</v>
      </c>
      <c r="F25" s="646" t="s">
        <v>185</v>
      </c>
      <c r="G25" s="646" t="s">
        <v>166</v>
      </c>
      <c r="H25" s="648" t="s">
        <v>318</v>
      </c>
      <c r="I25" s="452" t="s">
        <v>319</v>
      </c>
      <c r="J25" s="452" t="s">
        <v>544</v>
      </c>
      <c r="K25" s="645" t="s">
        <v>29</v>
      </c>
      <c r="L25" s="645" t="s">
        <v>544</v>
      </c>
      <c r="M25" s="645" t="s">
        <v>544</v>
      </c>
      <c r="N25" s="645" t="s">
        <v>8</v>
      </c>
      <c r="O25" s="647"/>
      <c r="P25" s="647"/>
      <c r="Q25" s="647"/>
      <c r="V25" s="647"/>
      <c r="W25" s="647"/>
      <c r="X25" s="647"/>
      <c r="Y25" s="647"/>
      <c r="Z25" s="647"/>
      <c r="AA25" s="647">
        <v>45055</v>
      </c>
      <c r="AB25" s="452">
        <v>3000</v>
      </c>
      <c r="AC25" s="654" t="s">
        <v>166</v>
      </c>
      <c r="AD25" s="646" t="s">
        <v>447</v>
      </c>
    </row>
    <row r="26" spans="1:30" s="452" customFormat="1" hidden="1" x14ac:dyDescent="0.25">
      <c r="A26" s="644">
        <v>23</v>
      </c>
      <c r="B26" s="645" t="s">
        <v>215</v>
      </c>
      <c r="C26" s="646" t="s">
        <v>176</v>
      </c>
      <c r="D26" s="645">
        <v>22007</v>
      </c>
      <c r="E26" s="647">
        <v>44807</v>
      </c>
      <c r="F26" s="646" t="s">
        <v>317</v>
      </c>
      <c r="G26" s="646" t="s">
        <v>166</v>
      </c>
      <c r="H26" s="648" t="s">
        <v>311</v>
      </c>
      <c r="I26" s="452" t="s">
        <v>14</v>
      </c>
      <c r="J26" s="452" t="s">
        <v>543</v>
      </c>
      <c r="K26" s="645" t="s">
        <v>32</v>
      </c>
      <c r="L26" s="645" t="s">
        <v>544</v>
      </c>
      <c r="M26" s="645"/>
      <c r="N26" s="645" t="s">
        <v>8</v>
      </c>
      <c r="O26" s="647"/>
      <c r="P26" s="647"/>
      <c r="Q26" s="647"/>
      <c r="V26" s="647"/>
      <c r="W26" s="647"/>
      <c r="X26" s="647"/>
      <c r="Y26" s="647"/>
      <c r="Z26" s="647"/>
      <c r="AA26" s="647">
        <v>45050</v>
      </c>
      <c r="AB26" s="452">
        <v>5000</v>
      </c>
      <c r="AC26" s="654" t="s">
        <v>166</v>
      </c>
      <c r="AD26" s="646"/>
    </row>
    <row r="27" spans="1:30" s="452" customFormat="1" hidden="1" x14ac:dyDescent="0.25">
      <c r="A27" s="644">
        <v>24</v>
      </c>
      <c r="B27" s="645" t="s">
        <v>807</v>
      </c>
      <c r="C27" s="646" t="s">
        <v>175</v>
      </c>
      <c r="D27" s="645">
        <v>22006</v>
      </c>
      <c r="E27" s="647">
        <v>44810</v>
      </c>
      <c r="F27" s="646" t="s">
        <v>316</v>
      </c>
      <c r="G27" s="646" t="s">
        <v>280</v>
      </c>
      <c r="H27" s="648" t="s">
        <v>315</v>
      </c>
      <c r="I27" s="452" t="s">
        <v>91</v>
      </c>
      <c r="J27" s="452" t="s">
        <v>542</v>
      </c>
      <c r="K27" s="645" t="s">
        <v>29</v>
      </c>
      <c r="L27" s="645" t="s">
        <v>544</v>
      </c>
      <c r="M27" s="645" t="s">
        <v>544</v>
      </c>
      <c r="N27" s="645" t="s">
        <v>8</v>
      </c>
      <c r="O27" s="647">
        <v>45014</v>
      </c>
      <c r="P27" s="658" t="s">
        <v>450</v>
      </c>
      <c r="Q27" s="647"/>
      <c r="V27" s="647"/>
      <c r="W27" s="647"/>
      <c r="X27" s="647"/>
      <c r="Y27" s="647"/>
      <c r="Z27" s="647"/>
      <c r="AA27" s="647">
        <v>45188</v>
      </c>
      <c r="AB27" s="452">
        <v>5000</v>
      </c>
      <c r="AC27" s="657" t="s">
        <v>280</v>
      </c>
      <c r="AD27" s="646"/>
    </row>
    <row r="28" spans="1:30" s="452" customFormat="1" ht="25.5" hidden="1" x14ac:dyDescent="0.25">
      <c r="A28" s="644">
        <v>25</v>
      </c>
      <c r="B28" s="645" t="s">
        <v>215</v>
      </c>
      <c r="C28" s="646" t="s">
        <v>176</v>
      </c>
      <c r="D28" s="645">
        <v>22007</v>
      </c>
      <c r="E28" s="647">
        <v>44810</v>
      </c>
      <c r="F28" s="646" t="s">
        <v>844</v>
      </c>
      <c r="G28" s="646" t="s">
        <v>280</v>
      </c>
      <c r="H28" s="648" t="s">
        <v>314</v>
      </c>
      <c r="I28" s="452" t="s">
        <v>16</v>
      </c>
      <c r="J28" s="452" t="s">
        <v>542</v>
      </c>
      <c r="K28" s="645" t="s">
        <v>43</v>
      </c>
      <c r="L28" s="645" t="s">
        <v>544</v>
      </c>
      <c r="M28" s="645" t="s">
        <v>544</v>
      </c>
      <c r="N28" s="645" t="s">
        <v>8</v>
      </c>
      <c r="O28" s="647">
        <v>44820</v>
      </c>
      <c r="P28" s="647" t="s">
        <v>327</v>
      </c>
      <c r="Q28" s="647">
        <v>44924</v>
      </c>
      <c r="R28" s="452" t="s">
        <v>366</v>
      </c>
      <c r="S28" s="647">
        <v>45097</v>
      </c>
      <c r="T28" s="452" t="s">
        <v>820</v>
      </c>
      <c r="V28" s="647"/>
      <c r="W28" s="647"/>
      <c r="X28" s="647"/>
      <c r="Y28" s="647"/>
      <c r="Z28" s="647"/>
      <c r="AA28" s="647">
        <v>45334</v>
      </c>
      <c r="AB28" s="452">
        <v>5000</v>
      </c>
      <c r="AC28" s="657" t="s">
        <v>280</v>
      </c>
      <c r="AD28" s="646"/>
    </row>
    <row r="29" spans="1:30" s="452" customFormat="1" hidden="1" x14ac:dyDescent="0.25">
      <c r="A29" s="644">
        <v>26</v>
      </c>
      <c r="B29" s="645" t="s">
        <v>215</v>
      </c>
      <c r="C29" s="646" t="s">
        <v>176</v>
      </c>
      <c r="D29" s="645">
        <v>22007</v>
      </c>
      <c r="E29" s="659">
        <v>44830</v>
      </c>
      <c r="F29" s="646" t="s">
        <v>545</v>
      </c>
      <c r="G29" s="646" t="s">
        <v>280</v>
      </c>
      <c r="H29" s="648" t="s">
        <v>328</v>
      </c>
      <c r="I29" s="452" t="s">
        <v>16</v>
      </c>
      <c r="J29" s="452" t="s">
        <v>544</v>
      </c>
      <c r="K29" s="645" t="s">
        <v>43</v>
      </c>
      <c r="L29" s="645" t="s">
        <v>544</v>
      </c>
      <c r="M29" s="645" t="s">
        <v>544</v>
      </c>
      <c r="N29" s="645" t="s">
        <v>8</v>
      </c>
      <c r="O29" s="647">
        <v>44872</v>
      </c>
      <c r="P29" s="647" t="s">
        <v>343</v>
      </c>
      <c r="Q29" s="647"/>
      <c r="V29" s="647"/>
      <c r="W29" s="647"/>
      <c r="X29" s="647"/>
      <c r="Y29" s="647"/>
      <c r="Z29" s="647"/>
      <c r="AA29" s="647">
        <v>45069</v>
      </c>
      <c r="AB29" s="452">
        <v>5000</v>
      </c>
      <c r="AC29" s="654"/>
      <c r="AD29" s="646"/>
    </row>
    <row r="30" spans="1:30" s="452" customFormat="1" hidden="1" x14ac:dyDescent="0.25">
      <c r="A30" s="644">
        <v>27</v>
      </c>
      <c r="B30" s="645" t="s">
        <v>215</v>
      </c>
      <c r="C30" s="646" t="s">
        <v>175</v>
      </c>
      <c r="D30" s="645">
        <v>22006</v>
      </c>
      <c r="E30" s="647">
        <v>44834</v>
      </c>
      <c r="F30" s="646" t="s">
        <v>292</v>
      </c>
      <c r="G30" s="646" t="s">
        <v>276</v>
      </c>
      <c r="H30" s="648" t="s">
        <v>323</v>
      </c>
      <c r="I30" s="452" t="s">
        <v>324</v>
      </c>
      <c r="J30" s="452" t="s">
        <v>542</v>
      </c>
      <c r="K30" s="645" t="s">
        <v>29</v>
      </c>
      <c r="L30" s="645" t="s">
        <v>544</v>
      </c>
      <c r="M30" s="645" t="s">
        <v>544</v>
      </c>
      <c r="N30" s="645" t="s">
        <v>13</v>
      </c>
      <c r="O30" s="647"/>
      <c r="P30" s="647"/>
      <c r="Q30" s="647"/>
      <c r="V30" s="647"/>
      <c r="W30" s="647"/>
      <c r="X30" s="647"/>
      <c r="Y30" s="647"/>
      <c r="Z30" s="647"/>
      <c r="AA30" s="647">
        <v>45199</v>
      </c>
      <c r="AB30" s="452">
        <v>4500</v>
      </c>
      <c r="AC30" s="653" t="s">
        <v>276</v>
      </c>
      <c r="AD30" s="646" t="s">
        <v>351</v>
      </c>
    </row>
    <row r="31" spans="1:30" s="452" customFormat="1" hidden="1" x14ac:dyDescent="0.25">
      <c r="A31" s="644">
        <v>28</v>
      </c>
      <c r="B31" s="645" t="s">
        <v>215</v>
      </c>
      <c r="C31" s="646" t="s">
        <v>334</v>
      </c>
      <c r="D31" s="645">
        <v>22035</v>
      </c>
      <c r="E31" s="647">
        <v>44849</v>
      </c>
      <c r="F31" s="646" t="s">
        <v>190</v>
      </c>
      <c r="G31" s="646" t="s">
        <v>117</v>
      </c>
      <c r="H31" s="648" t="s">
        <v>520</v>
      </c>
      <c r="I31" s="452" t="s">
        <v>51</v>
      </c>
      <c r="J31" s="452" t="s">
        <v>543</v>
      </c>
      <c r="K31" s="645" t="s">
        <v>29</v>
      </c>
      <c r="L31" s="645" t="s">
        <v>544</v>
      </c>
      <c r="M31" s="645" t="s">
        <v>544</v>
      </c>
      <c r="N31" s="645" t="s">
        <v>8</v>
      </c>
      <c r="O31" s="647"/>
      <c r="P31" s="647"/>
      <c r="Q31" s="647"/>
      <c r="V31" s="647"/>
      <c r="W31" s="647"/>
      <c r="X31" s="647"/>
      <c r="Y31" s="647"/>
      <c r="Z31" s="647"/>
      <c r="AA31" s="647">
        <v>45033</v>
      </c>
      <c r="AB31" s="452">
        <v>3000</v>
      </c>
      <c r="AC31" s="660" t="s">
        <v>117</v>
      </c>
      <c r="AD31" s="646"/>
    </row>
    <row r="32" spans="1:30" s="452" customFormat="1" hidden="1" x14ac:dyDescent="0.25">
      <c r="A32" s="644">
        <v>29</v>
      </c>
      <c r="B32" s="645" t="s">
        <v>215</v>
      </c>
      <c r="C32" s="646" t="s">
        <v>334</v>
      </c>
      <c r="D32" s="645">
        <v>22035</v>
      </c>
      <c r="E32" s="647">
        <v>44851</v>
      </c>
      <c r="F32" s="646" t="s">
        <v>333</v>
      </c>
      <c r="G32" s="646" t="s">
        <v>117</v>
      </c>
      <c r="H32" s="648" t="s">
        <v>332</v>
      </c>
      <c r="I32" s="452" t="s">
        <v>91</v>
      </c>
      <c r="J32" s="452" t="s">
        <v>544</v>
      </c>
      <c r="K32" s="645" t="s">
        <v>29</v>
      </c>
      <c r="L32" s="645" t="s">
        <v>544</v>
      </c>
      <c r="M32" s="645" t="s">
        <v>544</v>
      </c>
      <c r="N32" s="645" t="s">
        <v>8</v>
      </c>
      <c r="O32" s="647"/>
      <c r="P32" s="647"/>
      <c r="Q32" s="647"/>
      <c r="V32" s="647"/>
      <c r="W32" s="647"/>
      <c r="X32" s="647"/>
      <c r="Y32" s="647"/>
      <c r="Z32" s="647"/>
      <c r="AA32" s="647">
        <v>45091</v>
      </c>
      <c r="AB32" s="452">
        <v>3000</v>
      </c>
      <c r="AC32" s="660" t="s">
        <v>117</v>
      </c>
      <c r="AD32" s="646"/>
    </row>
    <row r="33" spans="1:30" s="452" customFormat="1" ht="25.5" hidden="1" x14ac:dyDescent="0.25">
      <c r="A33" s="644">
        <v>30</v>
      </c>
      <c r="B33" s="645" t="s">
        <v>215</v>
      </c>
      <c r="C33" s="646" t="s">
        <v>175</v>
      </c>
      <c r="D33" s="645">
        <v>22006</v>
      </c>
      <c r="E33" s="647">
        <v>44859</v>
      </c>
      <c r="F33" s="646" t="s">
        <v>255</v>
      </c>
      <c r="G33" s="646" t="s">
        <v>166</v>
      </c>
      <c r="H33" s="648" t="s">
        <v>336</v>
      </c>
      <c r="I33" s="452" t="s">
        <v>12</v>
      </c>
      <c r="J33" s="452" t="s">
        <v>543</v>
      </c>
      <c r="K33" s="645" t="s">
        <v>29</v>
      </c>
      <c r="L33" s="645" t="s">
        <v>544</v>
      </c>
      <c r="M33" s="645" t="s">
        <v>544</v>
      </c>
      <c r="N33" s="645" t="s">
        <v>13</v>
      </c>
      <c r="O33" s="647"/>
      <c r="P33" s="647"/>
      <c r="Q33" s="647"/>
      <c r="V33" s="647"/>
      <c r="W33" s="647"/>
      <c r="X33" s="647"/>
      <c r="Y33" s="647"/>
      <c r="Z33" s="647"/>
      <c r="AA33" s="647">
        <v>45019</v>
      </c>
      <c r="AB33" s="452">
        <v>4500</v>
      </c>
      <c r="AC33" s="654" t="s">
        <v>166</v>
      </c>
      <c r="AD33" s="646" t="s">
        <v>459</v>
      </c>
    </row>
    <row r="34" spans="1:30" s="452" customFormat="1" ht="25.5" hidden="1" x14ac:dyDescent="0.25">
      <c r="A34" s="644">
        <v>31</v>
      </c>
      <c r="B34" s="645" t="s">
        <v>215</v>
      </c>
      <c r="C34" s="646" t="s">
        <v>175</v>
      </c>
      <c r="D34" s="645">
        <v>22006</v>
      </c>
      <c r="E34" s="647">
        <v>44863</v>
      </c>
      <c r="F34" s="646" t="s">
        <v>800</v>
      </c>
      <c r="G34" s="646" t="s">
        <v>276</v>
      </c>
      <c r="H34" s="648" t="s">
        <v>339</v>
      </c>
      <c r="I34" s="452" t="s">
        <v>324</v>
      </c>
      <c r="J34" s="452" t="s">
        <v>542</v>
      </c>
      <c r="K34" s="645" t="s">
        <v>29</v>
      </c>
      <c r="L34" s="645" t="s">
        <v>544</v>
      </c>
      <c r="M34" s="645" t="s">
        <v>544</v>
      </c>
      <c r="N34" s="645" t="s">
        <v>13</v>
      </c>
      <c r="O34" s="647"/>
      <c r="P34" s="647"/>
      <c r="Q34" s="647"/>
      <c r="V34" s="647"/>
      <c r="W34" s="647"/>
      <c r="X34" s="647"/>
      <c r="Y34" s="647"/>
      <c r="Z34" s="647"/>
      <c r="AA34" s="647">
        <v>45103</v>
      </c>
      <c r="AB34" s="452">
        <v>4500</v>
      </c>
      <c r="AC34" s="653" t="s">
        <v>276</v>
      </c>
      <c r="AD34" s="646" t="s">
        <v>458</v>
      </c>
    </row>
    <row r="35" spans="1:30" s="452" customFormat="1" hidden="1" x14ac:dyDescent="0.25">
      <c r="A35" s="644">
        <v>32</v>
      </c>
      <c r="B35" s="645" t="s">
        <v>215</v>
      </c>
      <c r="C35" s="646" t="s">
        <v>176</v>
      </c>
      <c r="D35" s="645">
        <v>22007</v>
      </c>
      <c r="E35" s="647">
        <v>44866</v>
      </c>
      <c r="F35" s="646" t="s">
        <v>342</v>
      </c>
      <c r="G35" s="646" t="s">
        <v>104</v>
      </c>
      <c r="H35" s="648" t="s">
        <v>340</v>
      </c>
      <c r="I35" s="452" t="s">
        <v>341</v>
      </c>
      <c r="J35" s="452" t="s">
        <v>542</v>
      </c>
      <c r="K35" s="645" t="s">
        <v>29</v>
      </c>
      <c r="L35" s="645" t="s">
        <v>544</v>
      </c>
      <c r="M35" s="645" t="s">
        <v>544</v>
      </c>
      <c r="N35" s="645" t="s">
        <v>13</v>
      </c>
      <c r="O35" s="647">
        <v>44884</v>
      </c>
      <c r="P35" s="647" t="s">
        <v>350</v>
      </c>
      <c r="Q35" s="647"/>
      <c r="V35" s="647"/>
      <c r="W35" s="647"/>
      <c r="X35" s="647"/>
      <c r="Y35" s="647"/>
      <c r="Z35" s="647"/>
      <c r="AA35" s="658">
        <v>45133</v>
      </c>
      <c r="AB35" s="452">
        <v>4500</v>
      </c>
      <c r="AC35" s="649" t="s">
        <v>264</v>
      </c>
      <c r="AD35" s="646"/>
    </row>
    <row r="36" spans="1:30" s="452" customFormat="1" ht="25.5" hidden="1" x14ac:dyDescent="0.25">
      <c r="A36" s="644">
        <v>33</v>
      </c>
      <c r="B36" s="645" t="s">
        <v>215</v>
      </c>
      <c r="C36" s="646" t="s">
        <v>175</v>
      </c>
      <c r="D36" s="645">
        <v>22006</v>
      </c>
      <c r="E36" s="647">
        <v>44871</v>
      </c>
      <c r="F36" s="646" t="s">
        <v>801</v>
      </c>
      <c r="G36" s="646" t="s">
        <v>166</v>
      </c>
      <c r="H36" s="648" t="s">
        <v>344</v>
      </c>
      <c r="I36" s="452" t="s">
        <v>16</v>
      </c>
      <c r="J36" s="452" t="s">
        <v>542</v>
      </c>
      <c r="K36" s="645" t="s">
        <v>43</v>
      </c>
      <c r="L36" s="645" t="s">
        <v>544</v>
      </c>
      <c r="M36" s="645" t="s">
        <v>544</v>
      </c>
      <c r="N36" s="645" t="s">
        <v>13</v>
      </c>
      <c r="O36" s="647">
        <v>45059</v>
      </c>
      <c r="P36" s="647" t="s">
        <v>546</v>
      </c>
      <c r="Q36" s="647"/>
      <c r="V36" s="647"/>
      <c r="W36" s="647"/>
      <c r="X36" s="647"/>
      <c r="Y36" s="647"/>
      <c r="Z36" s="647"/>
      <c r="AA36" s="647">
        <v>45189</v>
      </c>
      <c r="AB36" s="452">
        <v>4500</v>
      </c>
      <c r="AC36" s="654" t="s">
        <v>166</v>
      </c>
      <c r="AD36" s="646" t="s">
        <v>521</v>
      </c>
    </row>
    <row r="37" spans="1:30" s="452" customFormat="1" hidden="1" x14ac:dyDescent="0.25">
      <c r="A37" s="644">
        <v>34</v>
      </c>
      <c r="B37" s="645" t="s">
        <v>215</v>
      </c>
      <c r="C37" s="646" t="s">
        <v>176</v>
      </c>
      <c r="D37" s="645">
        <v>22007</v>
      </c>
      <c r="E37" s="647">
        <v>44877</v>
      </c>
      <c r="F37" s="646" t="s">
        <v>824</v>
      </c>
      <c r="G37" s="646" t="s">
        <v>280</v>
      </c>
      <c r="H37" s="648" t="s">
        <v>345</v>
      </c>
      <c r="I37" s="452" t="s">
        <v>16</v>
      </c>
      <c r="J37" s="452" t="s">
        <v>542</v>
      </c>
      <c r="K37" s="645" t="s">
        <v>43</v>
      </c>
      <c r="L37" s="645" t="s">
        <v>544</v>
      </c>
      <c r="M37" s="645" t="s">
        <v>544</v>
      </c>
      <c r="N37" s="645" t="s">
        <v>8</v>
      </c>
      <c r="O37" s="647">
        <v>45098</v>
      </c>
      <c r="P37" s="647" t="s">
        <v>845</v>
      </c>
      <c r="Q37" s="647"/>
      <c r="V37" s="647"/>
      <c r="W37" s="647"/>
      <c r="X37" s="647"/>
      <c r="Y37" s="647"/>
      <c r="Z37" s="647"/>
      <c r="AA37" s="658">
        <v>45113</v>
      </c>
      <c r="AB37" s="452">
        <v>5000</v>
      </c>
      <c r="AC37" s="657" t="s">
        <v>280</v>
      </c>
      <c r="AD37" s="646"/>
    </row>
    <row r="38" spans="1:30" s="452" customFormat="1" hidden="1" x14ac:dyDescent="0.25">
      <c r="A38" s="644">
        <v>35</v>
      </c>
      <c r="B38" s="645" t="s">
        <v>215</v>
      </c>
      <c r="C38" s="646" t="s">
        <v>176</v>
      </c>
      <c r="D38" s="645">
        <v>22007</v>
      </c>
      <c r="E38" s="647">
        <v>44894</v>
      </c>
      <c r="F38" s="646" t="s">
        <v>846</v>
      </c>
      <c r="G38" s="646" t="s">
        <v>280</v>
      </c>
      <c r="H38" s="648" t="s">
        <v>352</v>
      </c>
      <c r="I38" s="452" t="s">
        <v>16</v>
      </c>
      <c r="J38" s="452" t="s">
        <v>542</v>
      </c>
      <c r="K38" s="645" t="s">
        <v>43</v>
      </c>
      <c r="L38" s="645" t="s">
        <v>544</v>
      </c>
      <c r="M38" s="645" t="s">
        <v>544</v>
      </c>
      <c r="N38" s="645" t="s">
        <v>8</v>
      </c>
      <c r="O38" s="647">
        <v>45112</v>
      </c>
      <c r="P38" s="647" t="s">
        <v>825</v>
      </c>
      <c r="Q38" s="647">
        <v>45141</v>
      </c>
      <c r="R38" s="647" t="s">
        <v>842</v>
      </c>
      <c r="V38" s="647"/>
      <c r="W38" s="647"/>
      <c r="X38" s="647"/>
      <c r="Y38" s="647"/>
      <c r="Z38" s="647"/>
      <c r="AA38" s="647">
        <v>45229</v>
      </c>
      <c r="AB38" s="452">
        <v>5000</v>
      </c>
      <c r="AC38" s="657" t="s">
        <v>280</v>
      </c>
      <c r="AD38" s="646"/>
    </row>
    <row r="39" spans="1:30" s="452" customFormat="1" hidden="1" x14ac:dyDescent="0.25">
      <c r="A39" s="644">
        <v>36</v>
      </c>
      <c r="B39" s="645" t="s">
        <v>215</v>
      </c>
      <c r="C39" s="646" t="s">
        <v>37</v>
      </c>
      <c r="D39" s="645">
        <v>20003</v>
      </c>
      <c r="E39" s="647">
        <v>44898</v>
      </c>
      <c r="F39" s="646" t="s">
        <v>191</v>
      </c>
      <c r="G39" s="646" t="s">
        <v>117</v>
      </c>
      <c r="H39" s="648" t="s">
        <v>353</v>
      </c>
      <c r="I39" s="452" t="s">
        <v>109</v>
      </c>
      <c r="J39" s="452" t="s">
        <v>544</v>
      </c>
      <c r="K39" s="645" t="s">
        <v>43</v>
      </c>
      <c r="L39" s="645" t="s">
        <v>544</v>
      </c>
      <c r="M39" s="645" t="s">
        <v>544</v>
      </c>
      <c r="N39" s="645" t="s">
        <v>8</v>
      </c>
      <c r="O39" s="647"/>
      <c r="P39" s="647"/>
      <c r="Q39" s="647"/>
      <c r="V39" s="647"/>
      <c r="W39" s="647"/>
      <c r="X39" s="647"/>
      <c r="Y39" s="647"/>
      <c r="Z39" s="647"/>
      <c r="AA39" s="647">
        <v>45031</v>
      </c>
      <c r="AB39" s="452">
        <v>4000</v>
      </c>
      <c r="AC39" s="660" t="s">
        <v>117</v>
      </c>
      <c r="AD39" s="646"/>
    </row>
    <row r="40" spans="1:30" s="452" customFormat="1" hidden="1" x14ac:dyDescent="0.25">
      <c r="A40" s="644">
        <v>37</v>
      </c>
      <c r="B40" s="645" t="s">
        <v>215</v>
      </c>
      <c r="C40" s="646" t="s">
        <v>334</v>
      </c>
      <c r="D40" s="645">
        <v>22035</v>
      </c>
      <c r="E40" s="647">
        <v>44905</v>
      </c>
      <c r="F40" s="646" t="s">
        <v>358</v>
      </c>
      <c r="G40" s="646" t="s">
        <v>117</v>
      </c>
      <c r="H40" s="648" t="s">
        <v>357</v>
      </c>
      <c r="I40" s="452" t="s">
        <v>51</v>
      </c>
      <c r="J40" s="452" t="s">
        <v>543</v>
      </c>
      <c r="K40" s="645" t="s">
        <v>29</v>
      </c>
      <c r="L40" s="645" t="s">
        <v>544</v>
      </c>
      <c r="M40" s="645" t="s">
        <v>544</v>
      </c>
      <c r="N40" s="645" t="s">
        <v>8</v>
      </c>
      <c r="O40" s="647"/>
      <c r="P40" s="647"/>
      <c r="Q40" s="647"/>
      <c r="V40" s="647"/>
      <c r="W40" s="647"/>
      <c r="X40" s="647"/>
      <c r="Y40" s="647"/>
      <c r="Z40" s="647"/>
      <c r="AA40" s="647">
        <v>45044</v>
      </c>
      <c r="AB40" s="452">
        <v>3000</v>
      </c>
      <c r="AC40" s="660" t="s">
        <v>117</v>
      </c>
      <c r="AD40" s="646"/>
    </row>
    <row r="41" spans="1:30" s="452" customFormat="1" hidden="1" x14ac:dyDescent="0.25">
      <c r="A41" s="644">
        <v>38</v>
      </c>
      <c r="B41" s="645" t="s">
        <v>215</v>
      </c>
      <c r="C41" s="646" t="s">
        <v>175</v>
      </c>
      <c r="D41" s="645">
        <v>22006</v>
      </c>
      <c r="E41" s="647">
        <v>44905</v>
      </c>
      <c r="F41" s="646" t="s">
        <v>322</v>
      </c>
      <c r="G41" s="646" t="s">
        <v>166</v>
      </c>
      <c r="H41" s="648" t="s">
        <v>359</v>
      </c>
      <c r="I41" s="452" t="s">
        <v>360</v>
      </c>
      <c r="J41" s="452" t="s">
        <v>542</v>
      </c>
      <c r="K41" s="645" t="s">
        <v>29</v>
      </c>
      <c r="L41" s="645" t="s">
        <v>544</v>
      </c>
      <c r="M41" s="645" t="s">
        <v>544</v>
      </c>
      <c r="N41" s="645" t="s">
        <v>8</v>
      </c>
      <c r="O41" s="647"/>
      <c r="P41" s="647"/>
      <c r="Q41" s="647"/>
      <c r="V41" s="647"/>
      <c r="W41" s="647"/>
      <c r="X41" s="647"/>
      <c r="Y41" s="647"/>
      <c r="Z41" s="647"/>
      <c r="AA41" s="647">
        <v>45087</v>
      </c>
      <c r="AB41" s="452">
        <v>5000</v>
      </c>
      <c r="AC41" s="654" t="s">
        <v>166</v>
      </c>
      <c r="AD41" s="646"/>
    </row>
    <row r="42" spans="1:30" s="452" customFormat="1" hidden="1" x14ac:dyDescent="0.25">
      <c r="A42" s="644">
        <v>39</v>
      </c>
      <c r="B42" s="645" t="s">
        <v>215</v>
      </c>
      <c r="C42" s="646" t="s">
        <v>175</v>
      </c>
      <c r="D42" s="645">
        <v>22006</v>
      </c>
      <c r="E42" s="647">
        <v>44912</v>
      </c>
      <c r="F42" s="646" t="s">
        <v>248</v>
      </c>
      <c r="G42" s="646" t="s">
        <v>276</v>
      </c>
      <c r="H42" s="648" t="s">
        <v>362</v>
      </c>
      <c r="I42" s="452" t="s">
        <v>51</v>
      </c>
      <c r="J42" s="452" t="s">
        <v>543</v>
      </c>
      <c r="K42" s="645" t="s">
        <v>29</v>
      </c>
      <c r="L42" s="645" t="s">
        <v>544</v>
      </c>
      <c r="M42" s="645" t="s">
        <v>544</v>
      </c>
      <c r="N42" s="645" t="s">
        <v>8</v>
      </c>
      <c r="O42" s="647"/>
      <c r="P42" s="647"/>
      <c r="Q42" s="647"/>
      <c r="V42" s="647"/>
      <c r="W42" s="647"/>
      <c r="X42" s="647"/>
      <c r="Y42" s="647"/>
      <c r="Z42" s="647"/>
      <c r="AA42" s="647">
        <v>45054</v>
      </c>
      <c r="AB42" s="452">
        <v>5000</v>
      </c>
      <c r="AC42" s="653" t="s">
        <v>276</v>
      </c>
      <c r="AD42" s="646" t="s">
        <v>538</v>
      </c>
    </row>
    <row r="43" spans="1:30" s="452" customFormat="1" ht="25.5" hidden="1" x14ac:dyDescent="0.25">
      <c r="A43" s="644">
        <v>40</v>
      </c>
      <c r="B43" s="645" t="s">
        <v>215</v>
      </c>
      <c r="C43" s="646" t="s">
        <v>176</v>
      </c>
      <c r="D43" s="645">
        <v>22007</v>
      </c>
      <c r="E43" s="647">
        <v>44914</v>
      </c>
      <c r="F43" s="646" t="s">
        <v>1028</v>
      </c>
      <c r="G43" s="646" t="s">
        <v>104</v>
      </c>
      <c r="H43" s="648" t="s">
        <v>364</v>
      </c>
      <c r="I43" s="452" t="s">
        <v>365</v>
      </c>
      <c r="J43" s="452" t="s">
        <v>542</v>
      </c>
      <c r="K43" s="645" t="s">
        <v>43</v>
      </c>
      <c r="L43" s="645" t="s">
        <v>544</v>
      </c>
      <c r="M43" s="645" t="s">
        <v>544</v>
      </c>
      <c r="N43" s="645" t="s">
        <v>13</v>
      </c>
      <c r="O43" s="647"/>
      <c r="P43" s="647"/>
      <c r="Q43" s="647"/>
      <c r="V43" s="647"/>
      <c r="W43" s="647"/>
      <c r="X43" s="647"/>
      <c r="Y43" s="647"/>
      <c r="Z43" s="647"/>
      <c r="AA43" s="647">
        <v>45231</v>
      </c>
      <c r="AB43" s="452">
        <v>4500</v>
      </c>
      <c r="AC43" s="649" t="s">
        <v>264</v>
      </c>
      <c r="AD43" s="646" t="s">
        <v>983</v>
      </c>
    </row>
    <row r="44" spans="1:30" s="452" customFormat="1" hidden="1" x14ac:dyDescent="0.25">
      <c r="A44" s="644">
        <v>41</v>
      </c>
      <c r="B44" s="452" t="s">
        <v>215</v>
      </c>
      <c r="C44" s="646" t="s">
        <v>334</v>
      </c>
      <c r="D44" s="645">
        <v>22035</v>
      </c>
      <c r="E44" s="647">
        <v>44929</v>
      </c>
      <c r="F44" s="453" t="s">
        <v>335</v>
      </c>
      <c r="G44" s="453"/>
      <c r="H44" s="648" t="s">
        <v>374</v>
      </c>
      <c r="I44" s="452" t="s">
        <v>91</v>
      </c>
      <c r="J44" s="452" t="s">
        <v>543</v>
      </c>
      <c r="K44" s="645" t="s">
        <v>29</v>
      </c>
      <c r="L44" s="645" t="s">
        <v>544</v>
      </c>
      <c r="M44" s="645" t="s">
        <v>544</v>
      </c>
      <c r="N44" s="645" t="s">
        <v>946</v>
      </c>
      <c r="AA44" s="647">
        <v>45032</v>
      </c>
      <c r="AB44" s="452" t="s">
        <v>373</v>
      </c>
      <c r="AC44" s="452" t="s">
        <v>6</v>
      </c>
      <c r="AD44" s="453"/>
    </row>
    <row r="45" spans="1:30" s="452" customFormat="1" hidden="1" x14ac:dyDescent="0.25">
      <c r="A45" s="644">
        <v>42</v>
      </c>
      <c r="B45" s="645" t="s">
        <v>215</v>
      </c>
      <c r="C45" s="646" t="s">
        <v>175</v>
      </c>
      <c r="D45" s="645">
        <v>22006</v>
      </c>
      <c r="E45" s="647">
        <v>44930</v>
      </c>
      <c r="F45" s="646" t="s">
        <v>259</v>
      </c>
      <c r="G45" s="646" t="s">
        <v>276</v>
      </c>
      <c r="H45" s="648" t="s">
        <v>369</v>
      </c>
      <c r="I45" s="452" t="s">
        <v>51</v>
      </c>
      <c r="J45" s="452" t="s">
        <v>542</v>
      </c>
      <c r="K45" s="645" t="s">
        <v>29</v>
      </c>
      <c r="L45" s="645" t="s">
        <v>544</v>
      </c>
      <c r="M45" s="645" t="s">
        <v>544</v>
      </c>
      <c r="N45" s="645" t="s">
        <v>13</v>
      </c>
      <c r="O45" s="647"/>
      <c r="P45" s="647"/>
      <c r="Q45" s="647"/>
      <c r="V45" s="647"/>
      <c r="W45" s="647"/>
      <c r="X45" s="647"/>
      <c r="Y45" s="647"/>
      <c r="Z45" s="647"/>
      <c r="AA45" s="647">
        <v>45111</v>
      </c>
      <c r="AB45" s="452">
        <v>4500</v>
      </c>
      <c r="AC45" s="653" t="s">
        <v>276</v>
      </c>
      <c r="AD45" s="646" t="s">
        <v>368</v>
      </c>
    </row>
    <row r="46" spans="1:30" s="452" customFormat="1" hidden="1" x14ac:dyDescent="0.25">
      <c r="A46" s="644">
        <v>43</v>
      </c>
      <c r="B46" s="645" t="s">
        <v>215</v>
      </c>
      <c r="C46" s="646" t="s">
        <v>176</v>
      </c>
      <c r="D46" s="645">
        <v>22007</v>
      </c>
      <c r="E46" s="647">
        <v>44944</v>
      </c>
      <c r="F46" s="646" t="s">
        <v>267</v>
      </c>
      <c r="G46" s="646" t="s">
        <v>280</v>
      </c>
      <c r="H46" s="648" t="s">
        <v>375</v>
      </c>
      <c r="I46" s="452" t="s">
        <v>16</v>
      </c>
      <c r="J46" s="452" t="s">
        <v>542</v>
      </c>
      <c r="K46" s="645" t="s">
        <v>43</v>
      </c>
      <c r="L46" s="645" t="s">
        <v>544</v>
      </c>
      <c r="M46" s="645" t="s">
        <v>544</v>
      </c>
      <c r="N46" s="645" t="s">
        <v>8</v>
      </c>
      <c r="O46" s="647"/>
      <c r="P46" s="647"/>
      <c r="Q46" s="647"/>
      <c r="V46" s="647"/>
      <c r="W46" s="647"/>
      <c r="X46" s="647"/>
      <c r="Y46" s="647"/>
      <c r="Z46" s="647"/>
      <c r="AA46" s="647">
        <v>45141</v>
      </c>
      <c r="AB46" s="452">
        <v>5000</v>
      </c>
      <c r="AC46" s="657" t="s">
        <v>280</v>
      </c>
      <c r="AD46" s="646"/>
    </row>
    <row r="47" spans="1:30" s="452" customFormat="1" ht="25.5" hidden="1" x14ac:dyDescent="0.25">
      <c r="A47" s="644">
        <v>44</v>
      </c>
      <c r="B47" s="645" t="s">
        <v>215</v>
      </c>
      <c r="C47" s="646" t="s">
        <v>175</v>
      </c>
      <c r="D47" s="645">
        <v>22006</v>
      </c>
      <c r="E47" s="647">
        <v>44947</v>
      </c>
      <c r="F47" s="646" t="s">
        <v>539</v>
      </c>
      <c r="G47" s="646" t="s">
        <v>276</v>
      </c>
      <c r="H47" s="648" t="s">
        <v>377</v>
      </c>
      <c r="I47" s="452" t="s">
        <v>51</v>
      </c>
      <c r="J47" s="452" t="s">
        <v>542</v>
      </c>
      <c r="K47" s="645" t="s">
        <v>29</v>
      </c>
      <c r="L47" s="645" t="s">
        <v>544</v>
      </c>
      <c r="M47" s="645" t="s">
        <v>544</v>
      </c>
      <c r="N47" s="645" t="s">
        <v>8</v>
      </c>
      <c r="O47" s="647"/>
      <c r="P47" s="647"/>
      <c r="Q47" s="647"/>
      <c r="V47" s="647"/>
      <c r="W47" s="647"/>
      <c r="X47" s="647"/>
      <c r="Y47" s="647"/>
      <c r="Z47" s="647"/>
      <c r="AA47" s="647">
        <v>45111</v>
      </c>
      <c r="AB47" s="452">
        <v>5000</v>
      </c>
      <c r="AC47" s="653" t="s">
        <v>276</v>
      </c>
      <c r="AD47" s="646" t="s">
        <v>540</v>
      </c>
    </row>
    <row r="48" spans="1:30" s="452" customFormat="1" hidden="1" x14ac:dyDescent="0.25">
      <c r="A48" s="644">
        <v>45</v>
      </c>
      <c r="B48" s="645" t="s">
        <v>215</v>
      </c>
      <c r="C48" s="646" t="s">
        <v>382</v>
      </c>
      <c r="D48" s="645">
        <v>23001</v>
      </c>
      <c r="E48" s="647">
        <v>44947</v>
      </c>
      <c r="F48" s="646" t="s">
        <v>381</v>
      </c>
      <c r="G48" s="646" t="s">
        <v>378</v>
      </c>
      <c r="H48" s="648" t="s">
        <v>379</v>
      </c>
      <c r="I48" s="452" t="s">
        <v>380</v>
      </c>
      <c r="J48" s="452" t="s">
        <v>543</v>
      </c>
      <c r="K48" s="645" t="s">
        <v>29</v>
      </c>
      <c r="L48" s="645" t="s">
        <v>544</v>
      </c>
      <c r="M48" s="645" t="s">
        <v>544</v>
      </c>
      <c r="N48" s="645" t="s">
        <v>8</v>
      </c>
      <c r="O48" s="647"/>
      <c r="P48" s="647"/>
      <c r="Q48" s="647"/>
      <c r="V48" s="647"/>
      <c r="W48" s="647"/>
      <c r="X48" s="647"/>
      <c r="Y48" s="647"/>
      <c r="Z48" s="647"/>
      <c r="AA48" s="647">
        <v>0</v>
      </c>
      <c r="AB48" s="452">
        <v>5000</v>
      </c>
      <c r="AC48" s="661" t="s">
        <v>378</v>
      </c>
      <c r="AD48" s="646"/>
    </row>
    <row r="49" spans="1:30" s="452" customFormat="1" hidden="1" x14ac:dyDescent="0.25">
      <c r="A49" s="644">
        <v>31</v>
      </c>
      <c r="B49" s="645" t="s">
        <v>215</v>
      </c>
      <c r="C49" s="646" t="s">
        <v>851</v>
      </c>
      <c r="D49" s="645">
        <v>23004</v>
      </c>
      <c r="E49" s="647">
        <v>44950</v>
      </c>
      <c r="F49" s="646" t="s">
        <v>386</v>
      </c>
      <c r="G49" s="646" t="s">
        <v>166</v>
      </c>
      <c r="H49" s="648" t="s">
        <v>385</v>
      </c>
      <c r="I49" s="452" t="s">
        <v>53</v>
      </c>
      <c r="J49" s="452" t="s">
        <v>544</v>
      </c>
      <c r="K49" s="645" t="s">
        <v>32</v>
      </c>
      <c r="L49" s="645" t="s">
        <v>544</v>
      </c>
      <c r="M49" s="645"/>
      <c r="N49" s="645" t="s">
        <v>8</v>
      </c>
      <c r="O49" s="647"/>
      <c r="P49" s="647"/>
      <c r="Q49" s="647"/>
      <c r="V49" s="647"/>
      <c r="W49" s="647"/>
      <c r="X49" s="647"/>
      <c r="Y49" s="647"/>
      <c r="Z49" s="647"/>
      <c r="AA49" s="647">
        <v>44990</v>
      </c>
      <c r="AB49" s="452">
        <v>5000</v>
      </c>
      <c r="AC49" s="654" t="s">
        <v>166</v>
      </c>
      <c r="AD49" s="646"/>
    </row>
    <row r="50" spans="1:30" s="452" customFormat="1" hidden="1" x14ac:dyDescent="0.2">
      <c r="A50" s="644">
        <v>310</v>
      </c>
      <c r="B50" s="644" t="s">
        <v>34</v>
      </c>
      <c r="C50" s="651" t="s">
        <v>1657</v>
      </c>
      <c r="D50" s="645">
        <v>25001</v>
      </c>
      <c r="E50" s="647">
        <v>45840</v>
      </c>
      <c r="F50" s="646" t="s">
        <v>1900</v>
      </c>
      <c r="G50" s="450" t="s">
        <v>1623</v>
      </c>
      <c r="H50" s="648" t="s">
        <v>1738</v>
      </c>
      <c r="I50" s="452" t="s">
        <v>7</v>
      </c>
      <c r="J50" s="452" t="s">
        <v>542</v>
      </c>
      <c r="K50" s="452" t="s">
        <v>29</v>
      </c>
      <c r="L50" s="645" t="s">
        <v>544</v>
      </c>
      <c r="M50" s="645" t="s">
        <v>544</v>
      </c>
      <c r="N50" s="645" t="s">
        <v>13</v>
      </c>
      <c r="O50" s="647">
        <v>45892</v>
      </c>
      <c r="P50" s="647" t="s">
        <v>1758</v>
      </c>
      <c r="Q50" s="647"/>
      <c r="V50" s="647"/>
      <c r="W50" s="647"/>
      <c r="X50" s="647"/>
      <c r="Y50" s="647"/>
      <c r="Z50" s="647"/>
      <c r="AA50" s="647"/>
      <c r="AB50" s="452">
        <v>3000</v>
      </c>
      <c r="AC50" s="653" t="s">
        <v>1689</v>
      </c>
      <c r="AD50" s="646"/>
    </row>
    <row r="51" spans="1:30" s="452" customFormat="1" hidden="1" x14ac:dyDescent="0.25">
      <c r="A51" s="644">
        <v>48</v>
      </c>
      <c r="B51" s="645" t="s">
        <v>215</v>
      </c>
      <c r="C51" s="646" t="s">
        <v>176</v>
      </c>
      <c r="D51" s="645">
        <v>22007</v>
      </c>
      <c r="E51" s="647">
        <v>44963</v>
      </c>
      <c r="F51" s="646" t="s">
        <v>393</v>
      </c>
      <c r="G51" s="646" t="s">
        <v>280</v>
      </c>
      <c r="H51" s="648" t="s">
        <v>392</v>
      </c>
      <c r="I51" s="452" t="s">
        <v>16</v>
      </c>
      <c r="J51" s="452" t="s">
        <v>542</v>
      </c>
      <c r="K51" s="645" t="s">
        <v>43</v>
      </c>
      <c r="L51" s="645" t="s">
        <v>544</v>
      </c>
      <c r="M51" s="645" t="s">
        <v>544</v>
      </c>
      <c r="N51" s="645" t="s">
        <v>8</v>
      </c>
      <c r="O51" s="647"/>
      <c r="P51" s="647"/>
      <c r="Q51" s="647"/>
      <c r="V51" s="647"/>
      <c r="W51" s="647"/>
      <c r="X51" s="647"/>
      <c r="Y51" s="647"/>
      <c r="Z51" s="647"/>
      <c r="AA51" s="647">
        <v>45288</v>
      </c>
      <c r="AB51" s="452">
        <v>5000</v>
      </c>
      <c r="AC51" s="657" t="s">
        <v>280</v>
      </c>
      <c r="AD51" s="646"/>
    </row>
    <row r="52" spans="1:30" s="452" customFormat="1" hidden="1" x14ac:dyDescent="0.25">
      <c r="A52" s="644">
        <v>49</v>
      </c>
      <c r="B52" s="645" t="s">
        <v>215</v>
      </c>
      <c r="C52" s="646" t="s">
        <v>382</v>
      </c>
      <c r="D52" s="645">
        <v>23001</v>
      </c>
      <c r="E52" s="647">
        <v>44966</v>
      </c>
      <c r="F52" s="646" t="s">
        <v>398</v>
      </c>
      <c r="G52" s="646" t="s">
        <v>104</v>
      </c>
      <c r="H52" s="648" t="s">
        <v>397</v>
      </c>
      <c r="I52" s="452" t="s">
        <v>12</v>
      </c>
      <c r="J52" s="452" t="s">
        <v>543</v>
      </c>
      <c r="K52" s="645" t="s">
        <v>29</v>
      </c>
      <c r="L52" s="645" t="s">
        <v>544</v>
      </c>
      <c r="M52" s="645" t="s">
        <v>544</v>
      </c>
      <c r="N52" s="645" t="s">
        <v>13</v>
      </c>
      <c r="O52" s="647"/>
      <c r="P52" s="647"/>
      <c r="Q52" s="647"/>
      <c r="V52" s="647"/>
      <c r="W52" s="647"/>
      <c r="X52" s="647"/>
      <c r="Y52" s="647"/>
      <c r="Z52" s="647"/>
      <c r="AA52" s="647">
        <v>45017</v>
      </c>
      <c r="AB52" s="452">
        <v>6000</v>
      </c>
      <c r="AC52" s="649" t="s">
        <v>264</v>
      </c>
      <c r="AD52" s="646"/>
    </row>
    <row r="53" spans="1:30" s="452" customFormat="1" hidden="1" x14ac:dyDescent="0.25">
      <c r="A53" s="644">
        <v>50</v>
      </c>
      <c r="B53" s="645" t="s">
        <v>215</v>
      </c>
      <c r="C53" s="646" t="s">
        <v>382</v>
      </c>
      <c r="D53" s="645">
        <v>23001</v>
      </c>
      <c r="E53" s="647">
        <v>44968</v>
      </c>
      <c r="F53" s="646" t="s">
        <v>396</v>
      </c>
      <c r="G53" s="646" t="s">
        <v>280</v>
      </c>
      <c r="H53" s="648" t="s">
        <v>395</v>
      </c>
      <c r="I53" s="452" t="s">
        <v>51</v>
      </c>
      <c r="J53" s="452" t="s">
        <v>543</v>
      </c>
      <c r="K53" s="645" t="s">
        <v>29</v>
      </c>
      <c r="L53" s="645" t="s">
        <v>544</v>
      </c>
      <c r="M53" s="645" t="s">
        <v>544</v>
      </c>
      <c r="N53" s="645" t="s">
        <v>8</v>
      </c>
      <c r="O53" s="647"/>
      <c r="P53" s="647"/>
      <c r="Q53" s="647"/>
      <c r="V53" s="647"/>
      <c r="W53" s="647"/>
      <c r="X53" s="647"/>
      <c r="Y53" s="647"/>
      <c r="Z53" s="647"/>
      <c r="AA53" s="647">
        <v>45017</v>
      </c>
      <c r="AB53" s="452">
        <v>5000</v>
      </c>
      <c r="AC53" s="657" t="s">
        <v>280</v>
      </c>
      <c r="AD53" s="646"/>
    </row>
    <row r="54" spans="1:30" s="452" customFormat="1" ht="25.5" hidden="1" x14ac:dyDescent="0.25">
      <c r="A54" s="644">
        <v>51</v>
      </c>
      <c r="B54" s="645" t="s">
        <v>215</v>
      </c>
      <c r="C54" s="646" t="s">
        <v>175</v>
      </c>
      <c r="D54" s="645">
        <v>22006</v>
      </c>
      <c r="E54" s="647">
        <v>44971</v>
      </c>
      <c r="F54" s="646" t="s">
        <v>815</v>
      </c>
      <c r="G54" s="646" t="s">
        <v>104</v>
      </c>
      <c r="H54" s="648" t="s">
        <v>401</v>
      </c>
      <c r="I54" s="452">
        <v>208</v>
      </c>
      <c r="J54" s="452" t="s">
        <v>542</v>
      </c>
      <c r="K54" s="645" t="s">
        <v>371</v>
      </c>
      <c r="L54" s="645" t="s">
        <v>544</v>
      </c>
      <c r="M54" s="645" t="s">
        <v>544</v>
      </c>
      <c r="N54" s="645" t="s">
        <v>13</v>
      </c>
      <c r="O54" s="647">
        <v>45022</v>
      </c>
      <c r="P54" s="647" t="s">
        <v>462</v>
      </c>
      <c r="Q54" s="647"/>
      <c r="V54" s="647"/>
      <c r="W54" s="647"/>
      <c r="X54" s="647"/>
      <c r="Y54" s="647"/>
      <c r="Z54" s="647"/>
      <c r="AA54" s="647">
        <v>45296</v>
      </c>
      <c r="AB54" s="452">
        <v>4500</v>
      </c>
      <c r="AC54" s="649" t="s">
        <v>264</v>
      </c>
      <c r="AD54" s="646" t="s">
        <v>816</v>
      </c>
    </row>
    <row r="55" spans="1:30" s="452" customFormat="1" hidden="1" x14ac:dyDescent="0.25">
      <c r="A55" s="644">
        <v>52</v>
      </c>
      <c r="B55" s="645" t="s">
        <v>215</v>
      </c>
      <c r="C55" s="646" t="s">
        <v>405</v>
      </c>
      <c r="D55" s="645">
        <v>19018</v>
      </c>
      <c r="E55" s="647">
        <v>44972</v>
      </c>
      <c r="F55" s="646" t="s">
        <v>404</v>
      </c>
      <c r="G55" s="646" t="s">
        <v>402</v>
      </c>
      <c r="H55" s="648" t="s">
        <v>403</v>
      </c>
      <c r="I55" s="452" t="s">
        <v>5</v>
      </c>
      <c r="J55" s="452" t="s">
        <v>544</v>
      </c>
      <c r="K55" s="645" t="s">
        <v>32</v>
      </c>
      <c r="L55" s="645" t="s">
        <v>544</v>
      </c>
      <c r="M55" s="645"/>
      <c r="N55" s="645" t="s">
        <v>13</v>
      </c>
      <c r="O55" s="647"/>
      <c r="P55" s="647"/>
      <c r="Q55" s="647"/>
      <c r="V55" s="647"/>
      <c r="W55" s="647"/>
      <c r="X55" s="647"/>
      <c r="Y55" s="647"/>
      <c r="Z55" s="647"/>
      <c r="AA55" s="647">
        <v>45106</v>
      </c>
      <c r="AB55" s="452">
        <v>6000</v>
      </c>
      <c r="AC55" s="662" t="s">
        <v>402</v>
      </c>
      <c r="AD55" s="646"/>
    </row>
    <row r="56" spans="1:30" s="452" customFormat="1" hidden="1" x14ac:dyDescent="0.25">
      <c r="A56" s="644">
        <v>53</v>
      </c>
      <c r="B56" s="645" t="s">
        <v>215</v>
      </c>
      <c r="C56" s="646" t="s">
        <v>405</v>
      </c>
      <c r="D56" s="645">
        <v>19018</v>
      </c>
      <c r="E56" s="647">
        <v>44972</v>
      </c>
      <c r="F56" s="646" t="s">
        <v>407</v>
      </c>
      <c r="G56" s="646" t="s">
        <v>406</v>
      </c>
      <c r="H56" s="648" t="s">
        <v>412</v>
      </c>
      <c r="I56" s="452" t="s">
        <v>5</v>
      </c>
      <c r="J56" s="452" t="s">
        <v>544</v>
      </c>
      <c r="K56" s="645" t="s">
        <v>32</v>
      </c>
      <c r="L56" s="645" t="s">
        <v>544</v>
      </c>
      <c r="M56" s="645"/>
      <c r="N56" s="645" t="s">
        <v>826</v>
      </c>
      <c r="O56" s="647"/>
      <c r="P56" s="647"/>
      <c r="Q56" s="647"/>
      <c r="V56" s="647"/>
      <c r="W56" s="647"/>
      <c r="X56" s="647"/>
      <c r="Y56" s="647"/>
      <c r="Z56" s="647"/>
      <c r="AA56" s="647">
        <v>45100</v>
      </c>
      <c r="AB56" s="452">
        <v>6000</v>
      </c>
      <c r="AC56" s="663" t="s">
        <v>406</v>
      </c>
      <c r="AD56" s="646"/>
    </row>
    <row r="57" spans="1:30" s="452" customFormat="1" hidden="1" x14ac:dyDescent="0.25">
      <c r="A57" s="644">
        <v>54</v>
      </c>
      <c r="B57" s="645" t="s">
        <v>215</v>
      </c>
      <c r="C57" s="646" t="s">
        <v>175</v>
      </c>
      <c r="D57" s="645">
        <v>22006</v>
      </c>
      <c r="E57" s="647">
        <v>44996</v>
      </c>
      <c r="F57" s="646" t="s">
        <v>372</v>
      </c>
      <c r="G57" s="646" t="s">
        <v>276</v>
      </c>
      <c r="H57" s="648" t="s">
        <v>439</v>
      </c>
      <c r="I57" s="452" t="s">
        <v>51</v>
      </c>
      <c r="J57" s="452" t="s">
        <v>542</v>
      </c>
      <c r="K57" s="645" t="s">
        <v>29</v>
      </c>
      <c r="L57" s="645" t="s">
        <v>544</v>
      </c>
      <c r="M57" s="645" t="s">
        <v>544</v>
      </c>
      <c r="N57" s="645" t="s">
        <v>8</v>
      </c>
      <c r="O57" s="647">
        <v>45164</v>
      </c>
      <c r="P57" s="647" t="s">
        <v>867</v>
      </c>
      <c r="Q57" s="647"/>
      <c r="V57" s="647"/>
      <c r="W57" s="647"/>
      <c r="X57" s="647"/>
      <c r="Y57" s="647"/>
      <c r="Z57" s="647"/>
      <c r="AA57" s="647">
        <v>45185</v>
      </c>
      <c r="AB57" s="452">
        <v>5000</v>
      </c>
      <c r="AC57" s="653" t="s">
        <v>276</v>
      </c>
      <c r="AD57" s="646"/>
    </row>
    <row r="58" spans="1:30" s="452" customFormat="1" hidden="1" x14ac:dyDescent="0.25">
      <c r="A58" s="644">
        <v>55</v>
      </c>
      <c r="B58" s="645" t="s">
        <v>215</v>
      </c>
      <c r="C58" s="646" t="s">
        <v>382</v>
      </c>
      <c r="D58" s="645">
        <v>23001</v>
      </c>
      <c r="E58" s="647">
        <v>45010</v>
      </c>
      <c r="F58" s="646" t="s">
        <v>410</v>
      </c>
      <c r="G58" s="646" t="s">
        <v>280</v>
      </c>
      <c r="H58" s="648" t="s">
        <v>441</v>
      </c>
      <c r="I58" s="452" t="s">
        <v>365</v>
      </c>
      <c r="J58" s="452" t="s">
        <v>543</v>
      </c>
      <c r="K58" s="645" t="s">
        <v>43</v>
      </c>
      <c r="L58" s="645" t="s">
        <v>544</v>
      </c>
      <c r="M58" s="645" t="s">
        <v>544</v>
      </c>
      <c r="N58" s="645" t="s">
        <v>8</v>
      </c>
      <c r="O58" s="647"/>
      <c r="P58" s="647"/>
      <c r="Q58" s="647"/>
      <c r="V58" s="647"/>
      <c r="W58" s="647"/>
      <c r="X58" s="647"/>
      <c r="Y58" s="647"/>
      <c r="Z58" s="647"/>
      <c r="AA58" s="647">
        <v>45034</v>
      </c>
      <c r="AB58" s="452">
        <v>5000</v>
      </c>
      <c r="AC58" s="657" t="s">
        <v>280</v>
      </c>
      <c r="AD58" s="646"/>
    </row>
    <row r="59" spans="1:30" s="452" customFormat="1" hidden="1" x14ac:dyDescent="0.25">
      <c r="A59" s="644">
        <v>56</v>
      </c>
      <c r="B59" s="645" t="s">
        <v>215</v>
      </c>
      <c r="C59" s="646" t="s">
        <v>382</v>
      </c>
      <c r="D59" s="645">
        <v>23001</v>
      </c>
      <c r="E59" s="647">
        <v>45010</v>
      </c>
      <c r="F59" s="646" t="s">
        <v>390</v>
      </c>
      <c r="G59" s="646" t="s">
        <v>280</v>
      </c>
      <c r="H59" s="648" t="s">
        <v>442</v>
      </c>
      <c r="I59" s="452" t="s">
        <v>16</v>
      </c>
      <c r="J59" s="452" t="s">
        <v>543</v>
      </c>
      <c r="K59" s="645" t="s">
        <v>43</v>
      </c>
      <c r="L59" s="645" t="s">
        <v>544</v>
      </c>
      <c r="M59" s="645" t="s">
        <v>544</v>
      </c>
      <c r="N59" s="645" t="s">
        <v>8</v>
      </c>
      <c r="O59" s="647"/>
      <c r="P59" s="647"/>
      <c r="Q59" s="647"/>
      <c r="V59" s="647"/>
      <c r="W59" s="647"/>
      <c r="X59" s="647"/>
      <c r="Y59" s="647"/>
      <c r="Z59" s="647"/>
      <c r="AA59" s="647">
        <v>45057</v>
      </c>
      <c r="AB59" s="452">
        <v>5000</v>
      </c>
      <c r="AC59" s="657" t="s">
        <v>280</v>
      </c>
      <c r="AD59" s="646"/>
    </row>
    <row r="60" spans="1:30" s="452" customFormat="1" hidden="1" x14ac:dyDescent="0.25">
      <c r="A60" s="644">
        <v>57</v>
      </c>
      <c r="B60" s="645" t="s">
        <v>215</v>
      </c>
      <c r="C60" s="646" t="s">
        <v>382</v>
      </c>
      <c r="D60" s="645">
        <v>23001</v>
      </c>
      <c r="E60" s="647">
        <v>45010</v>
      </c>
      <c r="F60" s="646" t="s">
        <v>388</v>
      </c>
      <c r="G60" s="646" t="s">
        <v>280</v>
      </c>
      <c r="H60" s="648" t="s">
        <v>443</v>
      </c>
      <c r="I60" s="452" t="s">
        <v>157</v>
      </c>
      <c r="J60" s="452" t="s">
        <v>542</v>
      </c>
      <c r="K60" s="645" t="s">
        <v>43</v>
      </c>
      <c r="L60" s="645" t="s">
        <v>544</v>
      </c>
      <c r="M60" s="645" t="s">
        <v>544</v>
      </c>
      <c r="N60" s="645" t="s">
        <v>8</v>
      </c>
      <c r="O60" s="647"/>
      <c r="P60" s="647"/>
      <c r="Q60" s="647"/>
      <c r="V60" s="647"/>
      <c r="W60" s="647"/>
      <c r="X60" s="647"/>
      <c r="Y60" s="647"/>
      <c r="Z60" s="647"/>
      <c r="AA60" s="647">
        <v>45062</v>
      </c>
      <c r="AB60" s="452">
        <v>5000</v>
      </c>
      <c r="AC60" s="657" t="s">
        <v>280</v>
      </c>
      <c r="AD60" s="646" t="s">
        <v>445</v>
      </c>
    </row>
    <row r="61" spans="1:30" s="452" customFormat="1" hidden="1" x14ac:dyDescent="0.25">
      <c r="A61" s="644">
        <v>58</v>
      </c>
      <c r="B61" s="645" t="s">
        <v>215</v>
      </c>
      <c r="C61" s="646" t="s">
        <v>454</v>
      </c>
      <c r="D61" s="645">
        <v>22005</v>
      </c>
      <c r="E61" s="647">
        <v>45016</v>
      </c>
      <c r="F61" s="646" t="s">
        <v>453</v>
      </c>
      <c r="G61" s="646" t="s">
        <v>117</v>
      </c>
      <c r="H61" s="648" t="s">
        <v>451</v>
      </c>
      <c r="I61" s="452" t="s">
        <v>452</v>
      </c>
      <c r="J61" s="452" t="s">
        <v>544</v>
      </c>
      <c r="K61" s="645" t="s">
        <v>43</v>
      </c>
      <c r="L61" s="645" t="s">
        <v>544</v>
      </c>
      <c r="M61" s="645" t="s">
        <v>544</v>
      </c>
      <c r="N61" s="645" t="s">
        <v>13</v>
      </c>
      <c r="O61" s="647"/>
      <c r="P61" s="647"/>
      <c r="Q61" s="647"/>
      <c r="V61" s="647"/>
      <c r="W61" s="647"/>
      <c r="X61" s="647"/>
      <c r="Y61" s="647"/>
      <c r="Z61" s="647"/>
      <c r="AA61" s="647"/>
      <c r="AB61" s="452">
        <v>3000</v>
      </c>
      <c r="AC61" s="654" t="s">
        <v>166</v>
      </c>
      <c r="AD61" s="646" t="s">
        <v>455</v>
      </c>
    </row>
    <row r="62" spans="1:30" s="452" customFormat="1" hidden="1" x14ac:dyDescent="0.25">
      <c r="A62" s="644">
        <v>59</v>
      </c>
      <c r="B62" s="645" t="s">
        <v>215</v>
      </c>
      <c r="C62" s="646" t="s">
        <v>382</v>
      </c>
      <c r="D62" s="645">
        <v>23001</v>
      </c>
      <c r="E62" s="647">
        <v>45017</v>
      </c>
      <c r="F62" s="646" t="s">
        <v>396</v>
      </c>
      <c r="G62" s="646" t="s">
        <v>280</v>
      </c>
      <c r="H62" s="648" t="s">
        <v>456</v>
      </c>
      <c r="I62" s="452" t="s">
        <v>452</v>
      </c>
      <c r="J62" s="452" t="s">
        <v>543</v>
      </c>
      <c r="K62" s="645" t="s">
        <v>43</v>
      </c>
      <c r="L62" s="645" t="s">
        <v>544</v>
      </c>
      <c r="M62" s="645" t="s">
        <v>544</v>
      </c>
      <c r="N62" s="645" t="s">
        <v>8</v>
      </c>
      <c r="O62" s="647"/>
      <c r="P62" s="647"/>
      <c r="Q62" s="647"/>
      <c r="V62" s="647"/>
      <c r="W62" s="647"/>
      <c r="X62" s="647"/>
      <c r="Y62" s="647"/>
      <c r="Z62" s="647"/>
      <c r="AA62" s="647">
        <v>45045</v>
      </c>
      <c r="AB62" s="452">
        <v>5000</v>
      </c>
      <c r="AC62" s="657" t="s">
        <v>280</v>
      </c>
      <c r="AD62" s="646"/>
    </row>
    <row r="63" spans="1:30" s="452" customFormat="1" hidden="1" x14ac:dyDescent="0.25">
      <c r="A63" s="644">
        <v>60</v>
      </c>
      <c r="B63" s="645" t="s">
        <v>215</v>
      </c>
      <c r="C63" s="646" t="s">
        <v>382</v>
      </c>
      <c r="D63" s="645">
        <v>23001</v>
      </c>
      <c r="E63" s="647">
        <v>45017</v>
      </c>
      <c r="F63" s="646" t="s">
        <v>398</v>
      </c>
      <c r="G63" s="646" t="s">
        <v>104</v>
      </c>
      <c r="H63" s="648" t="s">
        <v>457</v>
      </c>
      <c r="I63" s="452" t="s">
        <v>452</v>
      </c>
      <c r="J63" s="452" t="s">
        <v>543</v>
      </c>
      <c r="K63" s="645" t="s">
        <v>62</v>
      </c>
      <c r="L63" s="645" t="s">
        <v>544</v>
      </c>
      <c r="M63" s="645" t="s">
        <v>544</v>
      </c>
      <c r="N63" s="645" t="s">
        <v>13</v>
      </c>
      <c r="O63" s="647"/>
      <c r="P63" s="647"/>
      <c r="Q63" s="647"/>
      <c r="V63" s="647"/>
      <c r="W63" s="647"/>
      <c r="X63" s="647"/>
      <c r="Y63" s="647"/>
      <c r="Z63" s="647"/>
      <c r="AA63" s="647">
        <v>45059</v>
      </c>
      <c r="AB63" s="452">
        <v>4500</v>
      </c>
      <c r="AC63" s="649" t="s">
        <v>264</v>
      </c>
      <c r="AD63" s="646"/>
    </row>
    <row r="64" spans="1:30" s="452" customFormat="1" hidden="1" x14ac:dyDescent="0.25">
      <c r="A64" s="644">
        <v>61</v>
      </c>
      <c r="B64" s="645" t="s">
        <v>215</v>
      </c>
      <c r="C64" s="646" t="s">
        <v>382</v>
      </c>
      <c r="D64" s="645">
        <v>23001</v>
      </c>
      <c r="E64" s="647">
        <v>45031</v>
      </c>
      <c r="F64" s="646" t="s">
        <v>381</v>
      </c>
      <c r="G64" s="646" t="s">
        <v>117</v>
      </c>
      <c r="H64" s="648" t="s">
        <v>513</v>
      </c>
      <c r="I64" s="452" t="s">
        <v>109</v>
      </c>
      <c r="J64" s="452" t="s">
        <v>543</v>
      </c>
      <c r="K64" s="645" t="s">
        <v>43</v>
      </c>
      <c r="L64" s="645" t="s">
        <v>544</v>
      </c>
      <c r="M64" s="645" t="s">
        <v>544</v>
      </c>
      <c r="N64" s="645" t="s">
        <v>8</v>
      </c>
      <c r="O64" s="647"/>
      <c r="P64" s="647"/>
      <c r="Q64" s="647"/>
      <c r="V64" s="647"/>
      <c r="W64" s="647"/>
      <c r="X64" s="647"/>
      <c r="Y64" s="647"/>
      <c r="Z64" s="647"/>
      <c r="AA64" s="647">
        <v>45045</v>
      </c>
      <c r="AB64" s="452">
        <v>5000</v>
      </c>
      <c r="AC64" s="653" t="s">
        <v>514</v>
      </c>
      <c r="AD64" s="646" t="s">
        <v>445</v>
      </c>
    </row>
    <row r="65" spans="1:30" s="452" customFormat="1" hidden="1" x14ac:dyDescent="0.25">
      <c r="A65" s="644">
        <v>62</v>
      </c>
      <c r="B65" s="645" t="s">
        <v>215</v>
      </c>
      <c r="C65" s="646" t="s">
        <v>334</v>
      </c>
      <c r="D65" s="645">
        <v>22035</v>
      </c>
      <c r="E65" s="647">
        <v>45043</v>
      </c>
      <c r="F65" s="646" t="s">
        <v>453</v>
      </c>
      <c r="G65" s="646" t="s">
        <v>117</v>
      </c>
      <c r="H65" s="648" t="s">
        <v>516</v>
      </c>
      <c r="I65" s="452" t="s">
        <v>365</v>
      </c>
      <c r="J65" s="452" t="s">
        <v>543</v>
      </c>
      <c r="K65" s="645" t="s">
        <v>43</v>
      </c>
      <c r="L65" s="645" t="s">
        <v>544</v>
      </c>
      <c r="M65" s="645" t="s">
        <v>544</v>
      </c>
      <c r="N65" s="645" t="s">
        <v>8</v>
      </c>
      <c r="O65" s="647"/>
      <c r="P65" s="647"/>
      <c r="Q65" s="647"/>
      <c r="V65" s="647"/>
      <c r="W65" s="647"/>
      <c r="X65" s="647"/>
      <c r="Y65" s="647"/>
      <c r="Z65" s="647"/>
      <c r="AA65" s="647">
        <v>45056</v>
      </c>
      <c r="AB65" s="452">
        <v>3000</v>
      </c>
      <c r="AC65" s="660" t="s">
        <v>117</v>
      </c>
      <c r="AD65" s="646"/>
    </row>
    <row r="66" spans="1:30" s="452" customFormat="1" hidden="1" x14ac:dyDescent="0.25">
      <c r="A66" s="644">
        <v>63</v>
      </c>
      <c r="B66" s="644" t="s">
        <v>215</v>
      </c>
      <c r="C66" s="651" t="s">
        <v>465</v>
      </c>
      <c r="D66" s="645">
        <v>20017</v>
      </c>
      <c r="E66" s="647">
        <v>45054</v>
      </c>
      <c r="F66" s="646" t="s">
        <v>522</v>
      </c>
      <c r="G66" s="646" t="s">
        <v>117</v>
      </c>
      <c r="H66" s="648" t="s">
        <v>523</v>
      </c>
      <c r="I66" s="452" t="s">
        <v>278</v>
      </c>
      <c r="J66" s="452" t="s">
        <v>543</v>
      </c>
      <c r="K66" s="645" t="s">
        <v>29</v>
      </c>
      <c r="L66" s="645" t="s">
        <v>544</v>
      </c>
      <c r="M66" s="645" t="s">
        <v>544</v>
      </c>
      <c r="N66" s="645" t="s">
        <v>8</v>
      </c>
      <c r="O66" s="647"/>
      <c r="P66" s="647"/>
      <c r="Q66" s="647"/>
      <c r="V66" s="647"/>
      <c r="W66" s="647"/>
      <c r="X66" s="647"/>
      <c r="Y66" s="647"/>
      <c r="Z66" s="647"/>
      <c r="AA66" s="647">
        <v>45059</v>
      </c>
      <c r="AB66" s="452" t="s">
        <v>524</v>
      </c>
      <c r="AC66" s="653" t="s">
        <v>525</v>
      </c>
      <c r="AD66" s="646"/>
    </row>
    <row r="67" spans="1:30" s="452" customFormat="1" hidden="1" x14ac:dyDescent="0.25">
      <c r="A67" s="644">
        <v>64</v>
      </c>
      <c r="B67" s="644" t="s">
        <v>215</v>
      </c>
      <c r="C67" s="646" t="s">
        <v>175</v>
      </c>
      <c r="D67" s="645">
        <v>22006</v>
      </c>
      <c r="E67" s="647">
        <v>45054</v>
      </c>
      <c r="F67" s="646" t="s">
        <v>191</v>
      </c>
      <c r="G67" s="646" t="s">
        <v>166</v>
      </c>
      <c r="H67" s="648" t="s">
        <v>526</v>
      </c>
      <c r="I67" s="452" t="s">
        <v>51</v>
      </c>
      <c r="J67" s="452" t="s">
        <v>544</v>
      </c>
      <c r="K67" s="645" t="s">
        <v>29</v>
      </c>
      <c r="L67" s="645" t="s">
        <v>544</v>
      </c>
      <c r="M67" s="645" t="s">
        <v>544</v>
      </c>
      <c r="N67" s="645" t="s">
        <v>13</v>
      </c>
      <c r="O67" s="647"/>
      <c r="P67" s="647"/>
      <c r="Q67" s="647"/>
      <c r="V67" s="647"/>
      <c r="W67" s="647"/>
      <c r="X67" s="647"/>
      <c r="Y67" s="647"/>
      <c r="Z67" s="647"/>
      <c r="AA67" s="647">
        <v>45102</v>
      </c>
      <c r="AB67" s="452" t="s">
        <v>524</v>
      </c>
      <c r="AC67" s="654" t="s">
        <v>166</v>
      </c>
      <c r="AD67" s="646" t="s">
        <v>821</v>
      </c>
    </row>
    <row r="68" spans="1:30" s="452" customFormat="1" hidden="1" x14ac:dyDescent="0.25">
      <c r="A68" s="644">
        <v>65</v>
      </c>
      <c r="B68" s="644" t="s">
        <v>215</v>
      </c>
      <c r="C68" s="651" t="s">
        <v>537</v>
      </c>
      <c r="D68" s="645">
        <v>20017</v>
      </c>
      <c r="E68" s="647">
        <v>45055</v>
      </c>
      <c r="F68" s="646" t="s">
        <v>527</v>
      </c>
      <c r="G68" s="646" t="s">
        <v>117</v>
      </c>
      <c r="H68" s="648" t="s">
        <v>528</v>
      </c>
      <c r="I68" s="452" t="s">
        <v>529</v>
      </c>
      <c r="J68" s="452" t="s">
        <v>543</v>
      </c>
      <c r="K68" s="645" t="s">
        <v>29</v>
      </c>
      <c r="L68" s="645" t="s">
        <v>544</v>
      </c>
      <c r="M68" s="645" t="s">
        <v>544</v>
      </c>
      <c r="N68" s="645" t="s">
        <v>8</v>
      </c>
      <c r="O68" s="647"/>
      <c r="P68" s="647"/>
      <c r="Q68" s="647"/>
      <c r="V68" s="647"/>
      <c r="W68" s="647"/>
      <c r="X68" s="647"/>
      <c r="Y68" s="647"/>
      <c r="Z68" s="647"/>
      <c r="AA68" s="647">
        <v>45057</v>
      </c>
      <c r="AB68" s="452" t="s">
        <v>524</v>
      </c>
      <c r="AC68" s="653" t="s">
        <v>530</v>
      </c>
      <c r="AD68" s="646"/>
    </row>
    <row r="69" spans="1:30" s="452" customFormat="1" hidden="1" x14ac:dyDescent="0.25">
      <c r="A69" s="644">
        <v>66</v>
      </c>
      <c r="B69" s="644" t="s">
        <v>215</v>
      </c>
      <c r="C69" s="646" t="s">
        <v>175</v>
      </c>
      <c r="D69" s="645">
        <v>22006</v>
      </c>
      <c r="E69" s="647">
        <v>44935</v>
      </c>
      <c r="F69" s="646" t="s">
        <v>372</v>
      </c>
      <c r="G69" s="646" t="s">
        <v>276</v>
      </c>
      <c r="H69" s="648" t="s">
        <v>370</v>
      </c>
      <c r="I69" s="452" t="s">
        <v>12</v>
      </c>
      <c r="J69" s="452" t="s">
        <v>543</v>
      </c>
      <c r="K69" s="645" t="s">
        <v>531</v>
      </c>
      <c r="L69" s="645" t="s">
        <v>544</v>
      </c>
      <c r="M69" s="645" t="s">
        <v>544</v>
      </c>
      <c r="N69" s="645" t="s">
        <v>8</v>
      </c>
      <c r="O69" s="647"/>
      <c r="P69" s="647"/>
      <c r="Q69" s="647"/>
      <c r="V69" s="647"/>
      <c r="W69" s="647"/>
      <c r="X69" s="647"/>
      <c r="Y69" s="647"/>
      <c r="Z69" s="647"/>
      <c r="AA69" s="647">
        <v>44996</v>
      </c>
      <c r="AB69" s="452">
        <v>5000</v>
      </c>
      <c r="AC69" s="653" t="s">
        <v>276</v>
      </c>
      <c r="AD69" s="646" t="s">
        <v>363</v>
      </c>
    </row>
    <row r="70" spans="1:30" s="452" customFormat="1" hidden="1" x14ac:dyDescent="0.25">
      <c r="A70" s="644">
        <v>67</v>
      </c>
      <c r="B70" s="644" t="s">
        <v>215</v>
      </c>
      <c r="C70" s="646" t="s">
        <v>382</v>
      </c>
      <c r="D70" s="645">
        <v>23001</v>
      </c>
      <c r="E70" s="647">
        <v>44956</v>
      </c>
      <c r="F70" s="646" t="s">
        <v>410</v>
      </c>
      <c r="G70" s="646" t="s">
        <v>280</v>
      </c>
      <c r="H70" s="648" t="s">
        <v>409</v>
      </c>
      <c r="I70" s="452" t="s">
        <v>12</v>
      </c>
      <c r="J70" s="452" t="s">
        <v>543</v>
      </c>
      <c r="K70" s="645" t="s">
        <v>532</v>
      </c>
      <c r="L70" s="645" t="s">
        <v>544</v>
      </c>
      <c r="M70" s="645" t="s">
        <v>544</v>
      </c>
      <c r="N70" s="645" t="s">
        <v>8</v>
      </c>
      <c r="O70" s="647"/>
      <c r="P70" s="647"/>
      <c r="Q70" s="647"/>
      <c r="V70" s="647"/>
      <c r="W70" s="647"/>
      <c r="X70" s="647"/>
      <c r="Y70" s="647"/>
      <c r="Z70" s="647"/>
      <c r="AA70" s="647">
        <v>45010</v>
      </c>
      <c r="AB70" s="452">
        <v>5000</v>
      </c>
      <c r="AC70" s="664" t="s">
        <v>280</v>
      </c>
      <c r="AD70" s="646"/>
    </row>
    <row r="71" spans="1:30" s="452" customFormat="1" hidden="1" x14ac:dyDescent="0.25">
      <c r="A71" s="644">
        <v>68</v>
      </c>
      <c r="B71" s="644" t="s">
        <v>215</v>
      </c>
      <c r="C71" s="646" t="s">
        <v>382</v>
      </c>
      <c r="D71" s="645">
        <v>23001</v>
      </c>
      <c r="E71" s="647">
        <v>44959</v>
      </c>
      <c r="F71" s="646" t="s">
        <v>388</v>
      </c>
      <c r="G71" s="646" t="s">
        <v>280</v>
      </c>
      <c r="H71" s="648" t="s">
        <v>533</v>
      </c>
      <c r="I71" s="452" t="s">
        <v>12</v>
      </c>
      <c r="J71" s="452" t="s">
        <v>543</v>
      </c>
      <c r="K71" s="645" t="s">
        <v>532</v>
      </c>
      <c r="L71" s="645" t="s">
        <v>544</v>
      </c>
      <c r="M71" s="645" t="s">
        <v>544</v>
      </c>
      <c r="N71" s="645" t="s">
        <v>8</v>
      </c>
      <c r="O71" s="647"/>
      <c r="P71" s="647"/>
      <c r="Q71" s="647"/>
      <c r="V71" s="647"/>
      <c r="W71" s="647"/>
      <c r="X71" s="647"/>
      <c r="Y71" s="647"/>
      <c r="Z71" s="647"/>
      <c r="AA71" s="647">
        <v>45010</v>
      </c>
      <c r="AB71" s="452">
        <v>5000</v>
      </c>
      <c r="AC71" s="664" t="s">
        <v>280</v>
      </c>
      <c r="AD71" s="646"/>
    </row>
    <row r="72" spans="1:30" s="452" customFormat="1" hidden="1" x14ac:dyDescent="0.25">
      <c r="A72" s="644">
        <v>69</v>
      </c>
      <c r="B72" s="644" t="s">
        <v>215</v>
      </c>
      <c r="C72" s="646" t="s">
        <v>382</v>
      </c>
      <c r="D72" s="645">
        <v>23001</v>
      </c>
      <c r="E72" s="647">
        <v>44960</v>
      </c>
      <c r="F72" s="646" t="s">
        <v>534</v>
      </c>
      <c r="G72" s="646" t="s">
        <v>280</v>
      </c>
      <c r="H72" s="648" t="s">
        <v>389</v>
      </c>
      <c r="I72" s="452" t="s">
        <v>91</v>
      </c>
      <c r="J72" s="452" t="s">
        <v>543</v>
      </c>
      <c r="K72" s="645" t="s">
        <v>532</v>
      </c>
      <c r="L72" s="645" t="s">
        <v>544</v>
      </c>
      <c r="M72" s="645" t="s">
        <v>544</v>
      </c>
      <c r="N72" s="645" t="s">
        <v>535</v>
      </c>
      <c r="O72" s="647"/>
      <c r="P72" s="647"/>
      <c r="Q72" s="647"/>
      <c r="V72" s="647"/>
      <c r="W72" s="647"/>
      <c r="X72" s="647"/>
      <c r="Y72" s="647"/>
      <c r="Z72" s="647"/>
      <c r="AA72" s="647">
        <v>45010</v>
      </c>
      <c r="AB72" s="452">
        <v>5000</v>
      </c>
      <c r="AC72" s="664" t="s">
        <v>280</v>
      </c>
      <c r="AD72" s="646"/>
    </row>
    <row r="73" spans="1:30" s="452" customFormat="1" hidden="1" x14ac:dyDescent="0.25">
      <c r="A73" s="644">
        <v>70</v>
      </c>
      <c r="B73" s="644" t="s">
        <v>215</v>
      </c>
      <c r="C73" s="646" t="s">
        <v>175</v>
      </c>
      <c r="D73" s="645">
        <v>22006</v>
      </c>
      <c r="E73" s="647">
        <v>45078</v>
      </c>
      <c r="F73" s="646" t="s">
        <v>313</v>
      </c>
      <c r="G73" s="646" t="s">
        <v>117</v>
      </c>
      <c r="H73" s="648" t="s">
        <v>806</v>
      </c>
      <c r="I73" s="452" t="s">
        <v>157</v>
      </c>
      <c r="J73" s="452" t="s">
        <v>544</v>
      </c>
      <c r="K73" s="645" t="s">
        <v>62</v>
      </c>
      <c r="L73" s="645" t="s">
        <v>544</v>
      </c>
      <c r="M73" s="645" t="s">
        <v>544</v>
      </c>
      <c r="N73" s="645" t="s">
        <v>8</v>
      </c>
      <c r="O73" s="647">
        <v>45094</v>
      </c>
      <c r="P73" s="647" t="s">
        <v>814</v>
      </c>
      <c r="Q73" s="647"/>
      <c r="V73" s="647"/>
      <c r="W73" s="647"/>
      <c r="X73" s="647"/>
      <c r="Y73" s="647"/>
      <c r="Z73" s="647"/>
      <c r="AA73" s="647">
        <v>45194</v>
      </c>
      <c r="AB73" s="452">
        <v>5000</v>
      </c>
      <c r="AC73" s="653" t="s">
        <v>38</v>
      </c>
      <c r="AD73" s="646"/>
    </row>
    <row r="74" spans="1:30" s="452" customFormat="1" hidden="1" x14ac:dyDescent="0.25">
      <c r="A74" s="644">
        <v>71</v>
      </c>
      <c r="B74" s="644" t="s">
        <v>215</v>
      </c>
      <c r="C74" s="646" t="s">
        <v>847</v>
      </c>
      <c r="D74" s="645">
        <v>22006</v>
      </c>
      <c r="E74" s="647">
        <v>45088</v>
      </c>
      <c r="F74" s="646" t="s">
        <v>453</v>
      </c>
      <c r="G74" s="646" t="s">
        <v>117</v>
      </c>
      <c r="H74" s="648" t="s">
        <v>808</v>
      </c>
      <c r="I74" s="452" t="s">
        <v>809</v>
      </c>
      <c r="J74" s="452" t="s">
        <v>544</v>
      </c>
      <c r="K74" s="645" t="s">
        <v>43</v>
      </c>
      <c r="L74" s="645" t="s">
        <v>544</v>
      </c>
      <c r="M74" s="645" t="s">
        <v>544</v>
      </c>
      <c r="N74" s="645" t="s">
        <v>535</v>
      </c>
      <c r="O74" s="647"/>
      <c r="P74" s="647"/>
      <c r="Q74" s="647"/>
      <c r="V74" s="647"/>
      <c r="W74" s="647"/>
      <c r="X74" s="647"/>
      <c r="Y74" s="647"/>
      <c r="Z74" s="647"/>
      <c r="AA74" s="647">
        <v>45094</v>
      </c>
      <c r="AB74" s="452" t="s">
        <v>524</v>
      </c>
      <c r="AC74" s="653"/>
      <c r="AD74" s="646"/>
    </row>
    <row r="75" spans="1:30" s="452" customFormat="1" hidden="1" x14ac:dyDescent="0.25">
      <c r="A75" s="644">
        <v>72</v>
      </c>
      <c r="B75" s="644" t="s">
        <v>215</v>
      </c>
      <c r="C75" s="646" t="s">
        <v>537</v>
      </c>
      <c r="D75" s="645">
        <v>20017</v>
      </c>
      <c r="E75" s="647">
        <v>45090</v>
      </c>
      <c r="F75" s="646" t="s">
        <v>527</v>
      </c>
      <c r="G75" s="646" t="s">
        <v>117</v>
      </c>
      <c r="H75" s="648" t="s">
        <v>810</v>
      </c>
      <c r="I75" s="452" t="s">
        <v>51</v>
      </c>
      <c r="J75" s="452" t="s">
        <v>544</v>
      </c>
      <c r="K75" s="645" t="s">
        <v>811</v>
      </c>
      <c r="L75" s="645" t="s">
        <v>544</v>
      </c>
      <c r="M75" s="645" t="s">
        <v>544</v>
      </c>
      <c r="N75" s="645" t="s">
        <v>8</v>
      </c>
      <c r="O75" s="647"/>
      <c r="P75" s="647"/>
      <c r="Q75" s="647"/>
      <c r="V75" s="647"/>
      <c r="W75" s="647"/>
      <c r="X75" s="647"/>
      <c r="Y75" s="647"/>
      <c r="Z75" s="647"/>
      <c r="AA75" s="647">
        <v>45091</v>
      </c>
      <c r="AB75" s="452" t="s">
        <v>524</v>
      </c>
      <c r="AC75" s="653"/>
      <c r="AD75" s="646"/>
    </row>
    <row r="76" spans="1:30" s="452" customFormat="1" hidden="1" x14ac:dyDescent="0.25">
      <c r="A76" s="644">
        <v>73</v>
      </c>
      <c r="B76" s="644" t="s">
        <v>807</v>
      </c>
      <c r="C76" s="646" t="s">
        <v>537</v>
      </c>
      <c r="D76" s="645">
        <v>20017</v>
      </c>
      <c r="E76" s="647">
        <v>45089</v>
      </c>
      <c r="F76" s="646" t="s">
        <v>522</v>
      </c>
      <c r="G76" s="646" t="s">
        <v>117</v>
      </c>
      <c r="H76" s="648" t="s">
        <v>812</v>
      </c>
      <c r="I76" s="452" t="s">
        <v>278</v>
      </c>
      <c r="J76" s="452" t="s">
        <v>544</v>
      </c>
      <c r="K76" s="645" t="s">
        <v>532</v>
      </c>
      <c r="L76" s="645" t="s">
        <v>544</v>
      </c>
      <c r="M76" s="645" t="s">
        <v>544</v>
      </c>
      <c r="N76" s="645" t="s">
        <v>535</v>
      </c>
      <c r="O76" s="647"/>
      <c r="P76" s="647"/>
      <c r="Q76" s="647"/>
      <c r="V76" s="647"/>
      <c r="W76" s="647"/>
      <c r="X76" s="647"/>
      <c r="Y76" s="647"/>
      <c r="Z76" s="647"/>
      <c r="AA76" s="647">
        <v>45094</v>
      </c>
      <c r="AB76" s="452" t="s">
        <v>524</v>
      </c>
      <c r="AC76" s="653"/>
      <c r="AD76" s="646"/>
    </row>
    <row r="77" spans="1:30" s="452" customFormat="1" hidden="1" x14ac:dyDescent="0.2">
      <c r="A77" s="644">
        <v>74</v>
      </c>
      <c r="B77" s="644" t="s">
        <v>215</v>
      </c>
      <c r="C77" s="646" t="s">
        <v>405</v>
      </c>
      <c r="D77" s="645">
        <v>19018</v>
      </c>
      <c r="E77" s="647">
        <v>45106</v>
      </c>
      <c r="F77" s="646" t="s">
        <v>404</v>
      </c>
      <c r="G77" s="646" t="s">
        <v>830</v>
      </c>
      <c r="H77" s="665" t="s">
        <v>819</v>
      </c>
      <c r="I77" s="452" t="s">
        <v>53</v>
      </c>
      <c r="J77" s="452" t="s">
        <v>544</v>
      </c>
      <c r="K77" s="645" t="s">
        <v>32</v>
      </c>
      <c r="L77" s="645" t="s">
        <v>544</v>
      </c>
      <c r="M77" s="645"/>
      <c r="N77" s="645" t="s">
        <v>8</v>
      </c>
      <c r="O77" s="647"/>
      <c r="P77" s="647"/>
      <c r="Q77" s="647"/>
      <c r="V77" s="647"/>
      <c r="W77" s="647"/>
      <c r="X77" s="647"/>
      <c r="Y77" s="647"/>
      <c r="Z77" s="647"/>
      <c r="AA77" s="647">
        <v>45157</v>
      </c>
      <c r="AB77" s="452">
        <v>4500</v>
      </c>
      <c r="AC77" s="666" t="s">
        <v>830</v>
      </c>
      <c r="AD77" s="646"/>
    </row>
    <row r="78" spans="1:30" s="452" customFormat="1" ht="25.5" hidden="1" x14ac:dyDescent="0.2">
      <c r="A78" s="644">
        <v>75</v>
      </c>
      <c r="B78" s="644" t="s">
        <v>215</v>
      </c>
      <c r="C78" s="646" t="s">
        <v>405</v>
      </c>
      <c r="D78" s="645">
        <v>19018</v>
      </c>
      <c r="E78" s="647">
        <v>45100</v>
      </c>
      <c r="F78" s="646" t="s">
        <v>941</v>
      </c>
      <c r="G78" s="646" t="s">
        <v>830</v>
      </c>
      <c r="H78" s="665" t="s">
        <v>818</v>
      </c>
      <c r="I78" s="452" t="s">
        <v>5</v>
      </c>
      <c r="J78" s="452" t="s">
        <v>544</v>
      </c>
      <c r="K78" s="645" t="s">
        <v>32</v>
      </c>
      <c r="L78" s="645" t="s">
        <v>544</v>
      </c>
      <c r="M78" s="645"/>
      <c r="N78" s="645" t="s">
        <v>8</v>
      </c>
      <c r="O78" s="647">
        <v>45220</v>
      </c>
      <c r="P78" s="647" t="s">
        <v>1030</v>
      </c>
      <c r="Q78" s="647">
        <v>45262</v>
      </c>
      <c r="R78" s="452" t="s">
        <v>1071</v>
      </c>
      <c r="V78" s="647"/>
      <c r="W78" s="647"/>
      <c r="X78" s="647"/>
      <c r="Y78" s="647"/>
      <c r="Z78" s="647"/>
      <c r="AA78" s="647">
        <v>45323</v>
      </c>
      <c r="AB78" s="452">
        <v>4500</v>
      </c>
      <c r="AC78" s="666" t="s">
        <v>830</v>
      </c>
      <c r="AD78" s="646" t="s">
        <v>942</v>
      </c>
    </row>
    <row r="79" spans="1:30" s="452" customFormat="1" hidden="1" x14ac:dyDescent="0.25">
      <c r="A79" s="644">
        <v>76</v>
      </c>
      <c r="B79" s="644" t="s">
        <v>215</v>
      </c>
      <c r="C79" s="646" t="s">
        <v>537</v>
      </c>
      <c r="D79" s="645">
        <v>20017</v>
      </c>
      <c r="E79" s="647">
        <v>45110</v>
      </c>
      <c r="F79" s="646" t="s">
        <v>522</v>
      </c>
      <c r="G79" s="646" t="s">
        <v>117</v>
      </c>
      <c r="H79" s="648" t="s">
        <v>828</v>
      </c>
      <c r="I79" s="452" t="s">
        <v>278</v>
      </c>
      <c r="J79" s="452" t="s">
        <v>544</v>
      </c>
      <c r="K79" s="645" t="s">
        <v>532</v>
      </c>
      <c r="L79" s="645" t="s">
        <v>544</v>
      </c>
      <c r="M79" s="645" t="s">
        <v>544</v>
      </c>
      <c r="N79" s="645" t="s">
        <v>8</v>
      </c>
      <c r="O79" s="647"/>
      <c r="P79" s="647"/>
      <c r="Q79" s="647"/>
      <c r="V79" s="647"/>
      <c r="W79" s="647"/>
      <c r="X79" s="647"/>
      <c r="Y79" s="647"/>
      <c r="Z79" s="647"/>
      <c r="AA79" s="647">
        <v>45119</v>
      </c>
      <c r="AB79" s="452" t="s">
        <v>524</v>
      </c>
      <c r="AC79" s="653" t="s">
        <v>831</v>
      </c>
      <c r="AD79" s="646"/>
    </row>
    <row r="80" spans="1:30" s="452" customFormat="1" hidden="1" x14ac:dyDescent="0.25">
      <c r="A80" s="644">
        <v>77</v>
      </c>
      <c r="B80" s="644" t="s">
        <v>215</v>
      </c>
      <c r="C80" s="646" t="s">
        <v>832</v>
      </c>
      <c r="D80" s="645">
        <v>20017</v>
      </c>
      <c r="E80" s="647">
        <v>45118</v>
      </c>
      <c r="F80" s="646" t="s">
        <v>527</v>
      </c>
      <c r="G80" s="646" t="s">
        <v>117</v>
      </c>
      <c r="H80" s="648" t="s">
        <v>827</v>
      </c>
      <c r="I80" s="452" t="s">
        <v>360</v>
      </c>
      <c r="J80" s="452" t="s">
        <v>544</v>
      </c>
      <c r="K80" s="645" t="s">
        <v>532</v>
      </c>
      <c r="L80" s="645" t="s">
        <v>544</v>
      </c>
      <c r="M80" s="645" t="s">
        <v>544</v>
      </c>
      <c r="N80" s="645" t="s">
        <v>8</v>
      </c>
      <c r="O80" s="647"/>
      <c r="P80" s="647"/>
      <c r="Q80" s="647"/>
      <c r="V80" s="647"/>
      <c r="W80" s="647"/>
      <c r="X80" s="647"/>
      <c r="Y80" s="647"/>
      <c r="Z80" s="647"/>
      <c r="AA80" s="647">
        <v>45119</v>
      </c>
      <c r="AB80" s="452" t="s">
        <v>524</v>
      </c>
      <c r="AC80" s="653" t="s">
        <v>833</v>
      </c>
      <c r="AD80" s="646"/>
    </row>
    <row r="81" spans="1:30" s="452" customFormat="1" hidden="1" x14ac:dyDescent="0.25">
      <c r="A81" s="644">
        <v>78</v>
      </c>
      <c r="B81" s="644" t="s">
        <v>215</v>
      </c>
      <c r="C81" s="646" t="s">
        <v>176</v>
      </c>
      <c r="D81" s="645">
        <v>22007</v>
      </c>
      <c r="E81" s="647">
        <v>45139</v>
      </c>
      <c r="F81" s="646" t="s">
        <v>333</v>
      </c>
      <c r="G81" s="646" t="s">
        <v>104</v>
      </c>
      <c r="H81" s="648" t="s">
        <v>848</v>
      </c>
      <c r="I81" s="452" t="s">
        <v>51</v>
      </c>
      <c r="J81" s="452" t="s">
        <v>542</v>
      </c>
      <c r="K81" s="645" t="s">
        <v>532</v>
      </c>
      <c r="L81" s="645" t="s">
        <v>544</v>
      </c>
      <c r="M81" s="645" t="s">
        <v>544</v>
      </c>
      <c r="N81" s="645" t="s">
        <v>13</v>
      </c>
      <c r="O81" s="647"/>
      <c r="P81" s="647"/>
      <c r="Q81" s="647"/>
      <c r="V81" s="647"/>
      <c r="W81" s="647"/>
      <c r="X81" s="647"/>
      <c r="Y81" s="647"/>
      <c r="Z81" s="647"/>
      <c r="AA81" s="647">
        <v>45554</v>
      </c>
      <c r="AB81" s="452">
        <v>4500</v>
      </c>
      <c r="AC81" s="653" t="s">
        <v>264</v>
      </c>
      <c r="AD81" s="646"/>
    </row>
    <row r="82" spans="1:30" s="452" customFormat="1" hidden="1" x14ac:dyDescent="0.25">
      <c r="A82" s="644">
        <v>79</v>
      </c>
      <c r="B82" s="644" t="s">
        <v>215</v>
      </c>
      <c r="C82" s="646" t="s">
        <v>856</v>
      </c>
      <c r="D82" s="645">
        <v>23018</v>
      </c>
      <c r="E82" s="647">
        <v>45157</v>
      </c>
      <c r="F82" s="646" t="s">
        <v>396</v>
      </c>
      <c r="G82" s="646" t="s">
        <v>46</v>
      </c>
      <c r="H82" s="648" t="s">
        <v>857</v>
      </c>
      <c r="I82" s="452" t="s">
        <v>61</v>
      </c>
      <c r="J82" s="452" t="s">
        <v>542</v>
      </c>
      <c r="K82" s="645" t="s">
        <v>62</v>
      </c>
      <c r="L82" s="645" t="s">
        <v>544</v>
      </c>
      <c r="M82" s="645" t="s">
        <v>544</v>
      </c>
      <c r="N82" s="645" t="s">
        <v>13</v>
      </c>
      <c r="O82" s="647"/>
      <c r="P82" s="647"/>
      <c r="Q82" s="647"/>
      <c r="V82" s="647"/>
      <c r="W82" s="647"/>
      <c r="X82" s="647"/>
      <c r="Y82" s="647"/>
      <c r="Z82" s="647"/>
      <c r="AA82" s="647">
        <v>45164</v>
      </c>
      <c r="AB82" s="452">
        <v>3000</v>
      </c>
      <c r="AC82" s="655" t="s">
        <v>868</v>
      </c>
      <c r="AD82" s="646"/>
    </row>
    <row r="83" spans="1:30" s="452" customFormat="1" hidden="1" x14ac:dyDescent="0.25">
      <c r="A83" s="644">
        <v>80</v>
      </c>
      <c r="B83" s="644" t="s">
        <v>215</v>
      </c>
      <c r="C83" s="646" t="s">
        <v>405</v>
      </c>
      <c r="D83" s="645">
        <v>19018</v>
      </c>
      <c r="E83" s="647">
        <v>45157</v>
      </c>
      <c r="F83" s="646" t="s">
        <v>869</v>
      </c>
      <c r="G83" s="646" t="s">
        <v>830</v>
      </c>
      <c r="H83" s="648" t="s">
        <v>852</v>
      </c>
      <c r="I83" s="452" t="s">
        <v>14</v>
      </c>
      <c r="J83" s="452" t="s">
        <v>544</v>
      </c>
      <c r="K83" s="645" t="s">
        <v>32</v>
      </c>
      <c r="L83" s="645" t="s">
        <v>542</v>
      </c>
      <c r="M83" s="645"/>
      <c r="N83" s="645" t="s">
        <v>13</v>
      </c>
      <c r="O83" s="647">
        <v>45528</v>
      </c>
      <c r="P83" s="647" t="s">
        <v>1462</v>
      </c>
      <c r="Q83" s="647"/>
      <c r="V83" s="647"/>
      <c r="W83" s="647"/>
      <c r="X83" s="647"/>
      <c r="Y83" s="647"/>
      <c r="Z83" s="647"/>
      <c r="AA83" s="647">
        <v>45551</v>
      </c>
      <c r="AB83" s="452">
        <v>4500</v>
      </c>
      <c r="AC83" s="666" t="s">
        <v>830</v>
      </c>
      <c r="AD83" s="646" t="s">
        <v>1135</v>
      </c>
    </row>
    <row r="84" spans="1:30" s="452" customFormat="1" hidden="1" x14ac:dyDescent="0.25">
      <c r="A84" s="644">
        <v>81</v>
      </c>
      <c r="B84" s="644" t="s">
        <v>215</v>
      </c>
      <c r="C84" s="646" t="s">
        <v>856</v>
      </c>
      <c r="D84" s="645">
        <v>23018</v>
      </c>
      <c r="E84" s="647">
        <v>45166</v>
      </c>
      <c r="F84" s="646" t="s">
        <v>1315</v>
      </c>
      <c r="G84" s="646" t="s">
        <v>46</v>
      </c>
      <c r="H84" s="648" t="s">
        <v>861</v>
      </c>
      <c r="I84" s="452" t="s">
        <v>16</v>
      </c>
      <c r="J84" s="452" t="s">
        <v>542</v>
      </c>
      <c r="K84" s="645" t="s">
        <v>43</v>
      </c>
      <c r="L84" s="645" t="s">
        <v>544</v>
      </c>
      <c r="M84" s="645" t="s">
        <v>544</v>
      </c>
      <c r="N84" s="645" t="s">
        <v>13</v>
      </c>
      <c r="O84" s="647">
        <v>45499</v>
      </c>
      <c r="P84" s="647" t="s">
        <v>1424</v>
      </c>
      <c r="Q84" s="647">
        <v>45502</v>
      </c>
      <c r="R84" s="647" t="s">
        <v>1423</v>
      </c>
      <c r="V84" s="647"/>
      <c r="W84" s="647"/>
      <c r="X84" s="647"/>
      <c r="Y84" s="647"/>
      <c r="Z84" s="647"/>
      <c r="AA84" s="647">
        <v>45534</v>
      </c>
      <c r="AB84" s="452">
        <v>3000</v>
      </c>
      <c r="AC84" s="655" t="s">
        <v>868</v>
      </c>
      <c r="AD84" s="646" t="s">
        <v>1316</v>
      </c>
    </row>
    <row r="85" spans="1:30" s="452" customFormat="1" hidden="1" x14ac:dyDescent="0.25">
      <c r="A85" s="644">
        <v>82</v>
      </c>
      <c r="B85" s="644" t="s">
        <v>215</v>
      </c>
      <c r="C85" s="646" t="s">
        <v>856</v>
      </c>
      <c r="D85" s="645">
        <v>23018</v>
      </c>
      <c r="E85" s="647">
        <v>45166</v>
      </c>
      <c r="F85" s="646" t="s">
        <v>870</v>
      </c>
      <c r="G85" s="646" t="s">
        <v>46</v>
      </c>
      <c r="H85" s="648" t="s">
        <v>863</v>
      </c>
      <c r="I85" s="452" t="s">
        <v>15</v>
      </c>
      <c r="J85" s="452" t="s">
        <v>542</v>
      </c>
      <c r="K85" s="645" t="s">
        <v>43</v>
      </c>
      <c r="L85" s="645" t="s">
        <v>544</v>
      </c>
      <c r="M85" s="645" t="s">
        <v>544</v>
      </c>
      <c r="N85" s="645" t="s">
        <v>13</v>
      </c>
      <c r="O85" s="647">
        <v>45369</v>
      </c>
      <c r="P85" s="647" t="s">
        <v>1207</v>
      </c>
      <c r="Q85" s="647"/>
      <c r="V85" s="647"/>
      <c r="W85" s="647"/>
      <c r="X85" s="647"/>
      <c r="Y85" s="647"/>
      <c r="Z85" s="647"/>
      <c r="AA85" s="647">
        <v>45418</v>
      </c>
      <c r="AB85" s="452">
        <v>5000</v>
      </c>
      <c r="AC85" s="655" t="s">
        <v>868</v>
      </c>
      <c r="AD85" s="646"/>
    </row>
    <row r="86" spans="1:30" s="452" customFormat="1" hidden="1" x14ac:dyDescent="0.25">
      <c r="A86" s="644">
        <v>83</v>
      </c>
      <c r="B86" s="644" t="s">
        <v>215</v>
      </c>
      <c r="C86" s="646" t="s">
        <v>856</v>
      </c>
      <c r="D86" s="645">
        <v>23018</v>
      </c>
      <c r="E86" s="647">
        <v>45164</v>
      </c>
      <c r="F86" s="646" t="s">
        <v>871</v>
      </c>
      <c r="G86" s="646" t="s">
        <v>46</v>
      </c>
      <c r="H86" s="648" t="s">
        <v>860</v>
      </c>
      <c r="I86" s="452" t="s">
        <v>15</v>
      </c>
      <c r="J86" s="452" t="s">
        <v>542</v>
      </c>
      <c r="K86" s="645" t="s">
        <v>43</v>
      </c>
      <c r="L86" s="645" t="s">
        <v>544</v>
      </c>
      <c r="M86" s="645" t="s">
        <v>544</v>
      </c>
      <c r="N86" s="645" t="s">
        <v>13</v>
      </c>
      <c r="O86" s="647"/>
      <c r="P86" s="647"/>
      <c r="Q86" s="647"/>
      <c r="V86" s="647"/>
      <c r="W86" s="647"/>
      <c r="X86" s="647"/>
      <c r="Y86" s="647"/>
      <c r="Z86" s="647"/>
      <c r="AA86" s="647">
        <v>45198</v>
      </c>
      <c r="AB86" s="452">
        <v>3000</v>
      </c>
      <c r="AC86" s="655" t="s">
        <v>868</v>
      </c>
      <c r="AD86" s="646"/>
    </row>
    <row r="87" spans="1:30" s="452" customFormat="1" hidden="1" x14ac:dyDescent="0.25">
      <c r="A87" s="644">
        <v>84</v>
      </c>
      <c r="B87" s="644" t="s">
        <v>215</v>
      </c>
      <c r="C87" s="646" t="s">
        <v>175</v>
      </c>
      <c r="D87" s="645">
        <v>22006</v>
      </c>
      <c r="E87" s="647">
        <v>45173</v>
      </c>
      <c r="F87" s="646" t="s">
        <v>453</v>
      </c>
      <c r="G87" s="646" t="s">
        <v>117</v>
      </c>
      <c r="H87" s="648" t="s">
        <v>872</v>
      </c>
      <c r="I87" s="452" t="s">
        <v>61</v>
      </c>
      <c r="J87" s="452" t="s">
        <v>544</v>
      </c>
      <c r="K87" s="645" t="s">
        <v>43</v>
      </c>
      <c r="L87" s="645" t="s">
        <v>544</v>
      </c>
      <c r="M87" s="645" t="s">
        <v>544</v>
      </c>
      <c r="N87" s="645" t="s">
        <v>13</v>
      </c>
      <c r="O87" s="647"/>
      <c r="P87" s="647"/>
      <c r="Q87" s="647"/>
      <c r="V87" s="647"/>
      <c r="W87" s="647"/>
      <c r="X87" s="647"/>
      <c r="Y87" s="647"/>
      <c r="Z87" s="647"/>
      <c r="AA87" s="647">
        <v>45209</v>
      </c>
      <c r="AC87" s="653"/>
      <c r="AD87" s="646"/>
    </row>
    <row r="88" spans="1:30" s="449" customFormat="1" hidden="1" x14ac:dyDescent="0.25">
      <c r="A88" s="644">
        <v>85</v>
      </c>
      <c r="B88" s="644" t="s">
        <v>215</v>
      </c>
      <c r="C88" s="644" t="s">
        <v>355</v>
      </c>
      <c r="D88" s="645">
        <v>22023</v>
      </c>
      <c r="E88" s="647">
        <v>45183</v>
      </c>
      <c r="F88" s="644" t="s">
        <v>873</v>
      </c>
      <c r="G88" s="646" t="s">
        <v>117</v>
      </c>
      <c r="H88" s="648" t="s">
        <v>874</v>
      </c>
      <c r="I88" s="452" t="s">
        <v>109</v>
      </c>
      <c r="J88" s="452" t="s">
        <v>542</v>
      </c>
      <c r="K88" s="645" t="s">
        <v>43</v>
      </c>
      <c r="L88" s="645" t="s">
        <v>544</v>
      </c>
      <c r="M88" s="645" t="s">
        <v>544</v>
      </c>
      <c r="N88" s="645" t="s">
        <v>8</v>
      </c>
      <c r="O88" s="647">
        <v>45402</v>
      </c>
      <c r="P88" s="647" t="s">
        <v>1297</v>
      </c>
      <c r="Q88" s="647"/>
      <c r="R88" s="452"/>
      <c r="S88" s="452"/>
      <c r="T88" s="645"/>
      <c r="U88" s="645"/>
      <c r="V88" s="647"/>
      <c r="W88" s="647"/>
      <c r="X88" s="647"/>
      <c r="Y88" s="645"/>
      <c r="Z88" s="647"/>
      <c r="AA88" s="647">
        <v>45451</v>
      </c>
      <c r="AB88" s="452">
        <v>3000</v>
      </c>
      <c r="AC88" s="660" t="s">
        <v>117</v>
      </c>
      <c r="AD88" s="452" t="s">
        <v>1037</v>
      </c>
    </row>
    <row r="89" spans="1:30" s="452" customFormat="1" hidden="1" x14ac:dyDescent="0.25">
      <c r="A89" s="644">
        <v>86</v>
      </c>
      <c r="B89" s="644" t="s">
        <v>215</v>
      </c>
      <c r="C89" s="646" t="s">
        <v>856</v>
      </c>
      <c r="D89" s="645">
        <v>23018</v>
      </c>
      <c r="E89" s="647">
        <v>45198</v>
      </c>
      <c r="F89" s="646" t="s">
        <v>1080</v>
      </c>
      <c r="G89" s="646" t="s">
        <v>46</v>
      </c>
      <c r="H89" s="648" t="s">
        <v>1008</v>
      </c>
      <c r="I89" s="452" t="s">
        <v>91</v>
      </c>
      <c r="J89" s="452" t="s">
        <v>542</v>
      </c>
      <c r="K89" s="645" t="s">
        <v>532</v>
      </c>
      <c r="L89" s="645" t="s">
        <v>544</v>
      </c>
      <c r="M89" s="645" t="s">
        <v>544</v>
      </c>
      <c r="N89" s="645" t="s">
        <v>8</v>
      </c>
      <c r="O89" s="647"/>
      <c r="P89" s="647"/>
      <c r="Q89" s="647"/>
      <c r="V89" s="647"/>
      <c r="W89" s="647"/>
      <c r="X89" s="647"/>
      <c r="Y89" s="647"/>
      <c r="Z89" s="647"/>
      <c r="AA89" s="647">
        <v>45293</v>
      </c>
      <c r="AB89" s="452">
        <v>3000</v>
      </c>
      <c r="AC89" s="655" t="s">
        <v>868</v>
      </c>
      <c r="AD89" s="646" t="s">
        <v>1217</v>
      </c>
    </row>
    <row r="90" spans="1:30" s="452" customFormat="1" hidden="1" x14ac:dyDescent="0.25">
      <c r="A90" s="644">
        <v>87</v>
      </c>
      <c r="B90" s="644" t="s">
        <v>215</v>
      </c>
      <c r="C90" s="644" t="s">
        <v>266</v>
      </c>
      <c r="D90" s="645">
        <v>22005</v>
      </c>
      <c r="E90" s="647">
        <v>38643</v>
      </c>
      <c r="F90" s="646" t="s">
        <v>515</v>
      </c>
      <c r="G90" s="646" t="s">
        <v>104</v>
      </c>
      <c r="H90" s="667" t="s">
        <v>1026</v>
      </c>
      <c r="I90" s="452" t="s">
        <v>16</v>
      </c>
      <c r="J90" s="452" t="s">
        <v>542</v>
      </c>
      <c r="K90" s="645" t="s">
        <v>43</v>
      </c>
      <c r="L90" s="645" t="s">
        <v>544</v>
      </c>
      <c r="M90" s="645" t="s">
        <v>544</v>
      </c>
      <c r="N90" s="645" t="s">
        <v>13</v>
      </c>
      <c r="O90" s="647"/>
      <c r="P90" s="647"/>
      <c r="Q90" s="647"/>
      <c r="V90" s="647"/>
      <c r="W90" s="647"/>
      <c r="X90" s="647"/>
      <c r="Y90" s="647"/>
      <c r="Z90" s="647"/>
      <c r="AA90" s="647">
        <v>45434</v>
      </c>
      <c r="AB90" s="452">
        <v>4500</v>
      </c>
      <c r="AC90" s="668" t="s">
        <v>264</v>
      </c>
      <c r="AD90" s="646"/>
    </row>
    <row r="91" spans="1:30" s="452" customFormat="1" hidden="1" x14ac:dyDescent="0.25">
      <c r="A91" s="644">
        <v>88</v>
      </c>
      <c r="B91" s="644" t="s">
        <v>215</v>
      </c>
      <c r="C91" s="646" t="s">
        <v>856</v>
      </c>
      <c r="D91" s="645">
        <v>23018</v>
      </c>
      <c r="E91" s="647">
        <v>45222</v>
      </c>
      <c r="F91" s="646" t="s">
        <v>1211</v>
      </c>
      <c r="G91" s="646" t="s">
        <v>104</v>
      </c>
      <c r="H91" s="648" t="s">
        <v>1031</v>
      </c>
      <c r="I91" s="452" t="s">
        <v>1033</v>
      </c>
      <c r="J91" s="452" t="s">
        <v>542</v>
      </c>
      <c r="K91" s="645" t="s">
        <v>29</v>
      </c>
      <c r="L91" s="645" t="s">
        <v>544</v>
      </c>
      <c r="M91" s="645" t="s">
        <v>544</v>
      </c>
      <c r="N91" s="645" t="s">
        <v>13</v>
      </c>
      <c r="O91" s="647">
        <v>45362</v>
      </c>
      <c r="P91" s="647" t="s">
        <v>1202</v>
      </c>
      <c r="Q91" s="647"/>
      <c r="V91" s="647"/>
      <c r="W91" s="647"/>
      <c r="X91" s="647"/>
      <c r="Y91" s="647"/>
      <c r="Z91" s="647"/>
      <c r="AA91" s="647">
        <v>45417</v>
      </c>
      <c r="AB91" s="452">
        <v>3000</v>
      </c>
      <c r="AC91" s="668" t="s">
        <v>264</v>
      </c>
      <c r="AD91" s="646" t="s">
        <v>1212</v>
      </c>
    </row>
    <row r="92" spans="1:30" s="452" customFormat="1" hidden="1" x14ac:dyDescent="0.25">
      <c r="A92" s="644">
        <v>89</v>
      </c>
      <c r="B92" s="644" t="s">
        <v>215</v>
      </c>
      <c r="C92" s="651" t="s">
        <v>176</v>
      </c>
      <c r="D92" s="645">
        <v>22007</v>
      </c>
      <c r="E92" s="647">
        <v>45231</v>
      </c>
      <c r="F92" s="646" t="s">
        <v>1041</v>
      </c>
      <c r="G92" s="646" t="s">
        <v>104</v>
      </c>
      <c r="H92" s="667" t="s">
        <v>1043</v>
      </c>
      <c r="I92" s="452" t="s">
        <v>7</v>
      </c>
      <c r="J92" s="452" t="s">
        <v>542</v>
      </c>
      <c r="K92" s="645" t="s">
        <v>29</v>
      </c>
      <c r="L92" s="645" t="s">
        <v>544</v>
      </c>
      <c r="M92" s="645" t="s">
        <v>544</v>
      </c>
      <c r="N92" s="645" t="s">
        <v>13</v>
      </c>
      <c r="O92" s="647"/>
      <c r="P92" s="647"/>
      <c r="Q92" s="647"/>
      <c r="V92" s="647"/>
      <c r="W92" s="647"/>
      <c r="X92" s="647"/>
      <c r="Y92" s="647"/>
      <c r="Z92" s="647"/>
      <c r="AA92" s="647">
        <v>45602</v>
      </c>
      <c r="AB92" s="452">
        <v>4500</v>
      </c>
      <c r="AC92" s="668" t="s">
        <v>264</v>
      </c>
      <c r="AD92" s="646" t="s">
        <v>1045</v>
      </c>
    </row>
    <row r="93" spans="1:30" s="452" customFormat="1" hidden="1" x14ac:dyDescent="0.25">
      <c r="A93" s="644">
        <v>90</v>
      </c>
      <c r="B93" s="644" t="s">
        <v>215</v>
      </c>
      <c r="C93" s="651" t="s">
        <v>176</v>
      </c>
      <c r="D93" s="645">
        <v>22007</v>
      </c>
      <c r="E93" s="647">
        <v>45231</v>
      </c>
      <c r="F93" s="646" t="s">
        <v>1042</v>
      </c>
      <c r="G93" s="646" t="s">
        <v>104</v>
      </c>
      <c r="H93" s="667" t="s">
        <v>1044</v>
      </c>
      <c r="I93" s="452" t="s">
        <v>7</v>
      </c>
      <c r="J93" s="452" t="s">
        <v>542</v>
      </c>
      <c r="K93" s="645" t="s">
        <v>29</v>
      </c>
      <c r="L93" s="645" t="s">
        <v>544</v>
      </c>
      <c r="M93" s="645" t="s">
        <v>544</v>
      </c>
      <c r="N93" s="645" t="s">
        <v>13</v>
      </c>
      <c r="O93" s="647"/>
      <c r="P93" s="647"/>
      <c r="Q93" s="647"/>
      <c r="V93" s="647"/>
      <c r="W93" s="647"/>
      <c r="X93" s="647"/>
      <c r="Y93" s="647"/>
      <c r="Z93" s="647"/>
      <c r="AA93" s="647">
        <v>45537</v>
      </c>
      <c r="AB93" s="452">
        <v>4500</v>
      </c>
      <c r="AC93" s="668" t="s">
        <v>264</v>
      </c>
      <c r="AD93" s="646"/>
    </row>
    <row r="94" spans="1:30" s="452" customFormat="1" hidden="1" x14ac:dyDescent="0.25">
      <c r="A94" s="644">
        <v>91</v>
      </c>
      <c r="B94" s="644" t="s">
        <v>215</v>
      </c>
      <c r="C94" s="651" t="s">
        <v>176</v>
      </c>
      <c r="D94" s="645">
        <v>22007</v>
      </c>
      <c r="E94" s="647">
        <v>45230</v>
      </c>
      <c r="F94" s="646" t="s">
        <v>1047</v>
      </c>
      <c r="G94" s="646" t="s">
        <v>104</v>
      </c>
      <c r="H94" s="667" t="s">
        <v>1048</v>
      </c>
      <c r="I94" s="452" t="s">
        <v>16</v>
      </c>
      <c r="J94" s="452" t="s">
        <v>544</v>
      </c>
      <c r="K94" s="645" t="s">
        <v>43</v>
      </c>
      <c r="L94" s="645" t="s">
        <v>544</v>
      </c>
      <c r="M94" s="645" t="s">
        <v>544</v>
      </c>
      <c r="N94" s="645" t="s">
        <v>13</v>
      </c>
      <c r="O94" s="647"/>
      <c r="P94" s="647"/>
      <c r="Q94" s="647"/>
      <c r="V94" s="647"/>
      <c r="W94" s="647"/>
      <c r="X94" s="647"/>
      <c r="Y94" s="647"/>
      <c r="Z94" s="647"/>
      <c r="AA94" s="647">
        <v>45247</v>
      </c>
      <c r="AB94" s="452" t="s">
        <v>524</v>
      </c>
      <c r="AC94" s="668" t="s">
        <v>264</v>
      </c>
      <c r="AD94" s="646"/>
    </row>
    <row r="95" spans="1:30" s="452" customFormat="1" hidden="1" x14ac:dyDescent="0.25">
      <c r="A95" s="644">
        <v>92</v>
      </c>
      <c r="B95" s="644" t="s">
        <v>215</v>
      </c>
      <c r="C95" s="651" t="s">
        <v>176</v>
      </c>
      <c r="D95" s="645">
        <v>22007</v>
      </c>
      <c r="E95" s="647">
        <v>45250</v>
      </c>
      <c r="F95" s="646" t="s">
        <v>1058</v>
      </c>
      <c r="G95" s="646" t="s">
        <v>38</v>
      </c>
      <c r="H95" s="648" t="s">
        <v>1059</v>
      </c>
      <c r="I95" s="452" t="s">
        <v>109</v>
      </c>
      <c r="J95" s="452" t="s">
        <v>542</v>
      </c>
      <c r="K95" s="645" t="s">
        <v>43</v>
      </c>
      <c r="L95" s="645" t="s">
        <v>544</v>
      </c>
      <c r="M95" s="645" t="s">
        <v>544</v>
      </c>
      <c r="N95" s="645" t="s">
        <v>13</v>
      </c>
      <c r="O95" s="647">
        <v>45309</v>
      </c>
      <c r="P95" s="647" t="s">
        <v>1120</v>
      </c>
      <c r="Q95" s="647"/>
      <c r="V95" s="647"/>
      <c r="W95" s="647"/>
      <c r="X95" s="647"/>
      <c r="Y95" s="647"/>
      <c r="Z95" s="647"/>
      <c r="AA95" s="647">
        <v>45390</v>
      </c>
      <c r="AB95" s="452">
        <v>6000</v>
      </c>
      <c r="AC95" s="669" t="s">
        <v>1053</v>
      </c>
      <c r="AD95" s="646"/>
    </row>
    <row r="96" spans="1:30" s="452" customFormat="1" ht="25.5" hidden="1" x14ac:dyDescent="0.25">
      <c r="A96" s="644" t="s">
        <v>1063</v>
      </c>
      <c r="B96" s="644" t="s">
        <v>215</v>
      </c>
      <c r="C96" s="651" t="s">
        <v>1323</v>
      </c>
      <c r="D96" s="645">
        <v>23026</v>
      </c>
      <c r="E96" s="647">
        <v>45250</v>
      </c>
      <c r="F96" s="646" t="s">
        <v>1055</v>
      </c>
      <c r="G96" s="646" t="s">
        <v>280</v>
      </c>
      <c r="H96" s="648" t="s">
        <v>1062</v>
      </c>
      <c r="I96" s="452" t="s">
        <v>109</v>
      </c>
      <c r="J96" s="452" t="s">
        <v>542</v>
      </c>
      <c r="K96" s="645" t="s">
        <v>62</v>
      </c>
      <c r="L96" s="645" t="s">
        <v>544</v>
      </c>
      <c r="M96" s="645" t="s">
        <v>544</v>
      </c>
      <c r="N96" s="645" t="s">
        <v>8</v>
      </c>
      <c r="O96" s="647">
        <v>45429</v>
      </c>
      <c r="P96" s="647" t="s">
        <v>1353</v>
      </c>
      <c r="Q96" s="647">
        <v>45534</v>
      </c>
      <c r="R96" s="452" t="s">
        <v>1474</v>
      </c>
      <c r="V96" s="647"/>
      <c r="W96" s="647"/>
      <c r="X96" s="647"/>
      <c r="Y96" s="647"/>
      <c r="Z96" s="647"/>
      <c r="AA96" s="647">
        <v>45677</v>
      </c>
      <c r="AB96" s="452">
        <v>5000</v>
      </c>
      <c r="AC96" s="664" t="s">
        <v>1065</v>
      </c>
      <c r="AD96" s="646" t="s">
        <v>1639</v>
      </c>
    </row>
    <row r="97" spans="1:30" s="452" customFormat="1" hidden="1" x14ac:dyDescent="0.2">
      <c r="A97" s="644" t="s">
        <v>1064</v>
      </c>
      <c r="B97" s="644" t="s">
        <v>215</v>
      </c>
      <c r="C97" s="651" t="s">
        <v>1054</v>
      </c>
      <c r="D97" s="645">
        <v>23026</v>
      </c>
      <c r="E97" s="647">
        <v>45258</v>
      </c>
      <c r="F97" s="646" t="s">
        <v>1057</v>
      </c>
      <c r="G97" s="646" t="s">
        <v>378</v>
      </c>
      <c r="H97" s="665" t="s">
        <v>1068</v>
      </c>
      <c r="I97" s="452" t="s">
        <v>5</v>
      </c>
      <c r="J97" s="452" t="s">
        <v>542</v>
      </c>
      <c r="K97" s="645" t="s">
        <v>32</v>
      </c>
      <c r="L97" s="645" t="s">
        <v>544</v>
      </c>
      <c r="M97" s="645"/>
      <c r="N97" s="645" t="s">
        <v>13</v>
      </c>
      <c r="O97" s="647">
        <v>45311</v>
      </c>
      <c r="P97" s="647" t="s">
        <v>1122</v>
      </c>
      <c r="Q97" s="647"/>
      <c r="V97" s="647"/>
      <c r="W97" s="647"/>
      <c r="X97" s="647"/>
      <c r="Y97" s="647"/>
      <c r="Z97" s="647"/>
      <c r="AA97" s="647">
        <v>45378</v>
      </c>
      <c r="AB97" s="452">
        <v>6000</v>
      </c>
      <c r="AC97" s="670" t="s">
        <v>1067</v>
      </c>
      <c r="AD97" s="646"/>
    </row>
    <row r="98" spans="1:30" s="452" customFormat="1" ht="25.5" hidden="1" x14ac:dyDescent="0.25">
      <c r="A98" s="644" t="s">
        <v>1066</v>
      </c>
      <c r="B98" s="644" t="s">
        <v>215</v>
      </c>
      <c r="C98" s="651" t="s">
        <v>856</v>
      </c>
      <c r="D98" s="645">
        <v>23018</v>
      </c>
      <c r="E98" s="647">
        <v>45272</v>
      </c>
      <c r="F98" s="646" t="s">
        <v>1313</v>
      </c>
      <c r="G98" s="646" t="s">
        <v>46</v>
      </c>
      <c r="H98" s="648" t="s">
        <v>1073</v>
      </c>
      <c r="I98" s="452" t="s">
        <v>1074</v>
      </c>
      <c r="J98" s="452" t="s">
        <v>542</v>
      </c>
      <c r="K98" s="645" t="s">
        <v>29</v>
      </c>
      <c r="L98" s="645" t="s">
        <v>544</v>
      </c>
      <c r="M98" s="645" t="s">
        <v>544</v>
      </c>
      <c r="N98" s="645" t="s">
        <v>13</v>
      </c>
      <c r="O98" s="647">
        <v>45324</v>
      </c>
      <c r="P98" s="647" t="s">
        <v>1136</v>
      </c>
      <c r="Q98" s="647">
        <v>45353</v>
      </c>
      <c r="R98" s="452" t="s">
        <v>1197</v>
      </c>
      <c r="V98" s="647"/>
      <c r="W98" s="647"/>
      <c r="X98" s="647"/>
      <c r="Y98" s="647"/>
      <c r="Z98" s="647"/>
      <c r="AA98" s="647">
        <v>45603</v>
      </c>
      <c r="AB98" s="452">
        <v>3000</v>
      </c>
      <c r="AC98" s="655" t="s">
        <v>868</v>
      </c>
      <c r="AD98" s="646" t="s">
        <v>1213</v>
      </c>
    </row>
    <row r="99" spans="1:30" s="452" customFormat="1" hidden="1" x14ac:dyDescent="0.25">
      <c r="A99" s="644" t="s">
        <v>1072</v>
      </c>
      <c r="B99" s="644" t="s">
        <v>215</v>
      </c>
      <c r="C99" s="651" t="s">
        <v>856</v>
      </c>
      <c r="D99" s="645">
        <v>23018</v>
      </c>
      <c r="E99" s="647">
        <v>45293</v>
      </c>
      <c r="F99" s="646" t="s">
        <v>1086</v>
      </c>
      <c r="G99" s="646" t="s">
        <v>46</v>
      </c>
      <c r="H99" s="648" t="s">
        <v>1087</v>
      </c>
      <c r="I99" s="452" t="s">
        <v>12</v>
      </c>
      <c r="J99" s="452" t="s">
        <v>542</v>
      </c>
      <c r="K99" s="645" t="s">
        <v>29</v>
      </c>
      <c r="L99" s="645" t="s">
        <v>544</v>
      </c>
      <c r="M99" s="645" t="s">
        <v>544</v>
      </c>
      <c r="N99" s="645" t="s">
        <v>13</v>
      </c>
      <c r="O99" s="647">
        <v>45371</v>
      </c>
      <c r="P99" s="647" t="s">
        <v>1218</v>
      </c>
      <c r="Q99" s="647"/>
      <c r="V99" s="647"/>
      <c r="W99" s="647"/>
      <c r="X99" s="647"/>
      <c r="Y99" s="647"/>
      <c r="Z99" s="647"/>
      <c r="AA99" s="647">
        <v>45614</v>
      </c>
      <c r="AB99" s="452">
        <v>3000</v>
      </c>
      <c r="AC99" s="655" t="s">
        <v>868</v>
      </c>
      <c r="AD99" s="646"/>
    </row>
    <row r="100" spans="1:30" s="452" customFormat="1" hidden="1" x14ac:dyDescent="0.25">
      <c r="A100" s="644" t="s">
        <v>1085</v>
      </c>
      <c r="B100" s="644" t="s">
        <v>215</v>
      </c>
      <c r="C100" s="651" t="s">
        <v>176</v>
      </c>
      <c r="D100" s="645">
        <v>22007</v>
      </c>
      <c r="E100" s="647">
        <v>45243</v>
      </c>
      <c r="F100" s="646" t="s">
        <v>1051</v>
      </c>
      <c r="G100" s="646" t="s">
        <v>38</v>
      </c>
      <c r="H100" s="648" t="s">
        <v>1052</v>
      </c>
      <c r="I100" s="452" t="s">
        <v>16</v>
      </c>
      <c r="J100" s="452" t="s">
        <v>542</v>
      </c>
      <c r="K100" s="645" t="s">
        <v>43</v>
      </c>
      <c r="L100" s="645" t="s">
        <v>544</v>
      </c>
      <c r="M100" s="645" t="s">
        <v>544</v>
      </c>
      <c r="N100" s="645" t="s">
        <v>13</v>
      </c>
      <c r="O100" s="647"/>
      <c r="P100" s="647"/>
      <c r="Q100" s="647"/>
      <c r="V100" s="647"/>
      <c r="W100" s="647"/>
      <c r="X100" s="647"/>
      <c r="Y100" s="647"/>
      <c r="Z100" s="647"/>
      <c r="AA100" s="647">
        <v>45334</v>
      </c>
      <c r="AB100" s="452">
        <v>6000</v>
      </c>
      <c r="AC100" s="669" t="s">
        <v>1053</v>
      </c>
      <c r="AD100" s="646"/>
    </row>
    <row r="101" spans="1:30" s="452" customFormat="1" hidden="1" x14ac:dyDescent="0.25">
      <c r="A101" s="644">
        <v>98</v>
      </c>
      <c r="B101" s="644" t="s">
        <v>215</v>
      </c>
      <c r="C101" s="651" t="s">
        <v>175</v>
      </c>
      <c r="D101" s="645">
        <v>22006</v>
      </c>
      <c r="E101" s="647">
        <v>45327</v>
      </c>
      <c r="F101" s="646" t="s">
        <v>1138</v>
      </c>
      <c r="G101" s="646" t="s">
        <v>166</v>
      </c>
      <c r="H101" s="648" t="s">
        <v>1139</v>
      </c>
      <c r="I101" s="452" t="s">
        <v>61</v>
      </c>
      <c r="J101" s="452" t="s">
        <v>542</v>
      </c>
      <c r="K101" s="645" t="s">
        <v>43</v>
      </c>
      <c r="L101" s="645" t="s">
        <v>544</v>
      </c>
      <c r="M101" s="645" t="s">
        <v>544</v>
      </c>
      <c r="N101" s="645" t="s">
        <v>13</v>
      </c>
      <c r="O101" s="647"/>
      <c r="P101" s="647"/>
      <c r="Q101" s="647"/>
      <c r="V101" s="647"/>
      <c r="W101" s="647"/>
      <c r="X101" s="647"/>
      <c r="Y101" s="647"/>
      <c r="Z101" s="647"/>
      <c r="AA101" s="647">
        <v>45377</v>
      </c>
      <c r="AB101" s="452">
        <v>5000</v>
      </c>
      <c r="AC101" s="654" t="s">
        <v>1140</v>
      </c>
      <c r="AD101" s="646"/>
    </row>
    <row r="102" spans="1:30" s="452" customFormat="1" hidden="1" x14ac:dyDescent="0.2">
      <c r="A102" s="644" t="s">
        <v>1151</v>
      </c>
      <c r="B102" s="644" t="s">
        <v>215</v>
      </c>
      <c r="C102" s="651" t="s">
        <v>1152</v>
      </c>
      <c r="D102" s="645">
        <v>24002</v>
      </c>
      <c r="E102" s="647">
        <v>45335</v>
      </c>
      <c r="F102" s="646" t="s">
        <v>1153</v>
      </c>
      <c r="G102" s="646" t="s">
        <v>1240</v>
      </c>
      <c r="H102" s="665" t="s">
        <v>1154</v>
      </c>
      <c r="I102" s="452" t="s">
        <v>51</v>
      </c>
      <c r="J102" s="452" t="s">
        <v>542</v>
      </c>
      <c r="K102" s="645" t="s">
        <v>1159</v>
      </c>
      <c r="L102" s="645" t="s">
        <v>544</v>
      </c>
      <c r="M102" s="645" t="s">
        <v>544</v>
      </c>
      <c r="N102" s="645" t="s">
        <v>13</v>
      </c>
      <c r="O102" s="647">
        <v>45519</v>
      </c>
      <c r="P102" s="647" t="s">
        <v>1448</v>
      </c>
      <c r="Q102" s="647"/>
      <c r="V102" s="647"/>
      <c r="W102" s="647"/>
      <c r="X102" s="647"/>
      <c r="Y102" s="647"/>
      <c r="Z102" s="647"/>
      <c r="AA102" s="647">
        <v>45620</v>
      </c>
      <c r="AB102" s="452">
        <v>5000</v>
      </c>
      <c r="AC102" s="671" t="s">
        <v>1155</v>
      </c>
      <c r="AD102" s="646"/>
    </row>
    <row r="103" spans="1:30" s="452" customFormat="1" hidden="1" x14ac:dyDescent="0.2">
      <c r="A103" s="644" t="s">
        <v>1156</v>
      </c>
      <c r="B103" s="644" t="s">
        <v>215</v>
      </c>
      <c r="C103" s="651" t="s">
        <v>1152</v>
      </c>
      <c r="D103" s="645">
        <v>24002</v>
      </c>
      <c r="E103" s="647">
        <v>45335</v>
      </c>
      <c r="F103" s="646" t="s">
        <v>1157</v>
      </c>
      <c r="G103" s="646" t="s">
        <v>1240</v>
      </c>
      <c r="H103" s="665" t="s">
        <v>1158</v>
      </c>
      <c r="I103" s="452" t="s">
        <v>91</v>
      </c>
      <c r="J103" s="452" t="s">
        <v>542</v>
      </c>
      <c r="K103" s="645" t="s">
        <v>29</v>
      </c>
      <c r="L103" s="645" t="s">
        <v>544</v>
      </c>
      <c r="M103" s="645" t="s">
        <v>544</v>
      </c>
      <c r="N103" s="645" t="s">
        <v>13</v>
      </c>
      <c r="O103" s="647"/>
      <c r="P103" s="647"/>
      <c r="Q103" s="647"/>
      <c r="V103" s="647"/>
      <c r="W103" s="647"/>
      <c r="X103" s="647"/>
      <c r="Y103" s="647"/>
      <c r="Z103" s="647"/>
      <c r="AA103" s="647">
        <v>45602</v>
      </c>
      <c r="AB103" s="452">
        <v>5000</v>
      </c>
      <c r="AC103" s="671" t="s">
        <v>1155</v>
      </c>
      <c r="AD103" s="646"/>
    </row>
    <row r="104" spans="1:30" s="452" customFormat="1" hidden="1" x14ac:dyDescent="0.2">
      <c r="A104" s="644" t="s">
        <v>1160</v>
      </c>
      <c r="B104" s="644" t="s">
        <v>215</v>
      </c>
      <c r="C104" s="651" t="s">
        <v>1152</v>
      </c>
      <c r="D104" s="645">
        <v>24002</v>
      </c>
      <c r="E104" s="647">
        <v>45336</v>
      </c>
      <c r="F104" s="646" t="s">
        <v>717</v>
      </c>
      <c r="G104" s="646" t="s">
        <v>1240</v>
      </c>
      <c r="H104" s="665" t="s">
        <v>1161</v>
      </c>
      <c r="I104" s="452" t="s">
        <v>7</v>
      </c>
      <c r="J104" s="452" t="s">
        <v>544</v>
      </c>
      <c r="K104" s="645" t="s">
        <v>1159</v>
      </c>
      <c r="L104" s="645" t="s">
        <v>544</v>
      </c>
      <c r="M104" s="645" t="s">
        <v>544</v>
      </c>
      <c r="N104" s="645" t="s">
        <v>13</v>
      </c>
      <c r="O104" s="647"/>
      <c r="P104" s="647"/>
      <c r="Q104" s="647"/>
      <c r="V104" s="647"/>
      <c r="W104" s="647"/>
      <c r="X104" s="647"/>
      <c r="Y104" s="647"/>
      <c r="Z104" s="647"/>
      <c r="AA104" s="647">
        <v>45358</v>
      </c>
      <c r="AB104" s="452">
        <v>5000</v>
      </c>
      <c r="AC104" s="671" t="s">
        <v>1155</v>
      </c>
      <c r="AD104" s="646"/>
    </row>
    <row r="105" spans="1:30" s="452" customFormat="1" hidden="1" x14ac:dyDescent="0.2">
      <c r="A105" s="644" t="s">
        <v>1165</v>
      </c>
      <c r="B105" s="644" t="s">
        <v>215</v>
      </c>
      <c r="C105" s="651" t="s">
        <v>1152</v>
      </c>
      <c r="D105" s="645">
        <v>24002</v>
      </c>
      <c r="E105" s="647">
        <v>45337</v>
      </c>
      <c r="F105" s="646" t="s">
        <v>1166</v>
      </c>
      <c r="G105" s="646" t="s">
        <v>1240</v>
      </c>
      <c r="H105" s="665" t="s">
        <v>1167</v>
      </c>
      <c r="I105" s="452" t="s">
        <v>91</v>
      </c>
      <c r="J105" s="452" t="s">
        <v>542</v>
      </c>
      <c r="K105" s="645" t="s">
        <v>29</v>
      </c>
      <c r="L105" s="645" t="s">
        <v>544</v>
      </c>
      <c r="M105" s="645" t="s">
        <v>544</v>
      </c>
      <c r="N105" s="645" t="s">
        <v>13</v>
      </c>
      <c r="O105" s="647"/>
      <c r="P105" s="647"/>
      <c r="Q105" s="647"/>
      <c r="V105" s="647"/>
      <c r="W105" s="647"/>
      <c r="X105" s="647"/>
      <c r="Y105" s="647"/>
      <c r="Z105" s="647"/>
      <c r="AA105" s="647">
        <v>45520</v>
      </c>
      <c r="AB105" s="452">
        <v>5000</v>
      </c>
      <c r="AC105" s="671" t="s">
        <v>1155</v>
      </c>
      <c r="AD105" s="646"/>
    </row>
    <row r="106" spans="1:30" s="452" customFormat="1" ht="28.5" hidden="1" customHeight="1" x14ac:dyDescent="0.2">
      <c r="A106" s="644" t="s">
        <v>1172</v>
      </c>
      <c r="B106" s="644" t="s">
        <v>215</v>
      </c>
      <c r="C106" s="651" t="s">
        <v>1152</v>
      </c>
      <c r="D106" s="645">
        <v>24002</v>
      </c>
      <c r="E106" s="647">
        <v>45340</v>
      </c>
      <c r="F106" s="646" t="s">
        <v>1287</v>
      </c>
      <c r="G106" s="646" t="s">
        <v>1240</v>
      </c>
      <c r="H106" s="665" t="s">
        <v>1173</v>
      </c>
      <c r="I106" s="452" t="s">
        <v>7</v>
      </c>
      <c r="J106" s="452" t="s">
        <v>542</v>
      </c>
      <c r="K106" s="645" t="s">
        <v>29</v>
      </c>
      <c r="L106" s="645" t="s">
        <v>544</v>
      </c>
      <c r="M106" s="645" t="s">
        <v>544</v>
      </c>
      <c r="N106" s="645" t="s">
        <v>13</v>
      </c>
      <c r="O106" s="647">
        <v>45353</v>
      </c>
      <c r="P106" s="647" t="s">
        <v>1418</v>
      </c>
      <c r="Q106" s="647"/>
      <c r="V106" s="647"/>
      <c r="W106" s="647"/>
      <c r="X106" s="647"/>
      <c r="Y106" s="647"/>
      <c r="Z106" s="647"/>
      <c r="AA106" s="647">
        <v>45752</v>
      </c>
      <c r="AB106" s="452">
        <v>5000</v>
      </c>
      <c r="AC106" s="671" t="s">
        <v>1155</v>
      </c>
      <c r="AD106" s="646" t="s">
        <v>1633</v>
      </c>
    </row>
    <row r="107" spans="1:30" s="452" customFormat="1" hidden="1" x14ac:dyDescent="0.2">
      <c r="A107" s="644">
        <v>104</v>
      </c>
      <c r="B107" s="644" t="s">
        <v>215</v>
      </c>
      <c r="C107" s="651" t="s">
        <v>1152</v>
      </c>
      <c r="D107" s="645">
        <v>24002</v>
      </c>
      <c r="E107" s="647">
        <v>45353</v>
      </c>
      <c r="F107" s="646" t="s">
        <v>1289</v>
      </c>
      <c r="G107" s="646" t="s">
        <v>1240</v>
      </c>
      <c r="H107" s="665" t="s">
        <v>1193</v>
      </c>
      <c r="I107" s="452" t="s">
        <v>701</v>
      </c>
      <c r="J107" s="452" t="s">
        <v>542</v>
      </c>
      <c r="K107" s="645" t="s">
        <v>29</v>
      </c>
      <c r="L107" s="645" t="s">
        <v>544</v>
      </c>
      <c r="M107" s="645" t="s">
        <v>544</v>
      </c>
      <c r="N107" s="645" t="s">
        <v>13</v>
      </c>
      <c r="O107" s="647"/>
      <c r="P107" s="647"/>
      <c r="Q107" s="647"/>
      <c r="V107" s="647"/>
      <c r="W107" s="647"/>
      <c r="X107" s="647"/>
      <c r="Y107" s="647"/>
      <c r="Z107" s="647"/>
      <c r="AA107" s="647">
        <v>45688</v>
      </c>
      <c r="AB107" s="452">
        <v>5000</v>
      </c>
      <c r="AC107" s="671" t="s">
        <v>1155</v>
      </c>
      <c r="AD107" s="646" t="s">
        <v>1610</v>
      </c>
    </row>
    <row r="108" spans="1:30" s="452" customFormat="1" ht="25.5" hidden="1" x14ac:dyDescent="0.2">
      <c r="A108" s="644" t="s">
        <v>1189</v>
      </c>
      <c r="B108" s="644" t="s">
        <v>215</v>
      </c>
      <c r="C108" s="651" t="s">
        <v>1152</v>
      </c>
      <c r="D108" s="645">
        <v>24002</v>
      </c>
      <c r="E108" s="647">
        <v>45353</v>
      </c>
      <c r="F108" s="646" t="s">
        <v>1361</v>
      </c>
      <c r="G108" s="646" t="s">
        <v>1240</v>
      </c>
      <c r="H108" s="665" t="s">
        <v>1191</v>
      </c>
      <c r="I108" s="452" t="s">
        <v>1033</v>
      </c>
      <c r="J108" s="452" t="s">
        <v>1192</v>
      </c>
      <c r="K108" s="645" t="s">
        <v>29</v>
      </c>
      <c r="L108" s="645" t="s">
        <v>544</v>
      </c>
      <c r="M108" s="645" t="s">
        <v>544</v>
      </c>
      <c r="N108" s="645" t="s">
        <v>13</v>
      </c>
      <c r="O108" s="647">
        <v>45377</v>
      </c>
      <c r="P108" s="647" t="s">
        <v>1222</v>
      </c>
      <c r="Q108" s="647">
        <v>45566</v>
      </c>
      <c r="R108" s="452" t="s">
        <v>1533</v>
      </c>
      <c r="S108" s="647">
        <v>45601</v>
      </c>
      <c r="T108" s="452" t="s">
        <v>1575</v>
      </c>
      <c r="V108" s="647"/>
      <c r="W108" s="647"/>
      <c r="X108" s="647"/>
      <c r="Y108" s="647"/>
      <c r="Z108" s="647"/>
      <c r="AA108" s="647">
        <v>45610</v>
      </c>
      <c r="AB108" s="452">
        <v>5000</v>
      </c>
      <c r="AC108" s="671" t="s">
        <v>1155</v>
      </c>
      <c r="AD108" s="646" t="s">
        <v>1594</v>
      </c>
    </row>
    <row r="109" spans="1:30" s="452" customFormat="1" hidden="1" x14ac:dyDescent="0.2">
      <c r="A109" s="644" t="s">
        <v>1190</v>
      </c>
      <c r="B109" s="644" t="s">
        <v>215</v>
      </c>
      <c r="C109" s="651" t="s">
        <v>1152</v>
      </c>
      <c r="D109" s="645">
        <v>24002</v>
      </c>
      <c r="E109" s="647">
        <v>45354</v>
      </c>
      <c r="F109" s="646" t="s">
        <v>1368</v>
      </c>
      <c r="G109" s="646" t="s">
        <v>1240</v>
      </c>
      <c r="H109" s="665" t="s">
        <v>1195</v>
      </c>
      <c r="I109" s="452" t="s">
        <v>1194</v>
      </c>
      <c r="J109" s="452" t="s">
        <v>542</v>
      </c>
      <c r="K109" s="645" t="s">
        <v>1159</v>
      </c>
      <c r="L109" s="645" t="s">
        <v>544</v>
      </c>
      <c r="M109" s="645" t="s">
        <v>544</v>
      </c>
      <c r="N109" s="645" t="s">
        <v>13</v>
      </c>
      <c r="O109" s="647">
        <v>45636</v>
      </c>
      <c r="P109" s="647" t="s">
        <v>1608</v>
      </c>
      <c r="Q109" s="647"/>
      <c r="V109" s="647"/>
      <c r="W109" s="647"/>
      <c r="X109" s="647"/>
      <c r="Y109" s="647"/>
      <c r="Z109" s="647"/>
      <c r="AA109" s="647">
        <v>45762</v>
      </c>
      <c r="AB109" s="452">
        <v>5000</v>
      </c>
      <c r="AC109" s="671" t="s">
        <v>1155</v>
      </c>
      <c r="AD109" s="646" t="s">
        <v>1585</v>
      </c>
    </row>
    <row r="110" spans="1:30" s="452" customFormat="1" hidden="1" x14ac:dyDescent="0.2">
      <c r="A110" s="644" t="s">
        <v>1214</v>
      </c>
      <c r="B110" s="644" t="s">
        <v>215</v>
      </c>
      <c r="C110" s="651" t="s">
        <v>1152</v>
      </c>
      <c r="D110" s="645">
        <v>24002</v>
      </c>
      <c r="E110" s="647">
        <v>45370</v>
      </c>
      <c r="F110" s="646" t="s">
        <v>1215</v>
      </c>
      <c r="G110" s="646" t="s">
        <v>1240</v>
      </c>
      <c r="H110" s="665" t="s">
        <v>1161</v>
      </c>
      <c r="I110" s="452" t="s">
        <v>7</v>
      </c>
      <c r="J110" s="452" t="s">
        <v>1192</v>
      </c>
      <c r="K110" s="645" t="s">
        <v>1159</v>
      </c>
      <c r="L110" s="645" t="s">
        <v>544</v>
      </c>
      <c r="M110" s="645" t="s">
        <v>544</v>
      </c>
      <c r="N110" s="645" t="s">
        <v>13</v>
      </c>
      <c r="O110" s="647">
        <v>45386</v>
      </c>
      <c r="P110" s="647" t="s">
        <v>1249</v>
      </c>
      <c r="Q110" s="647"/>
      <c r="V110" s="647"/>
      <c r="W110" s="647"/>
      <c r="X110" s="647"/>
      <c r="Y110" s="647"/>
      <c r="Z110" s="647"/>
      <c r="AA110" s="647">
        <v>45432</v>
      </c>
      <c r="AB110" s="452">
        <v>5000</v>
      </c>
      <c r="AC110" s="671" t="s">
        <v>1155</v>
      </c>
      <c r="AD110" s="646"/>
    </row>
    <row r="111" spans="1:30" s="452" customFormat="1" hidden="1" x14ac:dyDescent="0.2">
      <c r="A111" s="644" t="s">
        <v>1227</v>
      </c>
      <c r="B111" s="644" t="s">
        <v>215</v>
      </c>
      <c r="C111" s="651" t="s">
        <v>1152</v>
      </c>
      <c r="D111" s="645">
        <v>24002</v>
      </c>
      <c r="E111" s="647">
        <v>45380</v>
      </c>
      <c r="F111" s="646" t="s">
        <v>1228</v>
      </c>
      <c r="G111" s="646" t="s">
        <v>1240</v>
      </c>
      <c r="H111" s="665" t="s">
        <v>1419</v>
      </c>
      <c r="I111" s="452" t="s">
        <v>1194</v>
      </c>
      <c r="J111" s="452" t="s">
        <v>542</v>
      </c>
      <c r="K111" s="645" t="s">
        <v>29</v>
      </c>
      <c r="L111" s="645" t="s">
        <v>544</v>
      </c>
      <c r="M111" s="645" t="s">
        <v>544</v>
      </c>
      <c r="N111" s="645" t="s">
        <v>13</v>
      </c>
      <c r="O111" s="647">
        <v>45525</v>
      </c>
      <c r="P111" s="647" t="s">
        <v>1459</v>
      </c>
      <c r="Q111" s="647"/>
      <c r="V111" s="647"/>
      <c r="W111" s="647"/>
      <c r="X111" s="647"/>
      <c r="Y111" s="647"/>
      <c r="Z111" s="647"/>
      <c r="AA111" s="647">
        <v>45612</v>
      </c>
      <c r="AB111" s="452">
        <v>5000</v>
      </c>
      <c r="AC111" s="671" t="s">
        <v>1155</v>
      </c>
      <c r="AD111" s="646"/>
    </row>
    <row r="112" spans="1:30" s="452" customFormat="1" ht="12.75" hidden="1" customHeight="1" x14ac:dyDescent="0.2">
      <c r="A112" s="644">
        <v>299</v>
      </c>
      <c r="B112" s="644" t="s">
        <v>215</v>
      </c>
      <c r="C112" s="651" t="s">
        <v>1429</v>
      </c>
      <c r="D112" s="645">
        <v>24019</v>
      </c>
      <c r="E112" s="647">
        <v>45762</v>
      </c>
      <c r="F112" s="646" t="s">
        <v>1667</v>
      </c>
      <c r="G112" s="450" t="s">
        <v>276</v>
      </c>
      <c r="H112" s="452" t="s">
        <v>1695</v>
      </c>
      <c r="I112" s="452" t="s">
        <v>61</v>
      </c>
      <c r="J112" s="452" t="s">
        <v>542</v>
      </c>
      <c r="K112" s="452" t="s">
        <v>43</v>
      </c>
      <c r="L112" s="645" t="s">
        <v>544</v>
      </c>
      <c r="M112" s="645" t="s">
        <v>544</v>
      </c>
      <c r="N112" s="645" t="s">
        <v>13</v>
      </c>
      <c r="O112" s="647">
        <v>45762</v>
      </c>
      <c r="P112" s="647" t="s">
        <v>1694</v>
      </c>
      <c r="Q112" s="647"/>
      <c r="V112" s="647"/>
      <c r="W112" s="647"/>
      <c r="X112" s="647"/>
      <c r="Y112" s="647"/>
      <c r="Z112" s="647"/>
      <c r="AA112" s="647">
        <v>46053</v>
      </c>
      <c r="AB112" s="452">
        <v>4500</v>
      </c>
      <c r="AC112" s="653" t="s">
        <v>1672</v>
      </c>
      <c r="AD112" s="646"/>
    </row>
    <row r="113" spans="1:30" s="452" customFormat="1" hidden="1" x14ac:dyDescent="0.25">
      <c r="A113" s="644" t="s">
        <v>1387</v>
      </c>
      <c r="B113" s="644" t="s">
        <v>215</v>
      </c>
      <c r="C113" s="651" t="s">
        <v>1426</v>
      </c>
      <c r="D113" s="645">
        <v>24019</v>
      </c>
      <c r="E113" s="647">
        <v>45469</v>
      </c>
      <c r="F113" s="646" t="s">
        <v>1521</v>
      </c>
      <c r="G113" s="646" t="s">
        <v>1389</v>
      </c>
      <c r="H113" s="648" t="s">
        <v>1392</v>
      </c>
      <c r="I113" s="452" t="s">
        <v>285</v>
      </c>
      <c r="J113" s="452" t="s">
        <v>542</v>
      </c>
      <c r="K113" s="645" t="s">
        <v>43</v>
      </c>
      <c r="L113" s="645" t="s">
        <v>544</v>
      </c>
      <c r="M113" s="645" t="s">
        <v>544</v>
      </c>
      <c r="N113" s="645" t="s">
        <v>13</v>
      </c>
      <c r="O113" s="647">
        <v>45572</v>
      </c>
      <c r="P113" s="647" t="s">
        <v>1550</v>
      </c>
      <c r="Q113" s="647">
        <v>45883</v>
      </c>
      <c r="R113" s="452" t="s">
        <v>1756</v>
      </c>
      <c r="V113" s="647"/>
      <c r="W113" s="647"/>
      <c r="X113" s="647"/>
      <c r="Y113" s="647"/>
      <c r="Z113" s="647"/>
      <c r="AA113" s="647">
        <v>46079</v>
      </c>
      <c r="AB113" s="452">
        <v>4500</v>
      </c>
      <c r="AC113" s="672" t="s">
        <v>1390</v>
      </c>
      <c r="AD113" s="646" t="s">
        <v>1654</v>
      </c>
    </row>
    <row r="114" spans="1:30" s="452" customFormat="1" ht="12.75" hidden="1" customHeight="1" x14ac:dyDescent="0.2">
      <c r="A114" s="644">
        <v>274</v>
      </c>
      <c r="B114" s="644" t="s">
        <v>215</v>
      </c>
      <c r="C114" s="651" t="s">
        <v>1562</v>
      </c>
      <c r="D114" s="645">
        <v>24024</v>
      </c>
      <c r="E114" s="647">
        <v>45666</v>
      </c>
      <c r="F114" s="646" t="s">
        <v>1626</v>
      </c>
      <c r="G114" s="450" t="s">
        <v>1629</v>
      </c>
      <c r="H114" s="648" t="s">
        <v>1627</v>
      </c>
      <c r="I114" s="452">
        <v>1</v>
      </c>
      <c r="J114" s="452" t="s">
        <v>542</v>
      </c>
      <c r="K114" s="452" t="s">
        <v>43</v>
      </c>
      <c r="L114" s="450" t="s">
        <v>544</v>
      </c>
      <c r="M114" s="645" t="s">
        <v>544</v>
      </c>
      <c r="N114" s="645" t="s">
        <v>13</v>
      </c>
      <c r="O114" s="647">
        <v>45687</v>
      </c>
      <c r="P114" s="647" t="s">
        <v>1648</v>
      </c>
      <c r="Q114" s="647">
        <v>45751</v>
      </c>
      <c r="R114" s="452" t="s">
        <v>1685</v>
      </c>
      <c r="V114" s="647"/>
      <c r="W114" s="647"/>
      <c r="X114" s="647"/>
      <c r="Y114" s="647"/>
      <c r="Z114" s="647"/>
      <c r="AA114" s="647">
        <v>46132</v>
      </c>
      <c r="AB114" s="452">
        <v>4500</v>
      </c>
      <c r="AC114" s="653" t="s">
        <v>1628</v>
      </c>
      <c r="AD114" s="646" t="s">
        <v>1934</v>
      </c>
    </row>
    <row r="115" spans="1:30" s="452" customFormat="1" hidden="1" x14ac:dyDescent="0.25">
      <c r="A115" s="644" t="s">
        <v>1233</v>
      </c>
      <c r="B115" s="644" t="s">
        <v>215</v>
      </c>
      <c r="C115" s="651" t="s">
        <v>1247</v>
      </c>
      <c r="D115" s="645">
        <v>24008</v>
      </c>
      <c r="E115" s="647">
        <v>45385</v>
      </c>
      <c r="F115" s="646" t="s">
        <v>1057</v>
      </c>
      <c r="G115" s="646" t="s">
        <v>171</v>
      </c>
      <c r="H115" s="648" t="s">
        <v>1248</v>
      </c>
      <c r="I115" s="452" t="s">
        <v>5</v>
      </c>
      <c r="J115" s="452" t="s">
        <v>542</v>
      </c>
      <c r="K115" s="645" t="s">
        <v>32</v>
      </c>
      <c r="L115" s="645" t="s">
        <v>542</v>
      </c>
      <c r="M115" s="645"/>
      <c r="N115" s="645" t="s">
        <v>13</v>
      </c>
      <c r="O115" s="647"/>
      <c r="P115" s="647"/>
      <c r="Q115" s="647"/>
      <c r="V115" s="647"/>
      <c r="W115" s="647"/>
      <c r="X115" s="647"/>
      <c r="Y115" s="647"/>
      <c r="Z115" s="647"/>
      <c r="AA115" s="647">
        <v>45439</v>
      </c>
      <c r="AB115" s="452">
        <v>6000</v>
      </c>
      <c r="AC115" s="673" t="s">
        <v>1246</v>
      </c>
      <c r="AD115" s="646"/>
    </row>
    <row r="116" spans="1:30" s="452" customFormat="1" hidden="1" x14ac:dyDescent="0.25">
      <c r="A116" s="674" t="s">
        <v>1234</v>
      </c>
      <c r="B116" s="674" t="s">
        <v>215</v>
      </c>
      <c r="C116" s="675" t="s">
        <v>1236</v>
      </c>
      <c r="D116" s="676">
        <v>24006</v>
      </c>
      <c r="E116" s="677">
        <v>45388</v>
      </c>
      <c r="F116" s="678" t="s">
        <v>1253</v>
      </c>
      <c r="G116" s="678" t="s">
        <v>117</v>
      </c>
      <c r="H116" s="679" t="s">
        <v>1254</v>
      </c>
      <c r="I116" s="680" t="s">
        <v>15</v>
      </c>
      <c r="J116" s="681" t="s">
        <v>542</v>
      </c>
      <c r="K116" s="682" t="s">
        <v>43</v>
      </c>
      <c r="L116" s="676" t="s">
        <v>544</v>
      </c>
      <c r="M116" s="645" t="s">
        <v>544</v>
      </c>
      <c r="N116" s="682" t="s">
        <v>8</v>
      </c>
      <c r="O116" s="683"/>
      <c r="P116" s="683"/>
      <c r="Q116" s="683"/>
      <c r="R116" s="680"/>
      <c r="S116" s="681"/>
      <c r="T116" s="681"/>
      <c r="U116" s="681"/>
      <c r="V116" s="677"/>
      <c r="W116" s="677"/>
      <c r="X116" s="677"/>
      <c r="Y116" s="677"/>
      <c r="Z116" s="677"/>
      <c r="AA116" s="677">
        <v>45433</v>
      </c>
      <c r="AB116" s="680">
        <v>5000</v>
      </c>
      <c r="AC116" s="660" t="s">
        <v>117</v>
      </c>
      <c r="AD116" s="678"/>
    </row>
    <row r="117" spans="1:30" s="452" customFormat="1" ht="12.75" hidden="1" customHeight="1" x14ac:dyDescent="0.2">
      <c r="A117" s="644">
        <v>316</v>
      </c>
      <c r="B117" s="644" t="s">
        <v>215</v>
      </c>
      <c r="C117" s="651" t="s">
        <v>1429</v>
      </c>
      <c r="D117" s="645">
        <v>24019</v>
      </c>
      <c r="E117" s="647">
        <v>45870</v>
      </c>
      <c r="F117" s="646" t="s">
        <v>1675</v>
      </c>
      <c r="G117" s="450" t="s">
        <v>1721</v>
      </c>
      <c r="H117" s="452" t="s">
        <v>1751</v>
      </c>
      <c r="I117" s="452" t="s">
        <v>61</v>
      </c>
      <c r="J117" s="452" t="s">
        <v>542</v>
      </c>
      <c r="K117" s="452" t="s">
        <v>43</v>
      </c>
      <c r="L117" s="645" t="s">
        <v>544</v>
      </c>
      <c r="M117" s="645" t="s">
        <v>544</v>
      </c>
      <c r="N117" s="645" t="s">
        <v>13</v>
      </c>
      <c r="O117" s="647">
        <v>45898</v>
      </c>
      <c r="P117" s="647" t="s">
        <v>1760</v>
      </c>
      <c r="Q117" s="647"/>
      <c r="V117" s="647"/>
      <c r="W117" s="647"/>
      <c r="X117" s="647"/>
      <c r="Y117" s="647"/>
      <c r="Z117" s="647"/>
      <c r="AA117" s="647">
        <v>46108</v>
      </c>
      <c r="AB117" s="452">
        <v>3000</v>
      </c>
      <c r="AC117" s="653" t="s">
        <v>1723</v>
      </c>
      <c r="AD117" s="646"/>
    </row>
    <row r="118" spans="1:30" s="452" customFormat="1" ht="25.5" hidden="1" x14ac:dyDescent="0.25">
      <c r="A118" s="644" t="s">
        <v>1258</v>
      </c>
      <c r="B118" s="644" t="s">
        <v>215</v>
      </c>
      <c r="C118" s="651" t="s">
        <v>1247</v>
      </c>
      <c r="D118" s="645">
        <v>24008</v>
      </c>
      <c r="E118" s="647">
        <v>45412</v>
      </c>
      <c r="F118" s="646" t="s">
        <v>1616</v>
      </c>
      <c r="G118" s="646" t="s">
        <v>171</v>
      </c>
      <c r="H118" s="648" t="s">
        <v>1308</v>
      </c>
      <c r="I118" s="452" t="s">
        <v>16</v>
      </c>
      <c r="J118" s="452" t="s">
        <v>542</v>
      </c>
      <c r="K118" s="645" t="s">
        <v>43</v>
      </c>
      <c r="L118" s="645" t="s">
        <v>544</v>
      </c>
      <c r="M118" s="645" t="s">
        <v>544</v>
      </c>
      <c r="N118" s="645" t="s">
        <v>13</v>
      </c>
      <c r="O118" s="647">
        <v>45548</v>
      </c>
      <c r="P118" s="647" t="s">
        <v>1539</v>
      </c>
      <c r="Q118" s="647">
        <v>45763</v>
      </c>
      <c r="R118" s="452" t="s">
        <v>1697</v>
      </c>
      <c r="V118" s="647"/>
      <c r="W118" s="647"/>
      <c r="X118" s="647"/>
      <c r="Y118" s="647"/>
      <c r="Z118" s="647"/>
      <c r="AA118" s="647">
        <v>45898</v>
      </c>
      <c r="AB118" s="452">
        <v>4500</v>
      </c>
      <c r="AC118" s="673" t="s">
        <v>1246</v>
      </c>
      <c r="AD118" s="646" t="s">
        <v>1584</v>
      </c>
    </row>
    <row r="119" spans="1:30" s="452" customFormat="1" hidden="1" x14ac:dyDescent="0.25">
      <c r="A119" s="644" t="s">
        <v>1294</v>
      </c>
      <c r="B119" s="644" t="s">
        <v>215</v>
      </c>
      <c r="C119" s="651" t="s">
        <v>1247</v>
      </c>
      <c r="D119" s="645">
        <v>24008</v>
      </c>
      <c r="E119" s="647">
        <v>45414</v>
      </c>
      <c r="F119" s="646" t="s">
        <v>1292</v>
      </c>
      <c r="G119" s="646" t="s">
        <v>171</v>
      </c>
      <c r="H119" s="648" t="s">
        <v>1312</v>
      </c>
      <c r="I119" s="452" t="s">
        <v>61</v>
      </c>
      <c r="J119" s="452" t="s">
        <v>542</v>
      </c>
      <c r="K119" s="645" t="s">
        <v>43</v>
      </c>
      <c r="L119" s="645" t="s">
        <v>544</v>
      </c>
      <c r="M119" s="645" t="s">
        <v>544</v>
      </c>
      <c r="N119" s="645" t="s">
        <v>13</v>
      </c>
      <c r="O119" s="647"/>
      <c r="P119" s="647"/>
      <c r="Q119" s="647"/>
      <c r="V119" s="647"/>
      <c r="W119" s="647"/>
      <c r="X119" s="647"/>
      <c r="Y119" s="647"/>
      <c r="Z119" s="647"/>
      <c r="AA119" s="647">
        <v>45529</v>
      </c>
      <c r="AB119" s="452">
        <v>4500</v>
      </c>
      <c r="AC119" s="673" t="s">
        <v>1246</v>
      </c>
      <c r="AD119" s="646"/>
    </row>
    <row r="120" spans="1:30" s="452" customFormat="1" hidden="1" x14ac:dyDescent="0.2">
      <c r="A120" s="644" t="s">
        <v>1295</v>
      </c>
      <c r="B120" s="644" t="s">
        <v>215</v>
      </c>
      <c r="C120" s="651" t="s">
        <v>1152</v>
      </c>
      <c r="D120" s="645">
        <v>24002</v>
      </c>
      <c r="E120" s="647">
        <v>45410</v>
      </c>
      <c r="F120" s="646" t="s">
        <v>1296</v>
      </c>
      <c r="G120" s="646" t="s">
        <v>1240</v>
      </c>
      <c r="H120" s="648" t="s">
        <v>1306</v>
      </c>
      <c r="I120" s="452" t="s">
        <v>7</v>
      </c>
      <c r="J120" s="452" t="s">
        <v>542</v>
      </c>
      <c r="K120" s="645" t="s">
        <v>29</v>
      </c>
      <c r="L120" s="645" t="s">
        <v>544</v>
      </c>
      <c r="M120" s="645" t="s">
        <v>544</v>
      </c>
      <c r="N120" s="645" t="s">
        <v>13</v>
      </c>
      <c r="O120" s="647">
        <v>45496</v>
      </c>
      <c r="P120" s="647" t="s">
        <v>1420</v>
      </c>
      <c r="Q120" s="647"/>
      <c r="V120" s="647"/>
      <c r="W120" s="647"/>
      <c r="X120" s="647"/>
      <c r="Y120" s="647"/>
      <c r="Z120" s="647"/>
      <c r="AA120" s="647">
        <v>45645</v>
      </c>
      <c r="AB120" s="452">
        <v>5000</v>
      </c>
      <c r="AC120" s="671" t="s">
        <v>1155</v>
      </c>
      <c r="AD120" s="646"/>
    </row>
    <row r="121" spans="1:30" s="452" customFormat="1" hidden="1" x14ac:dyDescent="0.2">
      <c r="A121" s="644" t="s">
        <v>1298</v>
      </c>
      <c r="B121" s="644" t="s">
        <v>215</v>
      </c>
      <c r="C121" s="651" t="s">
        <v>1247</v>
      </c>
      <c r="D121" s="645">
        <v>24008</v>
      </c>
      <c r="E121" s="647">
        <v>45344</v>
      </c>
      <c r="F121" s="646" t="s">
        <v>1299</v>
      </c>
      <c r="G121" s="646" t="s">
        <v>171</v>
      </c>
      <c r="H121" s="684" t="s">
        <v>1285</v>
      </c>
      <c r="I121" s="450" t="s">
        <v>194</v>
      </c>
      <c r="J121" s="452" t="s">
        <v>544</v>
      </c>
      <c r="K121" s="645" t="s">
        <v>43</v>
      </c>
      <c r="L121" s="645" t="s">
        <v>544</v>
      </c>
      <c r="M121" s="645" t="s">
        <v>544</v>
      </c>
      <c r="N121" s="645" t="s">
        <v>1334</v>
      </c>
      <c r="O121" s="647"/>
      <c r="P121" s="647"/>
      <c r="Q121" s="647"/>
      <c r="V121" s="647"/>
      <c r="W121" s="647"/>
      <c r="X121" s="647"/>
      <c r="Y121" s="647"/>
      <c r="Z121" s="647"/>
      <c r="AA121" s="647"/>
      <c r="AB121" s="452" t="s">
        <v>6</v>
      </c>
      <c r="AC121" s="449"/>
      <c r="AD121" s="646"/>
    </row>
    <row r="122" spans="1:30" s="452" customFormat="1" hidden="1" x14ac:dyDescent="0.25">
      <c r="A122" s="644" t="s">
        <v>1301</v>
      </c>
      <c r="B122" s="644" t="s">
        <v>215</v>
      </c>
      <c r="C122" s="651" t="s">
        <v>1247</v>
      </c>
      <c r="D122" s="645">
        <v>24008</v>
      </c>
      <c r="E122" s="647">
        <v>45414</v>
      </c>
      <c r="F122" s="646" t="s">
        <v>1300</v>
      </c>
      <c r="G122" s="646" t="s">
        <v>171</v>
      </c>
      <c r="H122" s="685" t="s">
        <v>1311</v>
      </c>
      <c r="I122" s="452" t="s">
        <v>16</v>
      </c>
      <c r="J122" s="452" t="s">
        <v>542</v>
      </c>
      <c r="K122" s="645" t="s">
        <v>43</v>
      </c>
      <c r="L122" s="645" t="s">
        <v>544</v>
      </c>
      <c r="M122" s="645" t="s">
        <v>544</v>
      </c>
      <c r="N122" s="645" t="s">
        <v>13</v>
      </c>
      <c r="O122" s="647"/>
      <c r="P122" s="647"/>
      <c r="Q122" s="647"/>
      <c r="V122" s="647"/>
      <c r="W122" s="647"/>
      <c r="X122" s="647"/>
      <c r="Y122" s="647"/>
      <c r="Z122" s="647"/>
      <c r="AA122" s="647">
        <v>45532</v>
      </c>
      <c r="AB122" s="452">
        <v>4500</v>
      </c>
      <c r="AC122" s="673" t="s">
        <v>1246</v>
      </c>
      <c r="AD122" s="646"/>
    </row>
    <row r="123" spans="1:30" s="452" customFormat="1" hidden="1" x14ac:dyDescent="0.2">
      <c r="A123" s="644" t="s">
        <v>1302</v>
      </c>
      <c r="B123" s="644" t="s">
        <v>215</v>
      </c>
      <c r="C123" s="651" t="s">
        <v>1152</v>
      </c>
      <c r="D123" s="645">
        <v>24002</v>
      </c>
      <c r="E123" s="647">
        <v>45417</v>
      </c>
      <c r="F123" s="646" t="s">
        <v>292</v>
      </c>
      <c r="G123" s="646" t="s">
        <v>1240</v>
      </c>
      <c r="H123" s="685" t="s">
        <v>1319</v>
      </c>
      <c r="I123" s="452" t="s">
        <v>7</v>
      </c>
      <c r="J123" s="452" t="s">
        <v>542</v>
      </c>
      <c r="K123" s="645" t="s">
        <v>29</v>
      </c>
      <c r="L123" s="645" t="s">
        <v>544</v>
      </c>
      <c r="M123" s="645" t="s">
        <v>544</v>
      </c>
      <c r="N123" s="645" t="s">
        <v>13</v>
      </c>
      <c r="O123" s="647">
        <v>45594</v>
      </c>
      <c r="P123" s="647" t="s">
        <v>1569</v>
      </c>
      <c r="Q123" s="647"/>
      <c r="V123" s="647"/>
      <c r="W123" s="647"/>
      <c r="X123" s="647"/>
      <c r="Y123" s="647"/>
      <c r="Z123" s="647"/>
      <c r="AA123" s="647">
        <v>45645</v>
      </c>
      <c r="AB123" s="452">
        <v>5000</v>
      </c>
      <c r="AC123" s="671" t="s">
        <v>1155</v>
      </c>
      <c r="AD123" s="646"/>
    </row>
    <row r="124" spans="1:30" s="452" customFormat="1" hidden="1" x14ac:dyDescent="0.25">
      <c r="A124" s="644" t="s">
        <v>1303</v>
      </c>
      <c r="B124" s="644" t="s">
        <v>215</v>
      </c>
      <c r="C124" s="651" t="s">
        <v>856</v>
      </c>
      <c r="D124" s="645">
        <v>23018</v>
      </c>
      <c r="E124" s="647">
        <v>45418</v>
      </c>
      <c r="F124" s="646" t="s">
        <v>1314</v>
      </c>
      <c r="G124" s="646" t="s">
        <v>46</v>
      </c>
      <c r="H124" s="648" t="s">
        <v>1318</v>
      </c>
      <c r="I124" s="452" t="s">
        <v>7</v>
      </c>
      <c r="J124" s="452" t="s">
        <v>542</v>
      </c>
      <c r="K124" s="645" t="s">
        <v>29</v>
      </c>
      <c r="L124" s="645" t="s">
        <v>544</v>
      </c>
      <c r="M124" s="645" t="s">
        <v>544</v>
      </c>
      <c r="N124" s="645" t="s">
        <v>13</v>
      </c>
      <c r="O124" s="647"/>
      <c r="P124" s="647"/>
      <c r="Q124" s="647"/>
      <c r="V124" s="647"/>
      <c r="W124" s="647"/>
      <c r="X124" s="647"/>
      <c r="Y124" s="647"/>
      <c r="Z124" s="647"/>
      <c r="AA124" s="647">
        <v>45570</v>
      </c>
      <c r="AB124" s="452">
        <v>3000</v>
      </c>
      <c r="AC124" s="655" t="s">
        <v>868</v>
      </c>
      <c r="AD124" s="646" t="s">
        <v>1317</v>
      </c>
    </row>
    <row r="125" spans="1:30" s="452" customFormat="1" hidden="1" x14ac:dyDescent="0.25">
      <c r="A125" s="644" t="s">
        <v>1304</v>
      </c>
      <c r="B125" s="644" t="s">
        <v>215</v>
      </c>
      <c r="C125" s="651" t="s">
        <v>1247</v>
      </c>
      <c r="D125" s="645">
        <v>24008</v>
      </c>
      <c r="E125" s="647">
        <v>45422</v>
      </c>
      <c r="F125" s="646" t="s">
        <v>1335</v>
      </c>
      <c r="G125" s="646" t="s">
        <v>171</v>
      </c>
      <c r="H125" s="648" t="s">
        <v>1342</v>
      </c>
      <c r="I125" s="452" t="s">
        <v>61</v>
      </c>
      <c r="J125" s="452" t="s">
        <v>542</v>
      </c>
      <c r="K125" s="645" t="s">
        <v>43</v>
      </c>
      <c r="L125" s="645" t="s">
        <v>544</v>
      </c>
      <c r="M125" s="645" t="s">
        <v>544</v>
      </c>
      <c r="N125" s="645" t="s">
        <v>13</v>
      </c>
      <c r="O125" s="647"/>
      <c r="P125" s="647"/>
      <c r="Q125" s="647"/>
      <c r="V125" s="647"/>
      <c r="W125" s="647"/>
      <c r="X125" s="647"/>
      <c r="Y125" s="647"/>
      <c r="Z125" s="647"/>
      <c r="AA125" s="647">
        <v>45521</v>
      </c>
      <c r="AB125" s="452">
        <v>4500</v>
      </c>
      <c r="AC125" s="673" t="s">
        <v>1246</v>
      </c>
      <c r="AD125" s="646"/>
    </row>
    <row r="126" spans="1:30" s="452" customFormat="1" hidden="1" x14ac:dyDescent="0.25">
      <c r="A126" s="644" t="s">
        <v>1305</v>
      </c>
      <c r="B126" s="644" t="s">
        <v>215</v>
      </c>
      <c r="C126" s="651" t="s">
        <v>1247</v>
      </c>
      <c r="D126" s="645">
        <v>24008</v>
      </c>
      <c r="E126" s="647">
        <v>45422</v>
      </c>
      <c r="F126" s="646" t="s">
        <v>1336</v>
      </c>
      <c r="G126" s="646" t="s">
        <v>171</v>
      </c>
      <c r="H126" s="648" t="s">
        <v>1341</v>
      </c>
      <c r="I126" s="452" t="s">
        <v>1260</v>
      </c>
      <c r="J126" s="452" t="s">
        <v>542</v>
      </c>
      <c r="K126" s="645" t="s">
        <v>43</v>
      </c>
      <c r="L126" s="645" t="s">
        <v>544</v>
      </c>
      <c r="M126" s="645" t="s">
        <v>544</v>
      </c>
      <c r="N126" s="645" t="s">
        <v>13</v>
      </c>
      <c r="O126" s="647"/>
      <c r="P126" s="647"/>
      <c r="Q126" s="647"/>
      <c r="V126" s="647"/>
      <c r="W126" s="647"/>
      <c r="X126" s="647"/>
      <c r="Y126" s="647"/>
      <c r="Z126" s="647"/>
      <c r="AA126" s="647">
        <v>45497</v>
      </c>
      <c r="AB126" s="452">
        <v>4500</v>
      </c>
      <c r="AC126" s="673" t="s">
        <v>1246</v>
      </c>
      <c r="AD126" s="646" t="s">
        <v>1422</v>
      </c>
    </row>
    <row r="127" spans="1:30" s="452" customFormat="1" hidden="1" x14ac:dyDescent="0.25">
      <c r="A127" s="644" t="s">
        <v>1324</v>
      </c>
      <c r="B127" s="644" t="s">
        <v>215</v>
      </c>
      <c r="C127" s="651" t="s">
        <v>1333</v>
      </c>
      <c r="D127" s="645">
        <v>22039</v>
      </c>
      <c r="E127" s="647">
        <v>45427</v>
      </c>
      <c r="F127" s="646" t="s">
        <v>1138</v>
      </c>
      <c r="G127" s="646" t="s">
        <v>30</v>
      </c>
      <c r="H127" s="648" t="s">
        <v>1347</v>
      </c>
      <c r="I127" s="452" t="s">
        <v>16</v>
      </c>
      <c r="J127" s="452" t="s">
        <v>542</v>
      </c>
      <c r="K127" s="645" t="s">
        <v>43</v>
      </c>
      <c r="L127" s="645" t="s">
        <v>544</v>
      </c>
      <c r="M127" s="645" t="s">
        <v>544</v>
      </c>
      <c r="N127" s="645" t="s">
        <v>13</v>
      </c>
      <c r="O127" s="647"/>
      <c r="P127" s="647"/>
      <c r="Q127" s="647"/>
      <c r="V127" s="647"/>
      <c r="W127" s="647"/>
      <c r="X127" s="647"/>
      <c r="Y127" s="647"/>
      <c r="Z127" s="647"/>
      <c r="AA127" s="647">
        <v>45560</v>
      </c>
      <c r="AB127" s="452">
        <v>4500</v>
      </c>
      <c r="AC127" s="666" t="s">
        <v>1239</v>
      </c>
      <c r="AD127" s="646"/>
    </row>
    <row r="128" spans="1:30" s="452" customFormat="1" hidden="1" x14ac:dyDescent="0.25">
      <c r="A128" s="644" t="s">
        <v>1325</v>
      </c>
      <c r="B128" s="644" t="s">
        <v>215</v>
      </c>
      <c r="C128" s="651" t="s">
        <v>1247</v>
      </c>
      <c r="D128" s="645">
        <v>24008</v>
      </c>
      <c r="E128" s="647">
        <v>45439</v>
      </c>
      <c r="F128" s="646" t="s">
        <v>1421</v>
      </c>
      <c r="G128" s="646" t="s">
        <v>171</v>
      </c>
      <c r="H128" s="648" t="s">
        <v>1355</v>
      </c>
      <c r="I128" s="452" t="s">
        <v>61</v>
      </c>
      <c r="J128" s="452" t="s">
        <v>542</v>
      </c>
      <c r="K128" s="645" t="s">
        <v>62</v>
      </c>
      <c r="L128" s="645" t="s">
        <v>544</v>
      </c>
      <c r="M128" s="645" t="s">
        <v>544</v>
      </c>
      <c r="N128" s="645" t="s">
        <v>13</v>
      </c>
      <c r="O128" s="647"/>
      <c r="P128" s="647"/>
      <c r="Q128" s="647"/>
      <c r="V128" s="647"/>
      <c r="W128" s="647"/>
      <c r="X128" s="647"/>
      <c r="Y128" s="647"/>
      <c r="Z128" s="647"/>
      <c r="AA128" s="647">
        <v>45537</v>
      </c>
      <c r="AB128" s="452">
        <v>4500</v>
      </c>
      <c r="AC128" s="673" t="s">
        <v>1246</v>
      </c>
      <c r="AD128" s="646"/>
    </row>
    <row r="129" spans="1:30" s="452" customFormat="1" hidden="1" x14ac:dyDescent="0.2">
      <c r="A129" s="644" t="s">
        <v>1326</v>
      </c>
      <c r="B129" s="644" t="s">
        <v>215</v>
      </c>
      <c r="C129" s="651" t="s">
        <v>1152</v>
      </c>
      <c r="D129" s="645">
        <v>24002</v>
      </c>
      <c r="E129" s="647">
        <v>45439</v>
      </c>
      <c r="F129" s="646" t="s">
        <v>1614</v>
      </c>
      <c r="G129" s="646" t="s">
        <v>1240</v>
      </c>
      <c r="H129" s="648" t="s">
        <v>1354</v>
      </c>
      <c r="I129" s="452" t="s">
        <v>7</v>
      </c>
      <c r="J129" s="452" t="s">
        <v>542</v>
      </c>
      <c r="K129" s="645" t="s">
        <v>29</v>
      </c>
      <c r="L129" s="645" t="s">
        <v>544</v>
      </c>
      <c r="M129" s="645" t="s">
        <v>544</v>
      </c>
      <c r="N129" s="645" t="s">
        <v>13</v>
      </c>
      <c r="O129" s="647"/>
      <c r="P129" s="647"/>
      <c r="Q129" s="647"/>
      <c r="V129" s="647"/>
      <c r="W129" s="647"/>
      <c r="X129" s="647"/>
      <c r="Y129" s="647"/>
      <c r="Z129" s="647"/>
      <c r="AA129" s="647">
        <v>45615</v>
      </c>
      <c r="AB129" s="452">
        <v>5000</v>
      </c>
      <c r="AC129" s="671" t="s">
        <v>1155</v>
      </c>
      <c r="AD129" s="646" t="s">
        <v>1597</v>
      </c>
    </row>
    <row r="130" spans="1:30" s="452" customFormat="1" hidden="1" x14ac:dyDescent="0.2">
      <c r="A130" s="644" t="s">
        <v>1327</v>
      </c>
      <c r="B130" s="644" t="s">
        <v>215</v>
      </c>
      <c r="C130" s="651" t="s">
        <v>1152</v>
      </c>
      <c r="D130" s="645">
        <v>24002</v>
      </c>
      <c r="E130" s="647">
        <v>45444</v>
      </c>
      <c r="F130" s="646" t="s">
        <v>1358</v>
      </c>
      <c r="G130" s="646" t="s">
        <v>1240</v>
      </c>
      <c r="H130" s="648" t="s">
        <v>1359</v>
      </c>
      <c r="I130" s="452" t="s">
        <v>1194</v>
      </c>
      <c r="J130" s="452" t="s">
        <v>542</v>
      </c>
      <c r="K130" s="645" t="s">
        <v>29</v>
      </c>
      <c r="L130" s="645" t="s">
        <v>544</v>
      </c>
      <c r="M130" s="645" t="s">
        <v>544</v>
      </c>
      <c r="N130" s="645" t="s">
        <v>13</v>
      </c>
      <c r="O130" s="647"/>
      <c r="P130" s="647"/>
      <c r="Q130" s="647"/>
      <c r="V130" s="647"/>
      <c r="W130" s="647"/>
      <c r="X130" s="647"/>
      <c r="Y130" s="647"/>
      <c r="Z130" s="647"/>
      <c r="AA130" s="647">
        <v>45604</v>
      </c>
      <c r="AB130" s="452">
        <v>5000</v>
      </c>
      <c r="AC130" s="671" t="s">
        <v>1155</v>
      </c>
      <c r="AD130" s="646"/>
    </row>
    <row r="131" spans="1:30" s="452" customFormat="1" ht="15" hidden="1" x14ac:dyDescent="0.25">
      <c r="A131" s="644">
        <v>293</v>
      </c>
      <c r="B131" s="644" t="s">
        <v>215</v>
      </c>
      <c r="C131" s="651" t="s">
        <v>1426</v>
      </c>
      <c r="D131" s="645">
        <v>24019</v>
      </c>
      <c r="E131" s="647">
        <v>45731</v>
      </c>
      <c r="F131" s="646" t="s">
        <v>1595</v>
      </c>
      <c r="G131" s="450" t="s">
        <v>166</v>
      </c>
      <c r="H131" s="9" t="s">
        <v>1679</v>
      </c>
      <c r="I131" s="452" t="s">
        <v>16</v>
      </c>
      <c r="J131" s="452" t="s">
        <v>542</v>
      </c>
      <c r="K131" s="452" t="s">
        <v>43</v>
      </c>
      <c r="L131" s="450" t="s">
        <v>544</v>
      </c>
      <c r="M131" s="450" t="s">
        <v>544</v>
      </c>
      <c r="N131" s="645" t="s">
        <v>13</v>
      </c>
      <c r="O131" s="647">
        <v>45731</v>
      </c>
      <c r="P131" s="9" t="s">
        <v>1680</v>
      </c>
      <c r="Q131" s="647">
        <v>45732</v>
      </c>
      <c r="R131" s="452" t="s">
        <v>1678</v>
      </c>
      <c r="V131" s="647"/>
      <c r="W131" s="647"/>
      <c r="X131" s="647"/>
      <c r="Y131" s="647"/>
      <c r="Z131" s="647"/>
      <c r="AA131" s="647">
        <v>45931</v>
      </c>
      <c r="AB131" s="452">
        <v>4500</v>
      </c>
      <c r="AC131" s="653" t="s">
        <v>1673</v>
      </c>
      <c r="AD131" s="646"/>
    </row>
    <row r="132" spans="1:30" s="452" customFormat="1" ht="24.75" hidden="1" customHeight="1" x14ac:dyDescent="0.25">
      <c r="A132" s="644" t="s">
        <v>1365</v>
      </c>
      <c r="B132" s="644" t="s">
        <v>215</v>
      </c>
      <c r="C132" s="651" t="s">
        <v>1426</v>
      </c>
      <c r="D132" s="645">
        <v>24019</v>
      </c>
      <c r="E132" s="647">
        <v>45615</v>
      </c>
      <c r="F132" s="646" t="s">
        <v>300</v>
      </c>
      <c r="G132" s="646" t="s">
        <v>167</v>
      </c>
      <c r="H132" s="648" t="s">
        <v>1596</v>
      </c>
      <c r="I132" s="452" t="s">
        <v>5</v>
      </c>
      <c r="J132" s="452" t="s">
        <v>542</v>
      </c>
      <c r="K132" s="645" t="s">
        <v>32</v>
      </c>
      <c r="L132" s="645" t="s">
        <v>544</v>
      </c>
      <c r="M132" s="645"/>
      <c r="N132" s="645" t="s">
        <v>13</v>
      </c>
      <c r="O132" s="647">
        <v>45647</v>
      </c>
      <c r="P132" s="647" t="s">
        <v>1615</v>
      </c>
      <c r="Q132" s="647"/>
      <c r="V132" s="647"/>
      <c r="W132" s="647"/>
      <c r="X132" s="647"/>
      <c r="Y132" s="647"/>
      <c r="Z132" s="647"/>
      <c r="AA132" s="647">
        <v>45696</v>
      </c>
      <c r="AB132" s="452">
        <v>4500</v>
      </c>
      <c r="AC132" s="653" t="s">
        <v>1385</v>
      </c>
      <c r="AD132" s="646" t="s">
        <v>1598</v>
      </c>
    </row>
    <row r="133" spans="1:30" s="452" customFormat="1" ht="12.75" customHeight="1" x14ac:dyDescent="0.2">
      <c r="A133" s="644">
        <v>47</v>
      </c>
      <c r="B133" s="645" t="s">
        <v>34</v>
      </c>
      <c r="C133" s="646" t="s">
        <v>355</v>
      </c>
      <c r="D133" s="645">
        <v>22039</v>
      </c>
      <c r="E133" s="647">
        <v>44963</v>
      </c>
      <c r="F133" s="646" t="s">
        <v>90</v>
      </c>
      <c r="G133" s="646" t="s">
        <v>1333</v>
      </c>
      <c r="H133" s="648" t="s">
        <v>444</v>
      </c>
      <c r="I133" s="452" t="s">
        <v>53</v>
      </c>
      <c r="J133" s="452" t="s">
        <v>542</v>
      </c>
      <c r="K133" s="645" t="s">
        <v>32</v>
      </c>
      <c r="L133" s="645" t="s">
        <v>542</v>
      </c>
      <c r="M133" s="652">
        <v>46121</v>
      </c>
      <c r="N133" s="645" t="s">
        <v>1334</v>
      </c>
      <c r="O133" s="647"/>
      <c r="P133" s="647"/>
      <c r="Q133" s="647"/>
      <c r="V133" s="647"/>
      <c r="W133" s="647"/>
      <c r="X133" s="647"/>
      <c r="Y133" s="647"/>
      <c r="Z133" s="647"/>
      <c r="AA133" s="647"/>
      <c r="AB133" s="452" t="s">
        <v>373</v>
      </c>
      <c r="AC133" s="452" t="s">
        <v>6</v>
      </c>
      <c r="AD133" s="646"/>
    </row>
    <row r="134" spans="1:30" s="452" customFormat="1" hidden="1" x14ac:dyDescent="0.2">
      <c r="A134" s="644" t="s">
        <v>1393</v>
      </c>
      <c r="B134" s="644" t="s">
        <v>215</v>
      </c>
      <c r="C134" s="651" t="s">
        <v>1152</v>
      </c>
      <c r="D134" s="645">
        <v>24002</v>
      </c>
      <c r="E134" s="647">
        <v>45471</v>
      </c>
      <c r="F134" s="646" t="s">
        <v>1395</v>
      </c>
      <c r="G134" s="646" t="s">
        <v>1240</v>
      </c>
      <c r="H134" s="648" t="s">
        <v>1396</v>
      </c>
      <c r="I134" s="452" t="s">
        <v>285</v>
      </c>
      <c r="J134" s="452" t="s">
        <v>542</v>
      </c>
      <c r="K134" s="645" t="s">
        <v>43</v>
      </c>
      <c r="L134" s="645" t="s">
        <v>544</v>
      </c>
      <c r="M134" s="645" t="s">
        <v>544</v>
      </c>
      <c r="N134" s="645" t="s">
        <v>13</v>
      </c>
      <c r="O134" s="647">
        <v>45478</v>
      </c>
      <c r="P134" s="647" t="s">
        <v>1399</v>
      </c>
      <c r="Q134" s="647"/>
      <c r="V134" s="647"/>
      <c r="W134" s="647"/>
      <c r="X134" s="647"/>
      <c r="Y134" s="647"/>
      <c r="Z134" s="647"/>
      <c r="AA134" s="647">
        <v>45615</v>
      </c>
      <c r="AB134" s="452">
        <v>5000</v>
      </c>
      <c r="AC134" s="671" t="s">
        <v>1155</v>
      </c>
      <c r="AD134" s="646"/>
    </row>
    <row r="135" spans="1:30" s="452" customFormat="1" hidden="1" x14ac:dyDescent="0.2">
      <c r="A135" s="644" t="s">
        <v>1394</v>
      </c>
      <c r="B135" s="644" t="s">
        <v>215</v>
      </c>
      <c r="C135" s="651" t="s">
        <v>1152</v>
      </c>
      <c r="D135" s="645">
        <v>24002</v>
      </c>
      <c r="E135" s="647">
        <v>45478</v>
      </c>
      <c r="F135" s="646" t="s">
        <v>1398</v>
      </c>
      <c r="G135" s="646" t="s">
        <v>1240</v>
      </c>
      <c r="H135" s="648" t="s">
        <v>1400</v>
      </c>
      <c r="I135" s="452" t="s">
        <v>51</v>
      </c>
      <c r="J135" s="452" t="s">
        <v>542</v>
      </c>
      <c r="K135" s="645" t="s">
        <v>29</v>
      </c>
      <c r="L135" s="645" t="s">
        <v>544</v>
      </c>
      <c r="M135" s="645" t="s">
        <v>544</v>
      </c>
      <c r="N135" s="645" t="s">
        <v>13</v>
      </c>
      <c r="O135" s="647">
        <v>45561</v>
      </c>
      <c r="P135" s="647" t="s">
        <v>1540</v>
      </c>
      <c r="Q135" s="647"/>
      <c r="V135" s="647"/>
      <c r="W135" s="647"/>
      <c r="X135" s="647"/>
      <c r="Y135" s="647"/>
      <c r="Z135" s="647"/>
      <c r="AA135" s="647">
        <v>45687</v>
      </c>
      <c r="AB135" s="452">
        <v>5000</v>
      </c>
      <c r="AC135" s="671" t="s">
        <v>1155</v>
      </c>
      <c r="AD135" s="646"/>
    </row>
    <row r="136" spans="1:30" s="452" customFormat="1" hidden="1" x14ac:dyDescent="0.25">
      <c r="A136" s="644" t="s">
        <v>1401</v>
      </c>
      <c r="B136" s="644" t="s">
        <v>215</v>
      </c>
      <c r="C136" s="651" t="s">
        <v>1323</v>
      </c>
      <c r="D136" s="645">
        <v>23026</v>
      </c>
      <c r="E136" s="647">
        <v>45482</v>
      </c>
      <c r="F136" s="646" t="s">
        <v>1402</v>
      </c>
      <c r="G136" s="646" t="s">
        <v>1403</v>
      </c>
      <c r="H136" s="648" t="s">
        <v>1404</v>
      </c>
      <c r="I136" s="452" t="s">
        <v>61</v>
      </c>
      <c r="J136" s="452" t="s">
        <v>542</v>
      </c>
      <c r="K136" s="645" t="s">
        <v>43</v>
      </c>
      <c r="L136" s="645" t="s">
        <v>544</v>
      </c>
      <c r="M136" s="645" t="s">
        <v>544</v>
      </c>
      <c r="N136" s="645" t="s">
        <v>13</v>
      </c>
      <c r="O136" s="647"/>
      <c r="P136" s="647"/>
      <c r="Q136" s="647"/>
      <c r="V136" s="647"/>
      <c r="W136" s="647"/>
      <c r="X136" s="647"/>
      <c r="Y136" s="647"/>
      <c r="Z136" s="647"/>
      <c r="AA136" s="647">
        <v>45506</v>
      </c>
      <c r="AB136" s="452">
        <v>4500</v>
      </c>
      <c r="AC136" s="668" t="s">
        <v>264</v>
      </c>
      <c r="AD136" s="646"/>
    </row>
    <row r="137" spans="1:30" s="452" customFormat="1" hidden="1" x14ac:dyDescent="0.25">
      <c r="A137" s="644" t="s">
        <v>1431</v>
      </c>
      <c r="B137" s="644" t="s">
        <v>215</v>
      </c>
      <c r="C137" s="651" t="s">
        <v>1429</v>
      </c>
      <c r="D137" s="645">
        <v>24019</v>
      </c>
      <c r="E137" s="647">
        <v>45506</v>
      </c>
      <c r="F137" s="646" t="s">
        <v>1432</v>
      </c>
      <c r="G137" s="646" t="s">
        <v>276</v>
      </c>
      <c r="H137" s="648" t="s">
        <v>1433</v>
      </c>
      <c r="I137" s="452" t="s">
        <v>194</v>
      </c>
      <c r="J137" s="452" t="s">
        <v>542</v>
      </c>
      <c r="K137" s="645" t="s">
        <v>43</v>
      </c>
      <c r="L137" s="645" t="s">
        <v>544</v>
      </c>
      <c r="M137" s="645" t="s">
        <v>544</v>
      </c>
      <c r="N137" s="645" t="s">
        <v>13</v>
      </c>
      <c r="O137" s="647">
        <v>45773</v>
      </c>
      <c r="P137" s="647" t="s">
        <v>1700</v>
      </c>
      <c r="Q137" s="647"/>
      <c r="V137" s="647"/>
      <c r="W137" s="647"/>
      <c r="X137" s="647"/>
      <c r="Y137" s="647"/>
      <c r="Z137" s="647"/>
      <c r="AA137" s="647">
        <v>45908</v>
      </c>
      <c r="AB137" s="452">
        <v>5000</v>
      </c>
      <c r="AC137" s="653" t="s">
        <v>1385</v>
      </c>
      <c r="AD137" s="646"/>
    </row>
    <row r="138" spans="1:30" s="452" customFormat="1" hidden="1" x14ac:dyDescent="0.25">
      <c r="A138" s="644" t="s">
        <v>1434</v>
      </c>
      <c r="B138" s="644" t="s">
        <v>215</v>
      </c>
      <c r="C138" s="651" t="s">
        <v>1247</v>
      </c>
      <c r="D138" s="645">
        <v>24008</v>
      </c>
      <c r="E138" s="647">
        <v>45509</v>
      </c>
      <c r="F138" s="646" t="s">
        <v>1402</v>
      </c>
      <c r="G138" s="646" t="s">
        <v>171</v>
      </c>
      <c r="H138" s="648" t="s">
        <v>1435</v>
      </c>
      <c r="I138" s="452" t="s">
        <v>61</v>
      </c>
      <c r="J138" s="452" t="s">
        <v>542</v>
      </c>
      <c r="K138" s="645" t="s">
        <v>43</v>
      </c>
      <c r="L138" s="645" t="s">
        <v>544</v>
      </c>
      <c r="M138" s="645" t="s">
        <v>544</v>
      </c>
      <c r="N138" s="645" t="s">
        <v>13</v>
      </c>
      <c r="O138" s="647"/>
      <c r="P138" s="647"/>
      <c r="Q138" s="647"/>
      <c r="V138" s="647"/>
      <c r="W138" s="647"/>
      <c r="X138" s="647"/>
      <c r="Y138" s="647"/>
      <c r="Z138" s="647"/>
      <c r="AA138" s="647">
        <v>45539</v>
      </c>
      <c r="AB138" s="452">
        <v>4500</v>
      </c>
      <c r="AC138" s="673" t="s">
        <v>1246</v>
      </c>
      <c r="AD138" s="646"/>
    </row>
    <row r="139" spans="1:30" s="452" customFormat="1" hidden="1" x14ac:dyDescent="0.25">
      <c r="A139" s="644" t="s">
        <v>1437</v>
      </c>
      <c r="B139" s="644" t="s">
        <v>215</v>
      </c>
      <c r="C139" s="651" t="s">
        <v>1429</v>
      </c>
      <c r="D139" s="645">
        <v>24019</v>
      </c>
      <c r="E139" s="647">
        <v>45516</v>
      </c>
      <c r="F139" s="646" t="s">
        <v>1611</v>
      </c>
      <c r="G139" s="646" t="s">
        <v>1440</v>
      </c>
      <c r="H139" s="648" t="s">
        <v>1442</v>
      </c>
      <c r="I139" s="452" t="s">
        <v>16</v>
      </c>
      <c r="J139" s="452" t="s">
        <v>542</v>
      </c>
      <c r="K139" s="645" t="s">
        <v>43</v>
      </c>
      <c r="L139" s="645" t="s">
        <v>544</v>
      </c>
      <c r="M139" s="645" t="s">
        <v>544</v>
      </c>
      <c r="N139" s="645" t="s">
        <v>1441</v>
      </c>
      <c r="O139" s="647">
        <v>45591</v>
      </c>
      <c r="P139" s="647" t="s">
        <v>1566</v>
      </c>
      <c r="Q139" s="647"/>
      <c r="V139" s="647"/>
      <c r="W139" s="647"/>
      <c r="X139" s="647"/>
      <c r="Y139" s="647"/>
      <c r="Z139" s="647"/>
      <c r="AA139" s="647">
        <v>45640</v>
      </c>
      <c r="AB139" s="452">
        <v>5000</v>
      </c>
      <c r="AC139" s="654" t="s">
        <v>1140</v>
      </c>
      <c r="AD139" s="646"/>
    </row>
    <row r="140" spans="1:30" s="452" customFormat="1" hidden="1" x14ac:dyDescent="0.25">
      <c r="A140" s="644" t="s">
        <v>1438</v>
      </c>
      <c r="B140" s="644" t="s">
        <v>215</v>
      </c>
      <c r="C140" s="651" t="s">
        <v>1429</v>
      </c>
      <c r="D140" s="645">
        <v>24019</v>
      </c>
      <c r="E140" s="647">
        <v>45516</v>
      </c>
      <c r="F140" s="646" t="s">
        <v>1439</v>
      </c>
      <c r="G140" s="646" t="s">
        <v>166</v>
      </c>
      <c r="H140" s="648" t="s">
        <v>1443</v>
      </c>
      <c r="I140" s="452" t="s">
        <v>16</v>
      </c>
      <c r="J140" s="452" t="s">
        <v>542</v>
      </c>
      <c r="K140" s="645" t="s">
        <v>43</v>
      </c>
      <c r="L140" s="645" t="s">
        <v>544</v>
      </c>
      <c r="M140" s="645" t="s">
        <v>544</v>
      </c>
      <c r="N140" s="645" t="s">
        <v>1441</v>
      </c>
      <c r="O140" s="647"/>
      <c r="P140" s="647"/>
      <c r="Q140" s="647"/>
      <c r="V140" s="647"/>
      <c r="W140" s="647"/>
      <c r="X140" s="647"/>
      <c r="Y140" s="647"/>
      <c r="Z140" s="647"/>
      <c r="AA140" s="647">
        <v>45569</v>
      </c>
      <c r="AB140" s="452">
        <v>5000</v>
      </c>
      <c r="AC140" s="654" t="s">
        <v>1140</v>
      </c>
      <c r="AD140" s="646"/>
    </row>
    <row r="141" spans="1:30" s="452" customFormat="1" hidden="1" x14ac:dyDescent="0.25">
      <c r="A141" s="644" t="s">
        <v>1446</v>
      </c>
      <c r="B141" s="644" t="s">
        <v>215</v>
      </c>
      <c r="C141" s="651" t="s">
        <v>1426</v>
      </c>
      <c r="D141" s="645">
        <v>24019</v>
      </c>
      <c r="E141" s="647">
        <v>45523</v>
      </c>
      <c r="F141" s="646" t="s">
        <v>1447</v>
      </c>
      <c r="G141" s="646" t="s">
        <v>276</v>
      </c>
      <c r="H141" s="648" t="s">
        <v>1449</v>
      </c>
      <c r="I141" s="452" t="s">
        <v>16</v>
      </c>
      <c r="J141" s="452" t="s">
        <v>542</v>
      </c>
      <c r="K141" s="645" t="s">
        <v>43</v>
      </c>
      <c r="L141" s="645" t="s">
        <v>544</v>
      </c>
      <c r="M141" s="645" t="s">
        <v>544</v>
      </c>
      <c r="N141" s="645" t="s">
        <v>13</v>
      </c>
      <c r="O141" s="647"/>
      <c r="P141" s="647"/>
      <c r="Q141" s="647"/>
      <c r="V141" s="647"/>
      <c r="W141" s="647"/>
      <c r="X141" s="647"/>
      <c r="Y141" s="647"/>
      <c r="Z141" s="647"/>
      <c r="AA141" s="647">
        <v>45601</v>
      </c>
      <c r="AB141" s="452">
        <v>5000</v>
      </c>
      <c r="AC141" s="653" t="s">
        <v>1385</v>
      </c>
      <c r="AD141" s="646"/>
    </row>
    <row r="142" spans="1:30" s="452" customFormat="1" hidden="1" x14ac:dyDescent="0.2">
      <c r="A142" s="644" t="s">
        <v>1455</v>
      </c>
      <c r="B142" s="644" t="s">
        <v>215</v>
      </c>
      <c r="C142" s="651" t="s">
        <v>1152</v>
      </c>
      <c r="D142" s="645">
        <v>24002</v>
      </c>
      <c r="E142" s="647">
        <v>45525</v>
      </c>
      <c r="F142" s="646" t="s">
        <v>1456</v>
      </c>
      <c r="G142" s="646" t="s">
        <v>1240</v>
      </c>
      <c r="H142" s="648" t="s">
        <v>1458</v>
      </c>
      <c r="I142" s="452" t="s">
        <v>7</v>
      </c>
      <c r="J142" s="452" t="s">
        <v>542</v>
      </c>
      <c r="K142" s="645" t="s">
        <v>29</v>
      </c>
      <c r="L142" s="645" t="s">
        <v>544</v>
      </c>
      <c r="M142" s="645" t="s">
        <v>544</v>
      </c>
      <c r="N142" s="645" t="s">
        <v>13</v>
      </c>
      <c r="O142" s="647"/>
      <c r="P142" s="647"/>
      <c r="Q142" s="647"/>
      <c r="V142" s="647"/>
      <c r="W142" s="647"/>
      <c r="X142" s="647"/>
      <c r="Y142" s="647"/>
      <c r="Z142" s="647"/>
      <c r="AA142" s="647">
        <v>45635</v>
      </c>
      <c r="AB142" s="452">
        <v>5000</v>
      </c>
      <c r="AC142" s="671" t="s">
        <v>1155</v>
      </c>
      <c r="AD142" s="646"/>
    </row>
    <row r="143" spans="1:30" s="452" customFormat="1" hidden="1" x14ac:dyDescent="0.25">
      <c r="A143" s="644" t="s">
        <v>1460</v>
      </c>
      <c r="B143" s="644" t="s">
        <v>215</v>
      </c>
      <c r="C143" s="651" t="s">
        <v>1247</v>
      </c>
      <c r="D143" s="645">
        <v>24008</v>
      </c>
      <c r="E143" s="647">
        <v>45529</v>
      </c>
      <c r="F143" s="646" t="s">
        <v>306</v>
      </c>
      <c r="G143" s="646" t="s">
        <v>171</v>
      </c>
      <c r="H143" s="648" t="s">
        <v>1461</v>
      </c>
      <c r="I143" s="452" t="s">
        <v>7</v>
      </c>
      <c r="J143" s="452" t="s">
        <v>542</v>
      </c>
      <c r="K143" s="645" t="s">
        <v>29</v>
      </c>
      <c r="L143" s="645" t="s">
        <v>544</v>
      </c>
      <c r="M143" s="645" t="s">
        <v>544</v>
      </c>
      <c r="N143" s="645" t="s">
        <v>13</v>
      </c>
      <c r="O143" s="647"/>
      <c r="P143" s="647"/>
      <c r="Q143" s="647"/>
      <c r="V143" s="647"/>
      <c r="W143" s="647"/>
      <c r="X143" s="647"/>
      <c r="Y143" s="647"/>
      <c r="Z143" s="647"/>
      <c r="AA143" s="647">
        <v>45560</v>
      </c>
      <c r="AB143" s="452">
        <v>3000</v>
      </c>
      <c r="AC143" s="673" t="s">
        <v>1246</v>
      </c>
      <c r="AD143" s="646"/>
    </row>
    <row r="144" spans="1:30" s="452" customFormat="1" hidden="1" x14ac:dyDescent="0.25">
      <c r="A144" s="644" t="s">
        <v>1471</v>
      </c>
      <c r="B144" s="644" t="s">
        <v>807</v>
      </c>
      <c r="C144" s="651" t="s">
        <v>1247</v>
      </c>
      <c r="D144" s="645">
        <v>24008</v>
      </c>
      <c r="E144" s="647">
        <v>45537</v>
      </c>
      <c r="F144" s="646" t="s">
        <v>1340</v>
      </c>
      <c r="G144" s="646" t="s">
        <v>1472</v>
      </c>
      <c r="H144" s="648" t="s">
        <v>1473</v>
      </c>
      <c r="I144" s="452" t="s">
        <v>1194</v>
      </c>
      <c r="J144" s="452" t="s">
        <v>542</v>
      </c>
      <c r="K144" s="645" t="s">
        <v>29</v>
      </c>
      <c r="L144" s="645" t="s">
        <v>544</v>
      </c>
      <c r="M144" s="645" t="s">
        <v>544</v>
      </c>
      <c r="N144" s="645" t="s">
        <v>13</v>
      </c>
      <c r="O144" s="647"/>
      <c r="P144" s="647"/>
      <c r="Q144" s="647"/>
      <c r="V144" s="647"/>
      <c r="W144" s="647"/>
      <c r="X144" s="647"/>
      <c r="Y144" s="647"/>
      <c r="Z144" s="647"/>
      <c r="AA144" s="647">
        <v>45567</v>
      </c>
      <c r="AB144" s="452">
        <v>3000</v>
      </c>
      <c r="AC144" s="673" t="s">
        <v>1246</v>
      </c>
      <c r="AD144" s="646"/>
    </row>
    <row r="145" spans="1:30" s="452" customFormat="1" hidden="1" x14ac:dyDescent="0.25">
      <c r="A145" s="644" t="s">
        <v>1476</v>
      </c>
      <c r="B145" s="644" t="s">
        <v>215</v>
      </c>
      <c r="C145" s="651" t="s">
        <v>1247</v>
      </c>
      <c r="D145" s="645">
        <v>24008</v>
      </c>
      <c r="E145" s="647">
        <v>45539</v>
      </c>
      <c r="F145" s="646" t="s">
        <v>1291</v>
      </c>
      <c r="G145" s="646" t="s">
        <v>171</v>
      </c>
      <c r="H145" s="648" t="s">
        <v>1477</v>
      </c>
      <c r="I145" s="452" t="s">
        <v>1194</v>
      </c>
      <c r="J145" s="452" t="s">
        <v>542</v>
      </c>
      <c r="K145" s="645" t="s">
        <v>29</v>
      </c>
      <c r="L145" s="645" t="s">
        <v>544</v>
      </c>
      <c r="M145" s="645" t="s">
        <v>544</v>
      </c>
      <c r="N145" s="645" t="s">
        <v>13</v>
      </c>
      <c r="O145" s="647"/>
      <c r="P145" s="647"/>
      <c r="Q145" s="647"/>
      <c r="V145" s="647"/>
      <c r="W145" s="647"/>
      <c r="X145" s="647"/>
      <c r="Y145" s="647"/>
      <c r="Z145" s="647"/>
      <c r="AA145" s="647">
        <v>45569</v>
      </c>
      <c r="AB145" s="452">
        <v>4500</v>
      </c>
      <c r="AC145" s="673" t="s">
        <v>1246</v>
      </c>
      <c r="AD145" s="646"/>
    </row>
    <row r="146" spans="1:30" s="452" customFormat="1" ht="25.5" hidden="1" x14ac:dyDescent="0.25">
      <c r="A146" s="644" t="s">
        <v>1481</v>
      </c>
      <c r="B146" s="644" t="s">
        <v>215</v>
      </c>
      <c r="C146" s="651" t="s">
        <v>1429</v>
      </c>
      <c r="D146" s="645">
        <v>24019</v>
      </c>
      <c r="E146" s="647">
        <v>45543</v>
      </c>
      <c r="F146" s="646" t="s">
        <v>1478</v>
      </c>
      <c r="G146" s="646" t="s">
        <v>1440</v>
      </c>
      <c r="H146" s="648" t="s">
        <v>1482</v>
      </c>
      <c r="I146" s="452" t="s">
        <v>16</v>
      </c>
      <c r="J146" s="452" t="s">
        <v>542</v>
      </c>
      <c r="K146" s="645" t="s">
        <v>43</v>
      </c>
      <c r="L146" s="645" t="s">
        <v>544</v>
      </c>
      <c r="M146" s="645" t="s">
        <v>544</v>
      </c>
      <c r="N146" s="645" t="s">
        <v>1441</v>
      </c>
      <c r="O146" s="647"/>
      <c r="P146" s="647"/>
      <c r="Q146" s="647"/>
      <c r="V146" s="647"/>
      <c r="W146" s="647"/>
      <c r="X146" s="647"/>
      <c r="Y146" s="647"/>
      <c r="Z146" s="647"/>
      <c r="AA146" s="647">
        <v>45675</v>
      </c>
      <c r="AB146" s="452">
        <v>5000</v>
      </c>
      <c r="AC146" s="654" t="s">
        <v>1140</v>
      </c>
      <c r="AD146" s="646" t="s">
        <v>1631</v>
      </c>
    </row>
    <row r="147" spans="1:30" s="452" customFormat="1" hidden="1" x14ac:dyDescent="0.25">
      <c r="A147" s="644" t="s">
        <v>1483</v>
      </c>
      <c r="B147" s="644" t="s">
        <v>215</v>
      </c>
      <c r="C147" s="651" t="s">
        <v>1247</v>
      </c>
      <c r="D147" s="645">
        <v>24008</v>
      </c>
      <c r="E147" s="647">
        <v>45543</v>
      </c>
      <c r="F147" s="646" t="s">
        <v>1485</v>
      </c>
      <c r="G147" s="646" t="s">
        <v>171</v>
      </c>
      <c r="H147" s="648" t="s">
        <v>1484</v>
      </c>
      <c r="I147" s="452" t="s">
        <v>1194</v>
      </c>
      <c r="J147" s="452" t="s">
        <v>1574</v>
      </c>
      <c r="K147" s="645" t="s">
        <v>29</v>
      </c>
      <c r="L147" s="645" t="s">
        <v>544</v>
      </c>
      <c r="M147" s="645" t="s">
        <v>544</v>
      </c>
      <c r="N147" s="645" t="s">
        <v>13</v>
      </c>
      <c r="O147" s="647"/>
      <c r="P147" s="647"/>
      <c r="Q147" s="647"/>
      <c r="V147" s="647"/>
      <c r="W147" s="647"/>
      <c r="X147" s="647"/>
      <c r="Y147" s="647"/>
      <c r="Z147" s="647"/>
      <c r="AA147" s="647">
        <v>45579</v>
      </c>
      <c r="AB147" s="452">
        <v>3000</v>
      </c>
      <c r="AC147" s="673" t="s">
        <v>1246</v>
      </c>
      <c r="AD147" s="646"/>
    </row>
    <row r="148" spans="1:30" s="452" customFormat="1" hidden="1" x14ac:dyDescent="0.25">
      <c r="A148" s="644" t="s">
        <v>1486</v>
      </c>
      <c r="B148" s="644" t="s">
        <v>215</v>
      </c>
      <c r="C148" s="651" t="s">
        <v>1426</v>
      </c>
      <c r="D148" s="645">
        <v>24019</v>
      </c>
      <c r="E148" s="647">
        <v>45545</v>
      </c>
      <c r="F148" s="646" t="s">
        <v>1487</v>
      </c>
      <c r="G148" s="646" t="s">
        <v>276</v>
      </c>
      <c r="H148" s="648" t="s">
        <v>1488</v>
      </c>
      <c r="I148" s="452" t="s">
        <v>16</v>
      </c>
      <c r="J148" s="452" t="s">
        <v>542</v>
      </c>
      <c r="K148" s="645" t="s">
        <v>43</v>
      </c>
      <c r="L148" s="645" t="s">
        <v>544</v>
      </c>
      <c r="M148" s="645" t="s">
        <v>544</v>
      </c>
      <c r="N148" s="645" t="s">
        <v>13</v>
      </c>
      <c r="O148" s="647"/>
      <c r="P148" s="647"/>
      <c r="Q148" s="647"/>
      <c r="V148" s="647"/>
      <c r="W148" s="647"/>
      <c r="X148" s="647"/>
      <c r="Y148" s="647"/>
      <c r="Z148" s="647"/>
      <c r="AA148" s="647">
        <v>45601</v>
      </c>
      <c r="AB148" s="452">
        <v>5000</v>
      </c>
      <c r="AC148" s="653" t="s">
        <v>1385</v>
      </c>
      <c r="AD148" s="646"/>
    </row>
    <row r="149" spans="1:30" s="452" customFormat="1" hidden="1" x14ac:dyDescent="0.25">
      <c r="A149" s="644" t="s">
        <v>1489</v>
      </c>
      <c r="B149" s="644" t="s">
        <v>215</v>
      </c>
      <c r="C149" s="651" t="s">
        <v>856</v>
      </c>
      <c r="D149" s="645">
        <v>23018</v>
      </c>
      <c r="E149" s="647">
        <v>45545</v>
      </c>
      <c r="F149" s="646" t="s">
        <v>1491</v>
      </c>
      <c r="G149" s="646" t="s">
        <v>46</v>
      </c>
      <c r="H149" s="648" t="s">
        <v>1490</v>
      </c>
      <c r="I149" s="452" t="s">
        <v>194</v>
      </c>
      <c r="J149" s="452" t="s">
        <v>542</v>
      </c>
      <c r="K149" s="645" t="s">
        <v>43</v>
      </c>
      <c r="L149" s="645" t="s">
        <v>544</v>
      </c>
      <c r="M149" s="645" t="s">
        <v>544</v>
      </c>
      <c r="N149" s="645" t="s">
        <v>13</v>
      </c>
      <c r="O149" s="647"/>
      <c r="P149" s="647"/>
      <c r="Q149" s="647"/>
      <c r="V149" s="647"/>
      <c r="W149" s="647"/>
      <c r="X149" s="647"/>
      <c r="Y149" s="647"/>
      <c r="Z149" s="647"/>
      <c r="AA149" s="647">
        <v>45579</v>
      </c>
      <c r="AB149" s="452">
        <v>3000</v>
      </c>
      <c r="AC149" s="655" t="s">
        <v>868</v>
      </c>
      <c r="AD149" s="646"/>
    </row>
    <row r="150" spans="1:30" s="452" customFormat="1" hidden="1" x14ac:dyDescent="0.25">
      <c r="A150" s="644" t="s">
        <v>1494</v>
      </c>
      <c r="B150" s="644" t="s">
        <v>215</v>
      </c>
      <c r="C150" s="651" t="s">
        <v>1152</v>
      </c>
      <c r="D150" s="645">
        <v>24002</v>
      </c>
      <c r="E150" s="647">
        <v>45547</v>
      </c>
      <c r="F150" s="646" t="s">
        <v>106</v>
      </c>
      <c r="G150" s="646" t="s">
        <v>1240</v>
      </c>
      <c r="H150" s="648" t="s">
        <v>1495</v>
      </c>
      <c r="I150" s="452" t="s">
        <v>1204</v>
      </c>
      <c r="J150" s="452" t="s">
        <v>542</v>
      </c>
      <c r="K150" s="645" t="s">
        <v>29</v>
      </c>
      <c r="L150" s="645" t="s">
        <v>544</v>
      </c>
      <c r="M150" s="645" t="s">
        <v>544</v>
      </c>
      <c r="N150" s="645" t="s">
        <v>13</v>
      </c>
      <c r="O150" s="647"/>
      <c r="P150" s="647"/>
      <c r="Q150" s="647"/>
      <c r="V150" s="647"/>
      <c r="W150" s="647"/>
      <c r="X150" s="647"/>
      <c r="Y150" s="647"/>
      <c r="Z150" s="647"/>
      <c r="AA150" s="647">
        <v>45615</v>
      </c>
      <c r="AB150" s="452">
        <v>5000</v>
      </c>
      <c r="AC150" s="686" t="s">
        <v>1155</v>
      </c>
      <c r="AD150" s="646"/>
    </row>
    <row r="151" spans="1:30" s="452" customFormat="1" hidden="1" x14ac:dyDescent="0.25">
      <c r="A151" s="644" t="s">
        <v>1505</v>
      </c>
      <c r="B151" s="644" t="s">
        <v>215</v>
      </c>
      <c r="C151" s="651" t="s">
        <v>1247</v>
      </c>
      <c r="D151" s="645">
        <v>24008</v>
      </c>
      <c r="E151" s="647">
        <v>45560</v>
      </c>
      <c r="F151" s="646" t="s">
        <v>306</v>
      </c>
      <c r="G151" s="646" t="s">
        <v>171</v>
      </c>
      <c r="H151" s="648" t="s">
        <v>1506</v>
      </c>
      <c r="I151" s="452" t="s">
        <v>61</v>
      </c>
      <c r="J151" s="452" t="s">
        <v>542</v>
      </c>
      <c r="K151" s="645" t="s">
        <v>43</v>
      </c>
      <c r="L151" s="645" t="s">
        <v>544</v>
      </c>
      <c r="M151" s="645" t="s">
        <v>544</v>
      </c>
      <c r="N151" s="645" t="s">
        <v>13</v>
      </c>
      <c r="O151" s="647"/>
      <c r="P151" s="647"/>
      <c r="Q151" s="647"/>
      <c r="V151" s="647"/>
      <c r="W151" s="647"/>
      <c r="X151" s="647"/>
      <c r="Y151" s="647"/>
      <c r="Z151" s="647"/>
      <c r="AA151" s="647">
        <v>45844</v>
      </c>
      <c r="AB151" s="452">
        <v>3000</v>
      </c>
      <c r="AC151" s="673" t="s">
        <v>1246</v>
      </c>
      <c r="AD151" s="646"/>
    </row>
    <row r="152" spans="1:30" s="452" customFormat="1" hidden="1" x14ac:dyDescent="0.25">
      <c r="A152" s="644" t="s">
        <v>1534</v>
      </c>
      <c r="B152" s="644" t="s">
        <v>215</v>
      </c>
      <c r="C152" s="651" t="s">
        <v>1247</v>
      </c>
      <c r="D152" s="645">
        <v>24008</v>
      </c>
      <c r="E152" s="647">
        <v>45566</v>
      </c>
      <c r="F152" s="646" t="s">
        <v>333</v>
      </c>
      <c r="G152" s="646" t="s">
        <v>171</v>
      </c>
      <c r="H152" s="648" t="s">
        <v>1535</v>
      </c>
      <c r="I152" s="452" t="s">
        <v>61</v>
      </c>
      <c r="J152" s="452" t="s">
        <v>542</v>
      </c>
      <c r="K152" s="645" t="s">
        <v>43</v>
      </c>
      <c r="L152" s="645" t="s">
        <v>544</v>
      </c>
      <c r="M152" s="645" t="s">
        <v>544</v>
      </c>
      <c r="N152" s="645" t="s">
        <v>13</v>
      </c>
      <c r="O152" s="647"/>
      <c r="P152" s="647"/>
      <c r="Q152" s="647"/>
      <c r="V152" s="647"/>
      <c r="W152" s="647"/>
      <c r="X152" s="647"/>
      <c r="Y152" s="647"/>
      <c r="Z152" s="647"/>
      <c r="AA152" s="647">
        <v>45861</v>
      </c>
      <c r="AB152" s="452">
        <v>3000</v>
      </c>
      <c r="AC152" s="673" t="s">
        <v>1246</v>
      </c>
      <c r="AD152" s="646"/>
    </row>
    <row r="153" spans="1:30" s="452" customFormat="1" hidden="1" x14ac:dyDescent="0.25">
      <c r="A153" s="644" t="s">
        <v>1537</v>
      </c>
      <c r="B153" s="644" t="s">
        <v>215</v>
      </c>
      <c r="C153" s="651" t="s">
        <v>1247</v>
      </c>
      <c r="D153" s="645">
        <v>24008</v>
      </c>
      <c r="E153" s="647">
        <v>45567</v>
      </c>
      <c r="F153" s="646" t="s">
        <v>1340</v>
      </c>
      <c r="G153" s="646" t="s">
        <v>171</v>
      </c>
      <c r="H153" s="648" t="s">
        <v>1538</v>
      </c>
      <c r="I153" s="452" t="s">
        <v>16</v>
      </c>
      <c r="J153" s="452" t="s">
        <v>542</v>
      </c>
      <c r="K153" s="645" t="s">
        <v>43</v>
      </c>
      <c r="L153" s="645" t="s">
        <v>544</v>
      </c>
      <c r="M153" s="645" t="s">
        <v>544</v>
      </c>
      <c r="N153" s="645" t="s">
        <v>13</v>
      </c>
      <c r="O153" s="647">
        <v>45689</v>
      </c>
      <c r="P153" s="647" t="s">
        <v>1650</v>
      </c>
      <c r="Q153" s="647"/>
      <c r="V153" s="647"/>
      <c r="W153" s="647"/>
      <c r="X153" s="647"/>
      <c r="Y153" s="647"/>
      <c r="Z153" s="647"/>
      <c r="AA153" s="647">
        <v>45703</v>
      </c>
      <c r="AB153" s="452">
        <v>3000</v>
      </c>
      <c r="AC153" s="673" t="s">
        <v>1246</v>
      </c>
      <c r="AD153" s="646"/>
    </row>
    <row r="154" spans="1:30" s="452" customFormat="1" hidden="1" x14ac:dyDescent="0.25">
      <c r="A154" s="644" t="s">
        <v>1541</v>
      </c>
      <c r="B154" s="644" t="s">
        <v>215</v>
      </c>
      <c r="C154" s="651" t="s">
        <v>1247</v>
      </c>
      <c r="D154" s="645">
        <v>24008</v>
      </c>
      <c r="E154" s="647">
        <v>45569</v>
      </c>
      <c r="F154" s="646" t="s">
        <v>1340</v>
      </c>
      <c r="G154" s="646" t="s">
        <v>171</v>
      </c>
      <c r="H154" s="648" t="s">
        <v>1542</v>
      </c>
      <c r="I154" s="452" t="s">
        <v>16</v>
      </c>
      <c r="J154" s="452" t="s">
        <v>542</v>
      </c>
      <c r="K154" s="645" t="s">
        <v>43</v>
      </c>
      <c r="L154" s="645" t="s">
        <v>544</v>
      </c>
      <c r="M154" s="645" t="s">
        <v>544</v>
      </c>
      <c r="N154" s="645" t="s">
        <v>13</v>
      </c>
      <c r="O154" s="647">
        <v>45617</v>
      </c>
      <c r="P154" s="647" t="s">
        <v>1605</v>
      </c>
      <c r="Q154" s="647"/>
      <c r="V154" s="647"/>
      <c r="W154" s="647"/>
      <c r="X154" s="647"/>
      <c r="Y154" s="647"/>
      <c r="Z154" s="647"/>
      <c r="AA154" s="647">
        <v>45796</v>
      </c>
      <c r="AB154" s="452">
        <v>4500</v>
      </c>
      <c r="AC154" s="673" t="s">
        <v>1246</v>
      </c>
      <c r="AD154" s="646" t="s">
        <v>1653</v>
      </c>
    </row>
    <row r="155" spans="1:30" s="452" customFormat="1" hidden="1" x14ac:dyDescent="0.25">
      <c r="A155" s="644" t="s">
        <v>1548</v>
      </c>
      <c r="B155" s="644" t="s">
        <v>215</v>
      </c>
      <c r="C155" s="651" t="s">
        <v>1429</v>
      </c>
      <c r="D155" s="645">
        <v>24019</v>
      </c>
      <c r="E155" s="647">
        <v>45572</v>
      </c>
      <c r="F155" s="646" t="s">
        <v>1439</v>
      </c>
      <c r="G155" s="646" t="s">
        <v>276</v>
      </c>
      <c r="H155" s="648" t="s">
        <v>1549</v>
      </c>
      <c r="I155" s="452" t="s">
        <v>5</v>
      </c>
      <c r="J155" s="452" t="s">
        <v>542</v>
      </c>
      <c r="K155" s="645" t="s">
        <v>32</v>
      </c>
      <c r="L155" s="645" t="s">
        <v>542</v>
      </c>
      <c r="M155" s="645"/>
      <c r="N155" s="645" t="s">
        <v>13</v>
      </c>
      <c r="O155" s="647">
        <v>45592</v>
      </c>
      <c r="P155" s="647" t="s">
        <v>1568</v>
      </c>
      <c r="Q155" s="647"/>
      <c r="V155" s="647"/>
      <c r="W155" s="647"/>
      <c r="X155" s="647"/>
      <c r="Y155" s="647"/>
      <c r="Z155" s="647"/>
      <c r="AA155" s="647">
        <v>45731</v>
      </c>
      <c r="AB155" s="452">
        <v>4500</v>
      </c>
      <c r="AC155" s="653" t="s">
        <v>1385</v>
      </c>
      <c r="AD155" s="646"/>
    </row>
    <row r="156" spans="1:30" s="452" customFormat="1" ht="12.75" hidden="1" customHeight="1" x14ac:dyDescent="0.2">
      <c r="A156" s="644">
        <v>285</v>
      </c>
      <c r="B156" s="644" t="s">
        <v>215</v>
      </c>
      <c r="C156" s="651" t="s">
        <v>1657</v>
      </c>
      <c r="D156" s="645">
        <v>25001</v>
      </c>
      <c r="E156" s="647">
        <v>45714</v>
      </c>
      <c r="F156" s="646" t="s">
        <v>1289</v>
      </c>
      <c r="G156" s="450" t="s">
        <v>1658</v>
      </c>
      <c r="H156" s="452" t="s">
        <v>1660</v>
      </c>
      <c r="I156" s="452" t="s">
        <v>51</v>
      </c>
      <c r="J156" s="452" t="s">
        <v>542</v>
      </c>
      <c r="K156" s="452" t="s">
        <v>29</v>
      </c>
      <c r="L156" s="450" t="s">
        <v>544</v>
      </c>
      <c r="M156" s="450" t="s">
        <v>544</v>
      </c>
      <c r="N156" s="645" t="s">
        <v>13</v>
      </c>
      <c r="O156" s="647"/>
      <c r="P156" s="647"/>
      <c r="Q156" s="647"/>
      <c r="V156" s="647"/>
      <c r="W156" s="647"/>
      <c r="X156" s="647"/>
      <c r="Y156" s="647"/>
      <c r="Z156" s="647"/>
      <c r="AA156" s="647">
        <v>45955</v>
      </c>
      <c r="AB156" s="452">
        <v>3000</v>
      </c>
      <c r="AC156" s="653" t="s">
        <v>1661</v>
      </c>
      <c r="AD156" s="646"/>
    </row>
    <row r="157" spans="1:30" s="452" customFormat="1" ht="12.75" hidden="1" customHeight="1" x14ac:dyDescent="0.2">
      <c r="A157" s="644">
        <v>288</v>
      </c>
      <c r="B157" s="644" t="s">
        <v>215</v>
      </c>
      <c r="C157" s="651" t="s">
        <v>1562</v>
      </c>
      <c r="D157" s="645">
        <v>24024</v>
      </c>
      <c r="E157" s="647">
        <v>45728</v>
      </c>
      <c r="F157" s="646" t="s">
        <v>501</v>
      </c>
      <c r="G157" s="450" t="s">
        <v>1240</v>
      </c>
      <c r="H157" s="452" t="s">
        <v>1665</v>
      </c>
      <c r="I157" s="452" t="s">
        <v>51</v>
      </c>
      <c r="J157" s="452" t="s">
        <v>542</v>
      </c>
      <c r="K157" s="452" t="s">
        <v>29</v>
      </c>
      <c r="L157" s="450" t="s">
        <v>544</v>
      </c>
      <c r="M157" s="450" t="s">
        <v>544</v>
      </c>
      <c r="N157" s="645" t="s">
        <v>13</v>
      </c>
      <c r="O157" s="647">
        <v>45955</v>
      </c>
      <c r="P157" s="647" t="s">
        <v>1813</v>
      </c>
      <c r="Q157" s="647">
        <v>45962</v>
      </c>
      <c r="R157" s="452" t="s">
        <v>1817</v>
      </c>
      <c r="S157" s="647">
        <v>46122</v>
      </c>
      <c r="T157" s="452" t="s">
        <v>1928</v>
      </c>
      <c r="V157" s="647"/>
      <c r="W157" s="647"/>
      <c r="X157" s="647"/>
      <c r="Y157" s="647"/>
      <c r="Z157" s="647"/>
      <c r="AA157" s="647">
        <v>46179</v>
      </c>
      <c r="AB157" s="452">
        <v>3000</v>
      </c>
      <c r="AC157" s="653" t="s">
        <v>1637</v>
      </c>
      <c r="AD157" s="646"/>
    </row>
    <row r="158" spans="1:30" s="452" customFormat="1" hidden="1" x14ac:dyDescent="0.25">
      <c r="A158" s="644" t="s">
        <v>1556</v>
      </c>
      <c r="B158" s="644" t="s">
        <v>215</v>
      </c>
      <c r="C158" s="651" t="s">
        <v>856</v>
      </c>
      <c r="D158" s="645">
        <v>23018</v>
      </c>
      <c r="E158" s="647">
        <v>45579</v>
      </c>
      <c r="F158" s="646" t="s">
        <v>1557</v>
      </c>
      <c r="G158" s="646" t="s">
        <v>46</v>
      </c>
      <c r="H158" s="648" t="s">
        <v>1558</v>
      </c>
      <c r="I158" s="452" t="s">
        <v>1559</v>
      </c>
      <c r="J158" s="452" t="s">
        <v>542</v>
      </c>
      <c r="K158" s="645" t="s">
        <v>29</v>
      </c>
      <c r="L158" s="645" t="s">
        <v>544</v>
      </c>
      <c r="M158" s="645" t="s">
        <v>544</v>
      </c>
      <c r="N158" s="645" t="s">
        <v>13</v>
      </c>
      <c r="O158" s="647"/>
      <c r="P158" s="647"/>
      <c r="Q158" s="647"/>
      <c r="V158" s="647"/>
      <c r="W158" s="647"/>
      <c r="X158" s="647"/>
      <c r="Y158" s="647"/>
      <c r="Z158" s="647"/>
      <c r="AA158" s="647">
        <v>45645</v>
      </c>
      <c r="AB158" s="452">
        <v>3000</v>
      </c>
      <c r="AC158" s="655" t="s">
        <v>868</v>
      </c>
      <c r="AD158" s="646"/>
    </row>
    <row r="159" spans="1:30" s="452" customFormat="1" hidden="1" x14ac:dyDescent="0.25">
      <c r="A159" s="644" t="s">
        <v>1560</v>
      </c>
      <c r="B159" s="644" t="s">
        <v>215</v>
      </c>
      <c r="C159" s="651" t="s">
        <v>405</v>
      </c>
      <c r="D159" s="645">
        <v>19018</v>
      </c>
      <c r="E159" s="647" t="s">
        <v>1561</v>
      </c>
      <c r="F159" s="646" t="s">
        <v>1180</v>
      </c>
      <c r="G159" s="646" t="s">
        <v>402</v>
      </c>
      <c r="H159" s="452" t="s">
        <v>1475</v>
      </c>
      <c r="I159" s="452" t="s">
        <v>5</v>
      </c>
      <c r="J159" s="452" t="s">
        <v>544</v>
      </c>
      <c r="K159" s="645" t="s">
        <v>247</v>
      </c>
      <c r="L159" s="645" t="s">
        <v>542</v>
      </c>
      <c r="M159" s="645"/>
      <c r="N159" s="645" t="s">
        <v>13</v>
      </c>
      <c r="O159" s="647"/>
      <c r="P159" s="647"/>
      <c r="Q159" s="647"/>
      <c r="V159" s="647"/>
      <c r="W159" s="647"/>
      <c r="X159" s="647"/>
      <c r="Y159" s="647"/>
      <c r="Z159" s="647"/>
      <c r="AA159" s="647">
        <v>45601</v>
      </c>
      <c r="AC159" s="662" t="s">
        <v>402</v>
      </c>
      <c r="AD159" s="646"/>
    </row>
    <row r="160" spans="1:30" s="452" customFormat="1" hidden="1" x14ac:dyDescent="0.2">
      <c r="A160" s="644">
        <v>281</v>
      </c>
      <c r="B160" s="644" t="s">
        <v>215</v>
      </c>
      <c r="C160" s="651" t="s">
        <v>1562</v>
      </c>
      <c r="D160" s="645">
        <v>24024</v>
      </c>
      <c r="E160" s="647">
        <v>45684</v>
      </c>
      <c r="F160" s="646" t="s">
        <v>1646</v>
      </c>
      <c r="G160" s="450" t="s">
        <v>1240</v>
      </c>
      <c r="H160" s="452" t="s">
        <v>1647</v>
      </c>
      <c r="I160" s="452" t="s">
        <v>91</v>
      </c>
      <c r="J160" s="452" t="s">
        <v>542</v>
      </c>
      <c r="K160" s="452" t="s">
        <v>29</v>
      </c>
      <c r="L160" s="645" t="s">
        <v>544</v>
      </c>
      <c r="M160" s="450" t="s">
        <v>544</v>
      </c>
      <c r="N160" s="645" t="s">
        <v>13</v>
      </c>
      <c r="O160" s="647"/>
      <c r="P160" s="647"/>
      <c r="Q160" s="647"/>
      <c r="V160" s="647"/>
      <c r="W160" s="647"/>
      <c r="X160" s="647"/>
      <c r="Y160" s="647"/>
      <c r="Z160" s="647"/>
      <c r="AA160" s="647">
        <v>46119</v>
      </c>
      <c r="AB160" s="452">
        <v>3000</v>
      </c>
      <c r="AC160" s="653" t="s">
        <v>1155</v>
      </c>
      <c r="AD160" s="646"/>
    </row>
    <row r="161" spans="1:30" s="452" customFormat="1" hidden="1" x14ac:dyDescent="0.2">
      <c r="A161" s="644">
        <v>313</v>
      </c>
      <c r="B161" s="644" t="s">
        <v>215</v>
      </c>
      <c r="C161" s="651" t="s">
        <v>1657</v>
      </c>
      <c r="D161" s="645">
        <v>25001</v>
      </c>
      <c r="E161" s="647">
        <v>45861</v>
      </c>
      <c r="F161" s="646" t="s">
        <v>300</v>
      </c>
      <c r="G161" s="450" t="s">
        <v>1689</v>
      </c>
      <c r="H161" s="648" t="s">
        <v>1745</v>
      </c>
      <c r="I161" s="452" t="s">
        <v>7</v>
      </c>
      <c r="J161" s="452" t="s">
        <v>542</v>
      </c>
      <c r="K161" s="452" t="s">
        <v>29</v>
      </c>
      <c r="L161" s="645" t="s">
        <v>544</v>
      </c>
      <c r="M161" s="645" t="s">
        <v>544</v>
      </c>
      <c r="N161" s="645" t="s">
        <v>13</v>
      </c>
      <c r="O161" s="647">
        <v>45931</v>
      </c>
      <c r="P161" s="647" t="s">
        <v>1801</v>
      </c>
      <c r="Q161" s="647"/>
      <c r="V161" s="647"/>
      <c r="W161" s="647"/>
      <c r="X161" s="647"/>
      <c r="Y161" s="647"/>
      <c r="Z161" s="647"/>
      <c r="AA161" s="647">
        <v>46053</v>
      </c>
      <c r="AB161" s="452">
        <v>3000</v>
      </c>
      <c r="AC161" s="653" t="s">
        <v>1689</v>
      </c>
      <c r="AD161" s="646"/>
    </row>
    <row r="162" spans="1:30" s="452" customFormat="1" hidden="1" x14ac:dyDescent="0.2">
      <c r="A162" s="644">
        <v>312</v>
      </c>
      <c r="B162" s="644" t="s">
        <v>34</v>
      </c>
      <c r="C162" s="651" t="s">
        <v>1742</v>
      </c>
      <c r="D162" s="645">
        <v>25007</v>
      </c>
      <c r="E162" s="647">
        <v>45852</v>
      </c>
      <c r="F162" s="646" t="s">
        <v>1743</v>
      </c>
      <c r="G162" s="450" t="s">
        <v>1721</v>
      </c>
      <c r="H162" s="452" t="s">
        <v>1744</v>
      </c>
      <c r="I162" s="452" t="s">
        <v>91</v>
      </c>
      <c r="J162" s="452" t="s">
        <v>542</v>
      </c>
      <c r="K162" s="452" t="s">
        <v>29</v>
      </c>
      <c r="L162" s="645" t="s">
        <v>544</v>
      </c>
      <c r="M162" s="645" t="s">
        <v>544</v>
      </c>
      <c r="N162" s="645" t="s">
        <v>13</v>
      </c>
      <c r="O162" s="647"/>
      <c r="P162" s="647"/>
      <c r="Q162" s="647"/>
      <c r="V162" s="647"/>
      <c r="W162" s="647"/>
      <c r="X162" s="647"/>
      <c r="Y162" s="647"/>
      <c r="Z162" s="647"/>
      <c r="AA162" s="647"/>
      <c r="AB162" s="452">
        <v>3000</v>
      </c>
      <c r="AC162" s="653" t="s">
        <v>264</v>
      </c>
      <c r="AD162" s="646"/>
    </row>
    <row r="163" spans="1:30" s="452" customFormat="1" hidden="1" x14ac:dyDescent="0.25">
      <c r="A163" s="644">
        <v>260</v>
      </c>
      <c r="B163" s="644" t="s">
        <v>215</v>
      </c>
      <c r="C163" s="651" t="s">
        <v>1152</v>
      </c>
      <c r="D163" s="645">
        <v>24002</v>
      </c>
      <c r="E163" s="647">
        <v>45590</v>
      </c>
      <c r="F163" s="646" t="s">
        <v>283</v>
      </c>
      <c r="G163" s="646" t="s">
        <v>1240</v>
      </c>
      <c r="H163" s="645" t="s">
        <v>1572</v>
      </c>
      <c r="I163" s="452" t="s">
        <v>1194</v>
      </c>
      <c r="J163" s="452" t="s">
        <v>542</v>
      </c>
      <c r="K163" s="645" t="s">
        <v>29</v>
      </c>
      <c r="L163" s="645" t="s">
        <v>544</v>
      </c>
      <c r="M163" s="645" t="s">
        <v>544</v>
      </c>
      <c r="N163" s="645" t="s">
        <v>13</v>
      </c>
      <c r="O163" s="647"/>
      <c r="P163" s="647"/>
      <c r="Q163" s="647"/>
      <c r="V163" s="647"/>
      <c r="W163" s="647"/>
      <c r="X163" s="647"/>
      <c r="Y163" s="647"/>
      <c r="Z163" s="647"/>
      <c r="AA163" s="647">
        <v>45687</v>
      </c>
      <c r="AB163" s="452">
        <v>5000</v>
      </c>
      <c r="AC163" s="686" t="s">
        <v>1155</v>
      </c>
      <c r="AD163" s="646"/>
    </row>
    <row r="164" spans="1:30" s="452" customFormat="1" hidden="1" x14ac:dyDescent="0.25">
      <c r="A164" s="644">
        <v>261</v>
      </c>
      <c r="B164" s="644" t="s">
        <v>215</v>
      </c>
      <c r="C164" s="651" t="s">
        <v>1152</v>
      </c>
      <c r="D164" s="645">
        <v>24002</v>
      </c>
      <c r="E164" s="647">
        <v>45605</v>
      </c>
      <c r="F164" s="646" t="s">
        <v>1591</v>
      </c>
      <c r="G164" s="646" t="s">
        <v>1240</v>
      </c>
      <c r="H164" s="645" t="s">
        <v>1590</v>
      </c>
      <c r="I164" s="452" t="s">
        <v>1194</v>
      </c>
      <c r="J164" s="452" t="s">
        <v>542</v>
      </c>
      <c r="K164" s="645" t="s">
        <v>29</v>
      </c>
      <c r="L164" s="645" t="s">
        <v>544</v>
      </c>
      <c r="M164" s="645" t="s">
        <v>544</v>
      </c>
      <c r="N164" s="645" t="s">
        <v>13</v>
      </c>
      <c r="O164" s="647"/>
      <c r="P164" s="647"/>
      <c r="Q164" s="647"/>
      <c r="V164" s="647"/>
      <c r="W164" s="647"/>
      <c r="X164" s="647"/>
      <c r="Y164" s="647"/>
      <c r="Z164" s="647"/>
      <c r="AA164" s="647">
        <v>45687</v>
      </c>
      <c r="AB164" s="452">
        <v>5000</v>
      </c>
      <c r="AC164" s="653" t="s">
        <v>1155</v>
      </c>
      <c r="AD164" s="646" t="s">
        <v>1625</v>
      </c>
    </row>
    <row r="165" spans="1:30" s="452" customFormat="1" hidden="1" x14ac:dyDescent="0.25">
      <c r="A165" s="644">
        <v>262</v>
      </c>
      <c r="B165" s="644" t="s">
        <v>215</v>
      </c>
      <c r="C165" s="651" t="s">
        <v>1152</v>
      </c>
      <c r="D165" s="645">
        <v>24002</v>
      </c>
      <c r="E165" s="647">
        <v>45612</v>
      </c>
      <c r="F165" s="646" t="s">
        <v>106</v>
      </c>
      <c r="G165" s="646" t="s">
        <v>1389</v>
      </c>
      <c r="H165" s="645" t="s">
        <v>1592</v>
      </c>
      <c r="I165" s="452" t="s">
        <v>5</v>
      </c>
      <c r="J165" s="452" t="s">
        <v>542</v>
      </c>
      <c r="K165" s="645" t="s">
        <v>32</v>
      </c>
      <c r="L165" s="645"/>
      <c r="M165" s="645"/>
      <c r="N165" s="645" t="s">
        <v>13</v>
      </c>
      <c r="O165" s="647"/>
      <c r="P165" s="647"/>
      <c r="Q165" s="647"/>
      <c r="V165" s="647"/>
      <c r="W165" s="647"/>
      <c r="X165" s="647"/>
      <c r="Y165" s="647"/>
      <c r="Z165" s="647"/>
      <c r="AA165" s="647">
        <v>45713</v>
      </c>
      <c r="AB165" s="452">
        <v>5000</v>
      </c>
      <c r="AC165" s="653" t="s">
        <v>1390</v>
      </c>
      <c r="AD165" s="646" t="s">
        <v>1651</v>
      </c>
    </row>
    <row r="166" spans="1:30" hidden="1" x14ac:dyDescent="0.2">
      <c r="A166" s="644">
        <v>263</v>
      </c>
      <c r="B166" s="644" t="s">
        <v>215</v>
      </c>
      <c r="C166" s="651" t="s">
        <v>1152</v>
      </c>
      <c r="D166" s="645">
        <v>24002</v>
      </c>
      <c r="E166" s="647">
        <v>41959</v>
      </c>
      <c r="F166" s="646" t="s">
        <v>1395</v>
      </c>
      <c r="G166" s="646" t="s">
        <v>1389</v>
      </c>
      <c r="H166" s="645" t="s">
        <v>1593</v>
      </c>
      <c r="I166" s="452" t="s">
        <v>5</v>
      </c>
      <c r="J166" s="452" t="s">
        <v>542</v>
      </c>
      <c r="K166" s="645" t="s">
        <v>32</v>
      </c>
      <c r="L166" s="645" t="s">
        <v>542</v>
      </c>
      <c r="M166" s="645"/>
      <c r="N166" s="645" t="s">
        <v>13</v>
      </c>
      <c r="O166" s="647"/>
      <c r="P166" s="647"/>
      <c r="Q166" s="647"/>
      <c r="R166" s="452"/>
      <c r="S166" s="452"/>
      <c r="T166" s="452"/>
      <c r="U166" s="452"/>
      <c r="V166" s="647"/>
      <c r="W166" s="647"/>
      <c r="X166" s="647"/>
      <c r="Y166" s="647"/>
      <c r="Z166" s="647"/>
      <c r="AA166" s="647">
        <v>45745</v>
      </c>
      <c r="AB166" s="452">
        <v>5000</v>
      </c>
      <c r="AC166" s="653" t="s">
        <v>1390</v>
      </c>
      <c r="AD166" s="646"/>
    </row>
    <row r="167" spans="1:30" hidden="1" x14ac:dyDescent="0.2">
      <c r="A167" s="644">
        <v>264</v>
      </c>
      <c r="B167" s="644" t="s">
        <v>215</v>
      </c>
      <c r="C167" s="651" t="s">
        <v>1152</v>
      </c>
      <c r="D167" s="645">
        <v>24002</v>
      </c>
      <c r="E167" s="647">
        <v>45612</v>
      </c>
      <c r="F167" s="646" t="s">
        <v>1361</v>
      </c>
      <c r="G167" s="646" t="s">
        <v>1389</v>
      </c>
      <c r="H167" s="645" t="s">
        <v>1609</v>
      </c>
      <c r="I167" s="452" t="s">
        <v>5</v>
      </c>
      <c r="J167" s="452" t="s">
        <v>542</v>
      </c>
      <c r="K167" s="645" t="s">
        <v>32</v>
      </c>
      <c r="L167" s="645"/>
      <c r="M167" s="645"/>
      <c r="N167" s="645" t="s">
        <v>13</v>
      </c>
      <c r="O167" s="647"/>
      <c r="P167" s="647"/>
      <c r="Q167" s="647"/>
      <c r="R167" s="452"/>
      <c r="S167" s="452"/>
      <c r="T167" s="452"/>
      <c r="U167" s="452"/>
      <c r="V167" s="647"/>
      <c r="W167" s="647"/>
      <c r="X167" s="647"/>
      <c r="Y167" s="647"/>
      <c r="Z167" s="647"/>
      <c r="AA167" s="647">
        <v>45702</v>
      </c>
      <c r="AB167" s="452">
        <v>5000</v>
      </c>
      <c r="AC167" s="653" t="s">
        <v>1390</v>
      </c>
      <c r="AD167" s="646"/>
    </row>
    <row r="168" spans="1:30" ht="18.75" hidden="1" customHeight="1" x14ac:dyDescent="0.2">
      <c r="A168" s="644">
        <v>265</v>
      </c>
      <c r="B168" s="644" t="s">
        <v>215</v>
      </c>
      <c r="C168" s="651" t="s">
        <v>1426</v>
      </c>
      <c r="D168" s="645">
        <v>24019</v>
      </c>
      <c r="E168" s="647">
        <v>45468</v>
      </c>
      <c r="F168" s="646" t="s">
        <v>1595</v>
      </c>
      <c r="G168" s="646" t="s">
        <v>276</v>
      </c>
      <c r="H168" s="645" t="s">
        <v>1384</v>
      </c>
      <c r="I168" s="452" t="s">
        <v>61</v>
      </c>
      <c r="J168" s="452" t="s">
        <v>542</v>
      </c>
      <c r="K168" s="645" t="s">
        <v>43</v>
      </c>
      <c r="L168" s="645" t="s">
        <v>544</v>
      </c>
      <c r="M168" s="645" t="s">
        <v>544</v>
      </c>
      <c r="N168" s="645" t="s">
        <v>13</v>
      </c>
      <c r="O168" s="647"/>
      <c r="P168" s="647"/>
      <c r="Q168" s="647"/>
      <c r="R168" s="452"/>
      <c r="S168" s="452"/>
      <c r="T168" s="452"/>
      <c r="U168" s="452"/>
      <c r="V168" s="647"/>
      <c r="W168" s="647"/>
      <c r="X168" s="647"/>
      <c r="Y168" s="647"/>
      <c r="Z168" s="647"/>
      <c r="AA168" s="647">
        <v>45724</v>
      </c>
      <c r="AB168" s="452">
        <v>5000</v>
      </c>
      <c r="AC168" s="653" t="s">
        <v>1140</v>
      </c>
      <c r="AD168" s="646" t="s">
        <v>1621</v>
      </c>
    </row>
    <row r="169" spans="1:30" hidden="1" x14ac:dyDescent="0.2">
      <c r="A169" s="644">
        <v>266</v>
      </c>
      <c r="B169" s="644" t="s">
        <v>215</v>
      </c>
      <c r="C169" s="651" t="s">
        <v>1152</v>
      </c>
      <c r="D169" s="645">
        <v>24002</v>
      </c>
      <c r="E169" s="647">
        <v>45616</v>
      </c>
      <c r="F169" s="646" t="s">
        <v>106</v>
      </c>
      <c r="G169" s="450" t="s">
        <v>1389</v>
      </c>
      <c r="H169" s="452" t="s">
        <v>1599</v>
      </c>
      <c r="I169" s="452" t="s">
        <v>5</v>
      </c>
      <c r="J169" s="452" t="s">
        <v>542</v>
      </c>
      <c r="K169" s="452" t="s">
        <v>32</v>
      </c>
      <c r="N169" s="645" t="s">
        <v>13</v>
      </c>
      <c r="O169" s="647"/>
      <c r="P169" s="647"/>
      <c r="Q169" s="647"/>
      <c r="R169" s="452"/>
      <c r="S169" s="452"/>
      <c r="T169" s="452"/>
      <c r="U169" s="452"/>
      <c r="V169" s="647"/>
      <c r="W169" s="647"/>
      <c r="X169" s="647"/>
      <c r="Y169" s="647"/>
      <c r="Z169" s="647"/>
      <c r="AA169" s="647">
        <v>45680</v>
      </c>
      <c r="AB169" s="452">
        <v>4500</v>
      </c>
      <c r="AC169" s="653" t="s">
        <v>1390</v>
      </c>
      <c r="AD169" s="646" t="s">
        <v>775</v>
      </c>
    </row>
    <row r="170" spans="1:30" hidden="1" x14ac:dyDescent="0.2">
      <c r="A170" s="644">
        <v>267</v>
      </c>
      <c r="B170" s="644" t="s">
        <v>215</v>
      </c>
      <c r="C170" s="651" t="s">
        <v>1152</v>
      </c>
      <c r="D170" s="645">
        <v>24002</v>
      </c>
      <c r="E170" s="647">
        <v>45617</v>
      </c>
      <c r="F170" s="646" t="s">
        <v>1153</v>
      </c>
      <c r="G170" s="450" t="s">
        <v>1389</v>
      </c>
      <c r="H170" s="452" t="s">
        <v>1607</v>
      </c>
      <c r="I170" s="452" t="s">
        <v>1600</v>
      </c>
      <c r="J170" s="452" t="s">
        <v>542</v>
      </c>
      <c r="K170" s="452" t="s">
        <v>32</v>
      </c>
      <c r="N170" s="645" t="s">
        <v>13</v>
      </c>
      <c r="O170" s="647"/>
      <c r="P170" s="647"/>
      <c r="Q170" s="647"/>
      <c r="R170" s="452"/>
      <c r="S170" s="452"/>
      <c r="T170" s="452"/>
      <c r="U170" s="452"/>
      <c r="V170" s="647"/>
      <c r="W170" s="647"/>
      <c r="X170" s="647"/>
      <c r="Y170" s="647"/>
      <c r="Z170" s="647"/>
      <c r="AA170" s="647">
        <v>45647</v>
      </c>
      <c r="AB170" s="452">
        <v>5000</v>
      </c>
      <c r="AC170" s="653" t="s">
        <v>1390</v>
      </c>
      <c r="AD170" s="646"/>
    </row>
    <row r="171" spans="1:30" ht="15" hidden="1" x14ac:dyDescent="0.25">
      <c r="A171" s="644">
        <v>268</v>
      </c>
      <c r="B171" s="644" t="s">
        <v>215</v>
      </c>
      <c r="C171" s="651" t="s">
        <v>1152</v>
      </c>
      <c r="D171" s="645">
        <v>24002</v>
      </c>
      <c r="E171" s="647">
        <v>45619</v>
      </c>
      <c r="F171" s="646" t="s">
        <v>1614</v>
      </c>
      <c r="G171" s="450" t="s">
        <v>1602</v>
      </c>
      <c r="H171" s="452" t="s">
        <v>1601</v>
      </c>
      <c r="I171" s="452" t="s">
        <v>5</v>
      </c>
      <c r="J171" s="452" t="s">
        <v>542</v>
      </c>
      <c r="K171" s="452" t="s">
        <v>32</v>
      </c>
      <c r="N171" s="645" t="s">
        <v>13</v>
      </c>
      <c r="O171" s="647"/>
      <c r="P171"/>
      <c r="Q171" s="647"/>
      <c r="R171" s="452"/>
      <c r="S171" s="452"/>
      <c r="T171" s="452"/>
      <c r="U171" s="452"/>
      <c r="V171" s="647"/>
      <c r="W171" s="647"/>
      <c r="X171" s="647"/>
      <c r="Y171" s="647"/>
      <c r="Z171" s="647"/>
      <c r="AA171" s="647">
        <v>45640</v>
      </c>
      <c r="AB171" s="452">
        <v>5000</v>
      </c>
      <c r="AC171" s="653" t="s">
        <v>1602</v>
      </c>
      <c r="AD171" s="646"/>
    </row>
    <row r="172" spans="1:30" hidden="1" x14ac:dyDescent="0.2">
      <c r="A172" s="644">
        <v>269</v>
      </c>
      <c r="B172" s="644" t="s">
        <v>215</v>
      </c>
      <c r="C172" s="651" t="s">
        <v>1426</v>
      </c>
      <c r="D172" s="645">
        <v>24035</v>
      </c>
      <c r="E172" s="647">
        <v>45622</v>
      </c>
      <c r="F172" s="646" t="s">
        <v>1603</v>
      </c>
      <c r="G172" s="450" t="s">
        <v>1389</v>
      </c>
      <c r="H172" s="452" t="s">
        <v>1604</v>
      </c>
      <c r="I172" s="452" t="s">
        <v>5</v>
      </c>
      <c r="J172" s="452" t="s">
        <v>542</v>
      </c>
      <c r="K172" s="452" t="s">
        <v>32</v>
      </c>
      <c r="N172" s="645" t="s">
        <v>13</v>
      </c>
      <c r="O172" s="647"/>
      <c r="P172" s="647"/>
      <c r="Q172" s="647"/>
      <c r="R172" s="452"/>
      <c r="S172" s="452"/>
      <c r="T172" s="452"/>
      <c r="U172" s="452"/>
      <c r="V172" s="647"/>
      <c r="W172" s="647"/>
      <c r="X172" s="647"/>
      <c r="Y172" s="647"/>
      <c r="Z172" s="647"/>
      <c r="AA172" s="647">
        <v>45713</v>
      </c>
      <c r="AB172" s="452">
        <v>5000</v>
      </c>
      <c r="AC172" s="653" t="s">
        <v>1390</v>
      </c>
      <c r="AD172" s="646"/>
    </row>
    <row r="173" spans="1:30" hidden="1" x14ac:dyDescent="0.2">
      <c r="A173" s="644" t="s">
        <v>1235</v>
      </c>
      <c r="B173" s="644" t="s">
        <v>215</v>
      </c>
      <c r="C173" s="651" t="s">
        <v>1247</v>
      </c>
      <c r="D173" s="645">
        <v>24008</v>
      </c>
      <c r="E173" s="647">
        <v>45390</v>
      </c>
      <c r="F173" s="646" t="s">
        <v>1259</v>
      </c>
      <c r="G173" s="646" t="s">
        <v>171</v>
      </c>
      <c r="H173" s="648" t="s">
        <v>1261</v>
      </c>
      <c r="I173" s="452" t="s">
        <v>61</v>
      </c>
      <c r="J173" s="452" t="s">
        <v>542</v>
      </c>
      <c r="K173" s="645" t="s">
        <v>43</v>
      </c>
      <c r="L173" s="645" t="s">
        <v>544</v>
      </c>
      <c r="M173" s="645" t="s">
        <v>544</v>
      </c>
      <c r="N173" s="645" t="s">
        <v>13</v>
      </c>
      <c r="O173" s="647"/>
      <c r="P173" s="647"/>
      <c r="Q173" s="647"/>
      <c r="R173" s="452"/>
      <c r="S173" s="452"/>
      <c r="T173" s="452"/>
      <c r="U173" s="452"/>
      <c r="V173" s="647"/>
      <c r="W173" s="647"/>
      <c r="X173" s="647"/>
      <c r="Y173" s="647"/>
      <c r="Z173" s="647"/>
      <c r="AA173" s="647">
        <v>46090</v>
      </c>
      <c r="AB173" s="452">
        <v>5000</v>
      </c>
      <c r="AC173" s="673" t="s">
        <v>1246</v>
      </c>
      <c r="AD173" s="646"/>
    </row>
    <row r="174" spans="1:30" ht="25.5" hidden="1" x14ac:dyDescent="0.2">
      <c r="A174" s="644">
        <v>271</v>
      </c>
      <c r="B174" s="644" t="s">
        <v>215</v>
      </c>
      <c r="C174" s="651" t="s">
        <v>1152</v>
      </c>
      <c r="D174" s="645">
        <v>24002</v>
      </c>
      <c r="E174" s="647">
        <v>45640</v>
      </c>
      <c r="F174" s="646" t="s">
        <v>1614</v>
      </c>
      <c r="G174" s="450" t="s">
        <v>1240</v>
      </c>
      <c r="H174" s="452" t="s">
        <v>1613</v>
      </c>
      <c r="I174" s="452" t="s">
        <v>91</v>
      </c>
      <c r="J174" s="452" t="s">
        <v>544</v>
      </c>
      <c r="K174" s="452" t="s">
        <v>29</v>
      </c>
      <c r="L174" s="645" t="s">
        <v>544</v>
      </c>
      <c r="M174" s="645" t="s">
        <v>544</v>
      </c>
      <c r="N174" s="645" t="s">
        <v>13</v>
      </c>
      <c r="O174" s="647"/>
      <c r="P174" s="647"/>
      <c r="Q174" s="647"/>
      <c r="R174" s="452"/>
      <c r="S174" s="452"/>
      <c r="T174" s="452"/>
      <c r="U174" s="452"/>
      <c r="V174" s="647"/>
      <c r="W174" s="647"/>
      <c r="X174" s="647"/>
      <c r="Y174" s="647"/>
      <c r="Z174" s="647"/>
      <c r="AA174" s="647">
        <v>45653</v>
      </c>
      <c r="AB174" s="452">
        <v>5000</v>
      </c>
      <c r="AC174" s="653" t="s">
        <v>1155</v>
      </c>
      <c r="AD174" s="687" t="s">
        <v>1619</v>
      </c>
    </row>
    <row r="175" spans="1:30" hidden="1" x14ac:dyDescent="0.2">
      <c r="A175" s="644">
        <v>272</v>
      </c>
      <c r="B175" s="644" t="s">
        <v>215</v>
      </c>
      <c r="C175" s="651" t="s">
        <v>1152</v>
      </c>
      <c r="D175" s="645">
        <v>24002</v>
      </c>
      <c r="E175" s="647">
        <v>45653</v>
      </c>
      <c r="F175" s="646" t="s">
        <v>1614</v>
      </c>
      <c r="G175" s="450" t="s">
        <v>1240</v>
      </c>
      <c r="H175" s="452" t="s">
        <v>1618</v>
      </c>
      <c r="I175" s="452" t="s">
        <v>5</v>
      </c>
      <c r="J175" s="452"/>
      <c r="K175" s="452" t="s">
        <v>247</v>
      </c>
      <c r="N175" s="645" t="s">
        <v>13</v>
      </c>
      <c r="O175" s="647"/>
      <c r="P175" s="647"/>
      <c r="Q175" s="647"/>
      <c r="R175" s="452"/>
      <c r="S175" s="452"/>
      <c r="T175" s="452"/>
      <c r="U175" s="452"/>
      <c r="V175" s="647"/>
      <c r="W175" s="647"/>
      <c r="X175" s="647"/>
      <c r="Y175" s="647"/>
      <c r="Z175" s="647"/>
      <c r="AA175" s="647">
        <v>45712</v>
      </c>
      <c r="AB175" s="452">
        <v>5000</v>
      </c>
      <c r="AC175" s="653" t="s">
        <v>1155</v>
      </c>
      <c r="AD175" s="646"/>
    </row>
    <row r="176" spans="1:30" hidden="1" x14ac:dyDescent="0.2">
      <c r="A176" s="644">
        <v>273</v>
      </c>
      <c r="B176" s="644" t="s">
        <v>215</v>
      </c>
      <c r="C176" s="651" t="s">
        <v>1152</v>
      </c>
      <c r="D176" s="645">
        <v>24002</v>
      </c>
      <c r="E176" s="647">
        <v>45660</v>
      </c>
      <c r="F176" s="646" t="s">
        <v>1153</v>
      </c>
      <c r="G176" s="450" t="s">
        <v>38</v>
      </c>
      <c r="H176" s="452" t="s">
        <v>1622</v>
      </c>
      <c r="I176" s="452" t="s">
        <v>789</v>
      </c>
      <c r="J176" s="452"/>
      <c r="K176" s="452" t="s">
        <v>62</v>
      </c>
      <c r="L176" s="645" t="s">
        <v>544</v>
      </c>
      <c r="M176" s="645" t="s">
        <v>544</v>
      </c>
      <c r="N176" s="645" t="s">
        <v>13</v>
      </c>
      <c r="O176" s="647"/>
      <c r="P176" s="647"/>
      <c r="Q176" s="647"/>
      <c r="R176" s="452"/>
      <c r="S176" s="452"/>
      <c r="T176" s="452"/>
      <c r="U176" s="452"/>
      <c r="V176" s="647"/>
      <c r="W176" s="647"/>
      <c r="X176" s="647"/>
      <c r="Y176" s="647"/>
      <c r="Z176" s="647"/>
      <c r="AA176" s="647">
        <v>45712</v>
      </c>
      <c r="AB176" s="452">
        <v>5000</v>
      </c>
      <c r="AC176" s="653" t="s">
        <v>1623</v>
      </c>
      <c r="AD176" s="646"/>
    </row>
    <row r="177" spans="1:30" hidden="1" x14ac:dyDescent="0.2">
      <c r="A177" s="644">
        <v>307</v>
      </c>
      <c r="B177" s="644" t="s">
        <v>215</v>
      </c>
      <c r="C177" s="651" t="s">
        <v>1720</v>
      </c>
      <c r="D177" s="645">
        <v>25008</v>
      </c>
      <c r="E177" s="647">
        <v>45817</v>
      </c>
      <c r="F177" s="646" t="s">
        <v>1719</v>
      </c>
      <c r="G177" s="450" t="s">
        <v>1721</v>
      </c>
      <c r="H177" s="452" t="s">
        <v>1722</v>
      </c>
      <c r="I177" s="452" t="s">
        <v>697</v>
      </c>
      <c r="J177" s="452" t="s">
        <v>542</v>
      </c>
      <c r="K177" s="452" t="s">
        <v>29</v>
      </c>
      <c r="L177" s="645" t="s">
        <v>544</v>
      </c>
      <c r="M177" s="645" t="s">
        <v>544</v>
      </c>
      <c r="N177" s="645" t="s">
        <v>13</v>
      </c>
      <c r="O177" s="647"/>
      <c r="P177" s="647"/>
      <c r="Q177" s="647"/>
      <c r="R177" s="452"/>
      <c r="S177" s="452"/>
      <c r="T177" s="452"/>
      <c r="U177" s="452"/>
      <c r="V177" s="647"/>
      <c r="W177" s="647"/>
      <c r="X177" s="647"/>
      <c r="Y177" s="647"/>
      <c r="Z177" s="647"/>
      <c r="AA177" s="647">
        <v>45946</v>
      </c>
      <c r="AB177" s="452">
        <v>3000</v>
      </c>
      <c r="AC177" s="653" t="s">
        <v>1723</v>
      </c>
      <c r="AD177" s="646"/>
    </row>
    <row r="178" spans="1:30" hidden="1" x14ac:dyDescent="0.2">
      <c r="A178" s="644">
        <v>302</v>
      </c>
      <c r="B178" s="644" t="s">
        <v>215</v>
      </c>
      <c r="C178" s="651" t="s">
        <v>1429</v>
      </c>
      <c r="D178" s="645">
        <v>24019</v>
      </c>
      <c r="E178" s="647">
        <v>45780</v>
      </c>
      <c r="F178" s="646" t="s">
        <v>1666</v>
      </c>
      <c r="G178" s="450" t="s">
        <v>166</v>
      </c>
      <c r="H178" s="452" t="s">
        <v>1702</v>
      </c>
      <c r="I178" s="452" t="s">
        <v>285</v>
      </c>
      <c r="J178" s="452" t="s">
        <v>542</v>
      </c>
      <c r="K178" s="452" t="s">
        <v>43</v>
      </c>
      <c r="L178" s="645" t="s">
        <v>544</v>
      </c>
      <c r="M178" s="645" t="s">
        <v>544</v>
      </c>
      <c r="N178" s="645" t="s">
        <v>13</v>
      </c>
      <c r="O178" s="647">
        <v>45807</v>
      </c>
      <c r="P178" s="647" t="s">
        <v>1712</v>
      </c>
      <c r="Q178" s="647">
        <v>45961</v>
      </c>
      <c r="R178" s="452" t="s">
        <v>1814</v>
      </c>
      <c r="S178" s="452"/>
      <c r="T178" s="452"/>
      <c r="U178" s="452"/>
      <c r="V178" s="647"/>
      <c r="W178" s="647"/>
      <c r="X178" s="647"/>
      <c r="Y178" s="647"/>
      <c r="Z178" s="647"/>
      <c r="AA178" s="647">
        <v>46011</v>
      </c>
      <c r="AB178" s="452">
        <v>4500</v>
      </c>
      <c r="AC178" s="653" t="s">
        <v>1673</v>
      </c>
      <c r="AD178" s="646"/>
    </row>
    <row r="179" spans="1:30" ht="25.5" hidden="1" x14ac:dyDescent="0.2">
      <c r="A179" s="644" t="s">
        <v>1231</v>
      </c>
      <c r="B179" s="644" t="s">
        <v>215</v>
      </c>
      <c r="C179" s="651" t="s">
        <v>1236</v>
      </c>
      <c r="D179" s="645">
        <v>24006</v>
      </c>
      <c r="E179" s="647">
        <v>45383</v>
      </c>
      <c r="F179" s="646" t="s">
        <v>1762</v>
      </c>
      <c r="G179" s="646" t="s">
        <v>104</v>
      </c>
      <c r="H179" s="667" t="s">
        <v>1241</v>
      </c>
      <c r="I179" s="452" t="s">
        <v>16</v>
      </c>
      <c r="J179" s="452" t="s">
        <v>542</v>
      </c>
      <c r="K179" s="645" t="s">
        <v>43</v>
      </c>
      <c r="L179" s="645" t="s">
        <v>544</v>
      </c>
      <c r="M179" s="645" t="s">
        <v>544</v>
      </c>
      <c r="N179" s="645" t="s">
        <v>13</v>
      </c>
      <c r="O179" s="647"/>
      <c r="P179" s="647"/>
      <c r="Q179" s="647"/>
      <c r="R179" s="452"/>
      <c r="S179" s="452"/>
      <c r="T179" s="452"/>
      <c r="U179" s="452"/>
      <c r="V179" s="647"/>
      <c r="W179" s="647"/>
      <c r="X179" s="647"/>
      <c r="Y179" s="647"/>
      <c r="Z179" s="647"/>
      <c r="AA179" s="647">
        <v>45920</v>
      </c>
      <c r="AB179" s="452">
        <v>5000</v>
      </c>
      <c r="AC179" s="668" t="s">
        <v>264</v>
      </c>
      <c r="AD179" s="646" t="s">
        <v>1706</v>
      </c>
    </row>
    <row r="180" spans="1:30" ht="25.5" hidden="1" x14ac:dyDescent="0.2">
      <c r="A180" s="644">
        <v>259</v>
      </c>
      <c r="B180" s="644" t="s">
        <v>215</v>
      </c>
      <c r="C180" s="651" t="s">
        <v>1429</v>
      </c>
      <c r="D180" s="645">
        <v>24019</v>
      </c>
      <c r="E180" s="647">
        <v>45588</v>
      </c>
      <c r="F180" s="646" t="s">
        <v>1524</v>
      </c>
      <c r="G180" s="646" t="s">
        <v>166</v>
      </c>
      <c r="H180" s="645" t="s">
        <v>1565</v>
      </c>
      <c r="I180" s="450" t="s">
        <v>61</v>
      </c>
      <c r="J180" s="452" t="s">
        <v>542</v>
      </c>
      <c r="K180" s="645" t="s">
        <v>43</v>
      </c>
      <c r="L180" s="645" t="s">
        <v>544</v>
      </c>
      <c r="M180" s="645" t="s">
        <v>544</v>
      </c>
      <c r="N180" s="645" t="s">
        <v>13</v>
      </c>
      <c r="O180" s="647"/>
      <c r="P180" s="647"/>
      <c r="Q180" s="647"/>
      <c r="R180" s="452"/>
      <c r="S180" s="452"/>
      <c r="T180" s="452"/>
      <c r="U180" s="452"/>
      <c r="V180" s="647"/>
      <c r="W180" s="647"/>
      <c r="X180" s="647"/>
      <c r="Y180" s="647"/>
      <c r="Z180" s="647"/>
      <c r="AA180" s="647">
        <v>46040</v>
      </c>
      <c r="AB180" s="452">
        <v>5000</v>
      </c>
      <c r="AC180" s="653" t="s">
        <v>1140</v>
      </c>
      <c r="AD180" s="646" t="s">
        <v>1876</v>
      </c>
    </row>
    <row r="181" spans="1:30" ht="15" hidden="1" x14ac:dyDescent="0.25">
      <c r="A181" s="644">
        <v>278</v>
      </c>
      <c r="B181" s="644" t="s">
        <v>215</v>
      </c>
      <c r="C181" s="651" t="s">
        <v>1429</v>
      </c>
      <c r="D181" s="645">
        <v>24019</v>
      </c>
      <c r="E181" s="647">
        <v>45677</v>
      </c>
      <c r="F181" s="9" t="s">
        <v>1641</v>
      </c>
      <c r="G181" s="646" t="s">
        <v>1403</v>
      </c>
      <c r="H181" s="281" t="s">
        <v>1642</v>
      </c>
      <c r="I181" s="452" t="s">
        <v>1194</v>
      </c>
      <c r="J181" s="452" t="s">
        <v>542</v>
      </c>
      <c r="K181" s="645" t="s">
        <v>29</v>
      </c>
      <c r="L181" s="645" t="s">
        <v>544</v>
      </c>
      <c r="M181" s="645" t="s">
        <v>544</v>
      </c>
      <c r="N181" s="645" t="s">
        <v>13</v>
      </c>
      <c r="O181" s="647"/>
      <c r="P181" s="647"/>
      <c r="Q181" s="647"/>
      <c r="R181" s="452"/>
      <c r="S181" s="452"/>
      <c r="T181" s="452"/>
      <c r="U181" s="452"/>
      <c r="V181" s="647"/>
      <c r="W181" s="647"/>
      <c r="X181" s="647"/>
      <c r="Y181" s="647"/>
      <c r="Z181" s="647"/>
      <c r="AA181" s="647">
        <v>45759</v>
      </c>
      <c r="AB181" s="452">
        <v>4500</v>
      </c>
      <c r="AC181" s="653" t="s">
        <v>264</v>
      </c>
      <c r="AD181" s="646"/>
    </row>
    <row r="182" spans="1:30" ht="15" hidden="1" customHeight="1" x14ac:dyDescent="0.2">
      <c r="A182" s="644">
        <v>277</v>
      </c>
      <c r="B182" s="644" t="s">
        <v>215</v>
      </c>
      <c r="C182" s="651" t="s">
        <v>1429</v>
      </c>
      <c r="D182" s="645">
        <v>24019</v>
      </c>
      <c r="E182" s="647">
        <v>45675</v>
      </c>
      <c r="F182" s="646" t="s">
        <v>1727</v>
      </c>
      <c r="G182" s="646" t="s">
        <v>1904</v>
      </c>
      <c r="H182" s="648" t="s">
        <v>1640</v>
      </c>
      <c r="I182" s="452" t="s">
        <v>1636</v>
      </c>
      <c r="J182" s="452" t="s">
        <v>542</v>
      </c>
      <c r="K182" s="645" t="s">
        <v>43</v>
      </c>
      <c r="L182" s="645" t="s">
        <v>544</v>
      </c>
      <c r="M182" s="645" t="s">
        <v>544</v>
      </c>
      <c r="N182" s="645" t="s">
        <v>13</v>
      </c>
      <c r="O182" s="647"/>
      <c r="P182" s="647"/>
      <c r="Q182" s="647"/>
      <c r="R182" s="452"/>
      <c r="S182" s="452"/>
      <c r="T182" s="452"/>
      <c r="U182" s="452"/>
      <c r="V182" s="647"/>
      <c r="W182" s="647"/>
      <c r="X182" s="647"/>
      <c r="Y182" s="647"/>
      <c r="Z182" s="647"/>
      <c r="AA182" s="647">
        <v>46102</v>
      </c>
      <c r="AB182" s="452">
        <v>4500</v>
      </c>
      <c r="AC182" s="653" t="s">
        <v>1140</v>
      </c>
      <c r="AD182" s="646"/>
    </row>
    <row r="183" spans="1:30" hidden="1" x14ac:dyDescent="0.2">
      <c r="A183" s="644">
        <v>280</v>
      </c>
      <c r="B183" s="644" t="s">
        <v>215</v>
      </c>
      <c r="C183" s="651" t="s">
        <v>1152</v>
      </c>
      <c r="D183" s="645">
        <v>24002</v>
      </c>
      <c r="E183" s="647">
        <v>45680</v>
      </c>
      <c r="F183" s="646" t="s">
        <v>106</v>
      </c>
      <c r="G183" s="450" t="s">
        <v>1240</v>
      </c>
      <c r="H183" s="452" t="s">
        <v>1645</v>
      </c>
      <c r="I183" s="452" t="s">
        <v>1194</v>
      </c>
      <c r="J183" s="452" t="s">
        <v>542</v>
      </c>
      <c r="K183" s="452" t="s">
        <v>29</v>
      </c>
      <c r="L183" s="645" t="s">
        <v>544</v>
      </c>
      <c r="M183" s="645" t="s">
        <v>544</v>
      </c>
      <c r="N183" s="645" t="s">
        <v>13</v>
      </c>
      <c r="O183" s="647"/>
      <c r="P183" s="647"/>
      <c r="Q183" s="647"/>
      <c r="R183" s="452"/>
      <c r="S183" s="452"/>
      <c r="T183" s="452"/>
      <c r="U183" s="452"/>
      <c r="V183" s="647"/>
      <c r="W183" s="647"/>
      <c r="X183" s="647"/>
      <c r="Y183" s="647"/>
      <c r="Z183" s="647"/>
      <c r="AA183" s="647">
        <v>45688</v>
      </c>
      <c r="AB183" s="452">
        <v>4500</v>
      </c>
      <c r="AC183" s="653" t="s">
        <v>1155</v>
      </c>
      <c r="AD183" s="646" t="s">
        <v>1649</v>
      </c>
    </row>
    <row r="184" spans="1:30" hidden="1" x14ac:dyDescent="0.2">
      <c r="A184" s="644" t="s">
        <v>1328</v>
      </c>
      <c r="B184" s="644" t="s">
        <v>215</v>
      </c>
      <c r="C184" s="651" t="s">
        <v>1426</v>
      </c>
      <c r="D184" s="645">
        <v>24019</v>
      </c>
      <c r="E184" s="647">
        <v>45460</v>
      </c>
      <c r="F184" s="646" t="s">
        <v>1750</v>
      </c>
      <c r="G184" s="646" t="s">
        <v>104</v>
      </c>
      <c r="H184" s="648" t="s">
        <v>1366</v>
      </c>
      <c r="I184" s="452" t="s">
        <v>16</v>
      </c>
      <c r="J184" s="452" t="s">
        <v>542</v>
      </c>
      <c r="K184" s="645" t="s">
        <v>43</v>
      </c>
      <c r="L184" s="645" t="s">
        <v>544</v>
      </c>
      <c r="M184" s="645" t="s">
        <v>544</v>
      </c>
      <c r="N184" s="645" t="s">
        <v>13</v>
      </c>
      <c r="O184" s="647">
        <v>45591</v>
      </c>
      <c r="P184" s="647" t="s">
        <v>1567</v>
      </c>
      <c r="Q184" s="647"/>
      <c r="R184" s="452"/>
      <c r="S184" s="452"/>
      <c r="T184" s="452"/>
      <c r="U184" s="452"/>
      <c r="V184" s="647"/>
      <c r="W184" s="647"/>
      <c r="X184" s="647"/>
      <c r="Y184" s="647"/>
      <c r="Z184" s="647"/>
      <c r="AA184" s="647">
        <v>45946</v>
      </c>
      <c r="AB184" s="452">
        <v>4500</v>
      </c>
      <c r="AC184" s="668" t="s">
        <v>264</v>
      </c>
      <c r="AD184" s="646" t="s">
        <v>1624</v>
      </c>
    </row>
    <row r="185" spans="1:30" hidden="1" x14ac:dyDescent="0.2">
      <c r="A185" s="644">
        <v>282</v>
      </c>
      <c r="B185" s="644" t="s">
        <v>215</v>
      </c>
      <c r="C185" s="651" t="s">
        <v>1152</v>
      </c>
      <c r="D185" s="645">
        <v>24002</v>
      </c>
      <c r="E185" s="647">
        <v>45688</v>
      </c>
      <c r="F185" s="646" t="s">
        <v>292</v>
      </c>
      <c r="G185" s="450" t="s">
        <v>1240</v>
      </c>
      <c r="H185" s="452" t="s">
        <v>1652</v>
      </c>
      <c r="I185" s="452" t="s">
        <v>51</v>
      </c>
      <c r="J185" s="452" t="s">
        <v>542</v>
      </c>
      <c r="K185" s="452" t="s">
        <v>29</v>
      </c>
      <c r="L185" s="450" t="s">
        <v>544</v>
      </c>
      <c r="M185" s="450" t="s">
        <v>544</v>
      </c>
      <c r="N185" s="645" t="s">
        <v>13</v>
      </c>
      <c r="O185" s="647">
        <v>45780</v>
      </c>
      <c r="P185" s="647" t="s">
        <v>1703</v>
      </c>
      <c r="Q185" s="647"/>
      <c r="R185" s="452"/>
      <c r="S185" s="452"/>
      <c r="T185" s="452"/>
      <c r="U185" s="452"/>
      <c r="V185" s="647"/>
      <c r="W185" s="647"/>
      <c r="X185" s="647"/>
      <c r="Y185" s="647"/>
      <c r="Z185" s="647"/>
      <c r="AA185" s="647">
        <v>45861</v>
      </c>
      <c r="AB185" s="452">
        <v>4500</v>
      </c>
      <c r="AC185" s="653" t="s">
        <v>1155</v>
      </c>
      <c r="AD185" s="646"/>
    </row>
    <row r="186" spans="1:30" hidden="1" x14ac:dyDescent="0.2">
      <c r="A186" s="644">
        <v>283</v>
      </c>
      <c r="B186" s="644" t="s">
        <v>215</v>
      </c>
      <c r="C186" s="651" t="s">
        <v>1152</v>
      </c>
      <c r="D186" s="645">
        <v>24002</v>
      </c>
      <c r="E186" s="647">
        <v>45712</v>
      </c>
      <c r="F186" s="646" t="s">
        <v>1655</v>
      </c>
      <c r="G186" s="450" t="s">
        <v>1240</v>
      </c>
      <c r="H186" s="452" t="s">
        <v>1656</v>
      </c>
      <c r="I186" s="452" t="s">
        <v>91</v>
      </c>
      <c r="J186" s="452" t="s">
        <v>542</v>
      </c>
      <c r="K186" s="452" t="s">
        <v>29</v>
      </c>
      <c r="L186" s="450" t="s">
        <v>544</v>
      </c>
      <c r="M186" s="450" t="s">
        <v>544</v>
      </c>
      <c r="N186" s="645" t="s">
        <v>13</v>
      </c>
      <c r="O186" s="647"/>
      <c r="P186" s="647"/>
      <c r="Q186" s="647"/>
      <c r="R186" s="452"/>
      <c r="S186" s="452"/>
      <c r="T186" s="452"/>
      <c r="U186" s="452"/>
      <c r="V186" s="647"/>
      <c r="W186" s="647"/>
      <c r="X186" s="647"/>
      <c r="Y186" s="647"/>
      <c r="Z186" s="647"/>
      <c r="AA186" s="647">
        <v>45762</v>
      </c>
      <c r="AB186" s="452">
        <v>4500</v>
      </c>
      <c r="AC186" s="653" t="s">
        <v>1155</v>
      </c>
      <c r="AD186" s="646"/>
    </row>
    <row r="187" spans="1:30" hidden="1" x14ac:dyDescent="0.2">
      <c r="A187" s="644">
        <v>311</v>
      </c>
      <c r="B187" s="644" t="s">
        <v>215</v>
      </c>
      <c r="C187" s="651" t="s">
        <v>1657</v>
      </c>
      <c r="D187" s="645">
        <v>25001</v>
      </c>
      <c r="E187" s="647">
        <v>45840</v>
      </c>
      <c r="F187" s="646" t="s">
        <v>1739</v>
      </c>
      <c r="G187" s="450" t="s">
        <v>1623</v>
      </c>
      <c r="H187" s="452" t="s">
        <v>1740</v>
      </c>
      <c r="I187" s="452" t="s">
        <v>697</v>
      </c>
      <c r="J187" s="452" t="s">
        <v>542</v>
      </c>
      <c r="K187" s="452" t="s">
        <v>29</v>
      </c>
      <c r="L187" s="645" t="s">
        <v>544</v>
      </c>
      <c r="M187" s="645" t="s">
        <v>544</v>
      </c>
      <c r="N187" s="645" t="s">
        <v>13</v>
      </c>
      <c r="O187" s="647"/>
      <c r="P187" s="647"/>
      <c r="Q187" s="647"/>
      <c r="R187" s="452"/>
      <c r="S187" s="452"/>
      <c r="T187" s="452"/>
      <c r="U187" s="452"/>
      <c r="V187" s="647"/>
      <c r="W187" s="647"/>
      <c r="X187" s="647"/>
      <c r="Y187" s="647"/>
      <c r="Z187" s="647"/>
      <c r="AA187" s="647">
        <v>45941</v>
      </c>
      <c r="AB187" s="452">
        <v>3000</v>
      </c>
      <c r="AC187" s="653" t="s">
        <v>1689</v>
      </c>
      <c r="AD187" s="646"/>
    </row>
    <row r="188" spans="1:30" hidden="1" x14ac:dyDescent="0.2">
      <c r="A188" s="644">
        <v>3</v>
      </c>
      <c r="B188" s="645" t="s">
        <v>215</v>
      </c>
      <c r="C188" s="646" t="s">
        <v>274</v>
      </c>
      <c r="D188" s="645">
        <v>21029</v>
      </c>
      <c r="E188" s="647">
        <v>44573</v>
      </c>
      <c r="F188" s="646" t="s">
        <v>139</v>
      </c>
      <c r="G188" s="646" t="s">
        <v>135</v>
      </c>
      <c r="H188" s="648" t="s">
        <v>134</v>
      </c>
      <c r="I188" s="452" t="s">
        <v>7</v>
      </c>
      <c r="J188" s="452" t="s">
        <v>542</v>
      </c>
      <c r="K188" s="645" t="s">
        <v>29</v>
      </c>
      <c r="L188" s="645" t="s">
        <v>544</v>
      </c>
      <c r="M188" s="645" t="s">
        <v>544</v>
      </c>
      <c r="N188" s="645" t="s">
        <v>13</v>
      </c>
      <c r="O188" s="647">
        <v>44582</v>
      </c>
      <c r="P188" s="647" t="s">
        <v>147</v>
      </c>
      <c r="Q188" s="647">
        <v>44583</v>
      </c>
      <c r="R188" s="452" t="s">
        <v>146</v>
      </c>
      <c r="S188" s="647"/>
      <c r="T188" s="452"/>
      <c r="U188" s="452"/>
      <c r="V188" s="647"/>
      <c r="W188" s="647"/>
      <c r="X188" s="647"/>
      <c r="Y188" s="647"/>
      <c r="Z188" s="647"/>
      <c r="AA188" s="647">
        <v>46113</v>
      </c>
      <c r="AB188" s="452">
        <v>3000</v>
      </c>
      <c r="AC188" s="650" t="s">
        <v>135</v>
      </c>
      <c r="AD188" s="646"/>
    </row>
    <row r="189" spans="1:30" hidden="1" x14ac:dyDescent="0.2">
      <c r="A189" s="644">
        <v>286</v>
      </c>
      <c r="B189" s="644" t="s">
        <v>215</v>
      </c>
      <c r="C189" s="651" t="s">
        <v>1152</v>
      </c>
      <c r="D189" s="645">
        <v>24002</v>
      </c>
      <c r="E189" s="647">
        <v>45722</v>
      </c>
      <c r="F189" s="646" t="s">
        <v>1153</v>
      </c>
      <c r="G189" s="450" t="s">
        <v>1240</v>
      </c>
      <c r="H189" s="452" t="s">
        <v>1662</v>
      </c>
      <c r="I189" s="452" t="s">
        <v>1194</v>
      </c>
      <c r="J189" s="452" t="s">
        <v>542</v>
      </c>
      <c r="K189" s="452" t="s">
        <v>29</v>
      </c>
      <c r="L189" s="450" t="s">
        <v>544</v>
      </c>
      <c r="M189" s="450" t="s">
        <v>544</v>
      </c>
      <c r="N189" s="645" t="s">
        <v>13</v>
      </c>
      <c r="O189" s="647"/>
      <c r="P189" s="647"/>
      <c r="Q189" s="647"/>
      <c r="R189" s="452"/>
      <c r="S189" s="452"/>
      <c r="T189" s="452"/>
      <c r="U189" s="452"/>
      <c r="V189" s="647"/>
      <c r="W189" s="647"/>
      <c r="X189" s="647"/>
      <c r="Y189" s="647"/>
      <c r="Z189" s="647"/>
      <c r="AA189" s="647">
        <v>45753</v>
      </c>
      <c r="AB189" s="452">
        <v>5000</v>
      </c>
      <c r="AC189" s="653" t="s">
        <v>1663</v>
      </c>
      <c r="AD189" s="646"/>
    </row>
    <row r="190" spans="1:30" hidden="1" x14ac:dyDescent="0.2">
      <c r="A190" s="644">
        <v>287</v>
      </c>
      <c r="B190" s="644" t="s">
        <v>215</v>
      </c>
      <c r="C190" s="651" t="s">
        <v>1429</v>
      </c>
      <c r="D190" s="645">
        <v>24019</v>
      </c>
      <c r="E190" s="647">
        <v>45726</v>
      </c>
      <c r="F190" s="646" t="s">
        <v>386</v>
      </c>
      <c r="G190" s="450" t="s">
        <v>276</v>
      </c>
      <c r="H190" s="452" t="s">
        <v>1664</v>
      </c>
      <c r="I190" s="452" t="s">
        <v>5</v>
      </c>
      <c r="J190" s="452" t="s">
        <v>542</v>
      </c>
      <c r="K190" s="452" t="s">
        <v>32</v>
      </c>
      <c r="L190" s="450" t="s">
        <v>542</v>
      </c>
      <c r="M190" s="652">
        <v>45726</v>
      </c>
      <c r="N190" s="645" t="s">
        <v>13</v>
      </c>
      <c r="O190" s="647"/>
      <c r="P190" s="647"/>
      <c r="Q190" s="647"/>
      <c r="R190" s="452"/>
      <c r="S190" s="452"/>
      <c r="T190" s="452"/>
      <c r="U190" s="452"/>
      <c r="V190" s="647"/>
      <c r="W190" s="647"/>
      <c r="X190" s="647"/>
      <c r="Y190" s="647"/>
      <c r="Z190" s="647"/>
      <c r="AA190" s="647">
        <v>45869</v>
      </c>
      <c r="AB190" s="452">
        <v>4500</v>
      </c>
      <c r="AC190" s="653" t="s">
        <v>1385</v>
      </c>
      <c r="AD190" s="646"/>
    </row>
    <row r="191" spans="1:30" hidden="1" x14ac:dyDescent="0.2">
      <c r="A191" s="644">
        <v>306</v>
      </c>
      <c r="B191" s="644" t="s">
        <v>34</v>
      </c>
      <c r="C191" s="651" t="s">
        <v>1657</v>
      </c>
      <c r="D191" s="645">
        <v>25001</v>
      </c>
      <c r="E191" s="647">
        <v>45810</v>
      </c>
      <c r="F191" s="646" t="s">
        <v>1891</v>
      </c>
      <c r="G191" s="450" t="s">
        <v>46</v>
      </c>
      <c r="H191" s="648" t="s">
        <v>1718</v>
      </c>
      <c r="I191" s="452" t="s">
        <v>51</v>
      </c>
      <c r="J191" s="452" t="s">
        <v>542</v>
      </c>
      <c r="K191" s="452" t="s">
        <v>29</v>
      </c>
      <c r="L191" s="645" t="s">
        <v>544</v>
      </c>
      <c r="M191" s="645" t="s">
        <v>544</v>
      </c>
      <c r="N191" s="645" t="s">
        <v>13</v>
      </c>
      <c r="O191" s="647">
        <v>45810</v>
      </c>
      <c r="P191" s="647" t="s">
        <v>1717</v>
      </c>
      <c r="Q191" s="647">
        <v>46137</v>
      </c>
      <c r="R191" s="452" t="s">
        <v>1935</v>
      </c>
      <c r="S191" s="452"/>
      <c r="T191" s="452"/>
      <c r="U191" s="452"/>
      <c r="V191" s="647"/>
      <c r="W191" s="647"/>
      <c r="X191" s="647"/>
      <c r="Y191" s="647"/>
      <c r="Z191" s="647"/>
      <c r="AA191" s="647"/>
      <c r="AB191" s="452">
        <v>3000</v>
      </c>
      <c r="AC191" s="653" t="s">
        <v>1677</v>
      </c>
      <c r="AD191" s="646"/>
    </row>
    <row r="192" spans="1:30" hidden="1" x14ac:dyDescent="0.2">
      <c r="A192" s="644">
        <v>275</v>
      </c>
      <c r="B192" s="644" t="s">
        <v>215</v>
      </c>
      <c r="C192" s="651" t="s">
        <v>1562</v>
      </c>
      <c r="D192" s="645">
        <v>24024</v>
      </c>
      <c r="E192" s="647">
        <v>45675</v>
      </c>
      <c r="F192" s="646" t="s">
        <v>871</v>
      </c>
      <c r="G192" s="450" t="s">
        <v>1240</v>
      </c>
      <c r="H192" s="648" t="s">
        <v>1635</v>
      </c>
      <c r="I192" s="452" t="s">
        <v>1636</v>
      </c>
      <c r="J192" s="452" t="s">
        <v>542</v>
      </c>
      <c r="K192" s="452" t="s">
        <v>43</v>
      </c>
      <c r="L192" s="450" t="s">
        <v>544</v>
      </c>
      <c r="M192" s="645" t="s">
        <v>544</v>
      </c>
      <c r="N192" s="645" t="s">
        <v>13</v>
      </c>
      <c r="O192" s="647">
        <v>46109</v>
      </c>
      <c r="P192" s="647" t="s">
        <v>1713</v>
      </c>
      <c r="Q192" s="647"/>
      <c r="R192" s="452"/>
      <c r="S192" s="452"/>
      <c r="T192" s="452"/>
      <c r="U192" s="452"/>
      <c r="V192" s="647"/>
      <c r="W192" s="647"/>
      <c r="X192" s="647"/>
      <c r="Y192" s="647"/>
      <c r="Z192" s="647"/>
      <c r="AA192" s="647">
        <v>46133</v>
      </c>
      <c r="AB192" s="452">
        <v>3000</v>
      </c>
      <c r="AC192" s="653" t="s">
        <v>1637</v>
      </c>
      <c r="AD192" s="646"/>
    </row>
    <row r="193" spans="1:30" hidden="1" x14ac:dyDescent="0.2">
      <c r="A193" s="644">
        <v>290</v>
      </c>
      <c r="B193" s="644" t="s">
        <v>215</v>
      </c>
      <c r="C193" s="651" t="s">
        <v>1429</v>
      </c>
      <c r="D193" s="645">
        <v>24019</v>
      </c>
      <c r="E193" s="647">
        <v>45731</v>
      </c>
      <c r="F193" s="646" t="s">
        <v>1667</v>
      </c>
      <c r="G193" s="450" t="s">
        <v>276</v>
      </c>
      <c r="H193" s="452" t="s">
        <v>1669</v>
      </c>
      <c r="I193" s="452" t="s">
        <v>7</v>
      </c>
      <c r="J193" s="452" t="s">
        <v>542</v>
      </c>
      <c r="K193" s="452" t="s">
        <v>29</v>
      </c>
      <c r="L193" s="450" t="s">
        <v>544</v>
      </c>
      <c r="M193" s="450" t="s">
        <v>544</v>
      </c>
      <c r="N193" s="645" t="s">
        <v>13</v>
      </c>
      <c r="O193" s="647"/>
      <c r="P193" s="647"/>
      <c r="Q193" s="647"/>
      <c r="R193" s="452"/>
      <c r="S193" s="452"/>
      <c r="T193" s="452"/>
      <c r="U193" s="452"/>
      <c r="V193" s="647"/>
      <c r="W193" s="647"/>
      <c r="X193" s="647"/>
      <c r="Y193" s="647"/>
      <c r="Z193" s="647"/>
      <c r="AA193" s="647">
        <v>45762</v>
      </c>
      <c r="AB193" s="452">
        <v>4500</v>
      </c>
      <c r="AC193" s="653" t="s">
        <v>1672</v>
      </c>
      <c r="AD193" s="646"/>
    </row>
    <row r="194" spans="1:30" hidden="1" x14ac:dyDescent="0.2">
      <c r="A194" s="644">
        <v>291</v>
      </c>
      <c r="B194" s="644" t="s">
        <v>215</v>
      </c>
      <c r="C194" s="651" t="s">
        <v>1429</v>
      </c>
      <c r="D194" s="645">
        <v>24019</v>
      </c>
      <c r="E194" s="647">
        <v>45731</v>
      </c>
      <c r="F194" s="646" t="s">
        <v>398</v>
      </c>
      <c r="G194" s="450" t="s">
        <v>276</v>
      </c>
      <c r="H194" s="452" t="s">
        <v>1670</v>
      </c>
      <c r="I194" s="452" t="s">
        <v>33</v>
      </c>
      <c r="J194" s="452" t="s">
        <v>542</v>
      </c>
      <c r="K194" s="452" t="s">
        <v>43</v>
      </c>
      <c r="L194" s="450" t="s">
        <v>544</v>
      </c>
      <c r="M194" s="450" t="s">
        <v>544</v>
      </c>
      <c r="N194" s="645" t="s">
        <v>13</v>
      </c>
      <c r="O194" s="647"/>
      <c r="P194" s="647"/>
      <c r="Q194" s="647"/>
      <c r="R194" s="452"/>
      <c r="S194" s="452"/>
      <c r="T194" s="452"/>
      <c r="U194" s="452"/>
      <c r="V194" s="647"/>
      <c r="W194" s="647"/>
      <c r="X194" s="647"/>
      <c r="Y194" s="647"/>
      <c r="Z194" s="647"/>
      <c r="AA194" s="647">
        <v>45770</v>
      </c>
      <c r="AB194" s="452">
        <v>4500</v>
      </c>
      <c r="AC194" s="653" t="s">
        <v>1672</v>
      </c>
      <c r="AD194" s="646" t="s">
        <v>1696</v>
      </c>
    </row>
    <row r="195" spans="1:30" hidden="1" x14ac:dyDescent="0.2">
      <c r="A195" s="644">
        <v>292</v>
      </c>
      <c r="B195" s="644" t="s">
        <v>215</v>
      </c>
      <c r="C195" s="651" t="s">
        <v>1429</v>
      </c>
      <c r="D195" s="645">
        <v>24019</v>
      </c>
      <c r="E195" s="647">
        <v>45731</v>
      </c>
      <c r="F195" s="646" t="s">
        <v>1675</v>
      </c>
      <c r="G195" s="450" t="s">
        <v>276</v>
      </c>
      <c r="H195" s="452" t="s">
        <v>1671</v>
      </c>
      <c r="I195" s="452" t="s">
        <v>7</v>
      </c>
      <c r="J195" s="452" t="s">
        <v>542</v>
      </c>
      <c r="K195" s="452" t="s">
        <v>29</v>
      </c>
      <c r="L195" s="450" t="s">
        <v>544</v>
      </c>
      <c r="M195" s="450" t="s">
        <v>544</v>
      </c>
      <c r="N195" s="645" t="s">
        <v>13</v>
      </c>
      <c r="O195" s="647"/>
      <c r="P195" s="647"/>
      <c r="Q195" s="647"/>
      <c r="R195" s="452"/>
      <c r="S195" s="452"/>
      <c r="T195" s="452"/>
      <c r="U195" s="452"/>
      <c r="V195" s="647"/>
      <c r="W195" s="647"/>
      <c r="X195" s="647"/>
      <c r="Y195" s="647"/>
      <c r="Z195" s="647"/>
      <c r="AA195" s="647">
        <v>45773</v>
      </c>
      <c r="AB195" s="452">
        <v>4500</v>
      </c>
      <c r="AC195" s="653" t="s">
        <v>1672</v>
      </c>
      <c r="AD195" s="646"/>
    </row>
    <row r="196" spans="1:30" ht="15" hidden="1" customHeight="1" x14ac:dyDescent="0.2">
      <c r="A196" s="644">
        <v>301</v>
      </c>
      <c r="B196" s="644" t="s">
        <v>215</v>
      </c>
      <c r="C196" s="651" t="s">
        <v>1429</v>
      </c>
      <c r="D196" s="645">
        <v>24019</v>
      </c>
      <c r="E196" s="647">
        <v>45773</v>
      </c>
      <c r="F196" s="646" t="s">
        <v>1675</v>
      </c>
      <c r="G196" s="450" t="s">
        <v>276</v>
      </c>
      <c r="H196" s="452" t="s">
        <v>1699</v>
      </c>
      <c r="I196" s="452" t="s">
        <v>61</v>
      </c>
      <c r="J196" s="452" t="s">
        <v>542</v>
      </c>
      <c r="K196" s="452" t="s">
        <v>43</v>
      </c>
      <c r="L196" s="645" t="s">
        <v>544</v>
      </c>
      <c r="M196" s="645" t="s">
        <v>544</v>
      </c>
      <c r="N196" s="645" t="s">
        <v>13</v>
      </c>
      <c r="O196" s="647"/>
      <c r="P196" s="647"/>
      <c r="Q196" s="647"/>
      <c r="R196" s="452"/>
      <c r="S196" s="452"/>
      <c r="T196" s="452"/>
      <c r="U196" s="452"/>
      <c r="V196" s="647"/>
      <c r="W196" s="647"/>
      <c r="X196" s="647"/>
      <c r="Y196" s="647"/>
      <c r="Z196" s="647"/>
      <c r="AA196" s="647">
        <v>46003</v>
      </c>
      <c r="AB196" s="452">
        <v>4500</v>
      </c>
      <c r="AC196" s="653" t="s">
        <v>1672</v>
      </c>
      <c r="AD196" s="646"/>
    </row>
    <row r="197" spans="1:30" hidden="1" x14ac:dyDescent="0.2">
      <c r="A197" s="644">
        <v>294</v>
      </c>
      <c r="B197" s="644" t="s">
        <v>215</v>
      </c>
      <c r="C197" s="651" t="s">
        <v>1429</v>
      </c>
      <c r="D197" s="645">
        <v>24019</v>
      </c>
      <c r="E197" s="647">
        <v>45733</v>
      </c>
      <c r="F197" s="646" t="s">
        <v>1666</v>
      </c>
      <c r="G197" s="450" t="s">
        <v>166</v>
      </c>
      <c r="H197" s="452" t="s">
        <v>1674</v>
      </c>
      <c r="I197" s="452" t="s">
        <v>1194</v>
      </c>
      <c r="J197" s="452" t="s">
        <v>544</v>
      </c>
      <c r="K197" s="452" t="s">
        <v>29</v>
      </c>
      <c r="L197" s="450" t="s">
        <v>544</v>
      </c>
      <c r="M197" s="450" t="s">
        <v>544</v>
      </c>
      <c r="N197" s="645" t="s">
        <v>13</v>
      </c>
      <c r="O197" s="647"/>
      <c r="P197" s="647"/>
      <c r="Q197" s="647"/>
      <c r="R197" s="452"/>
      <c r="S197" s="452"/>
      <c r="T197" s="452"/>
      <c r="U197" s="452"/>
      <c r="V197" s="647"/>
      <c r="W197" s="647"/>
      <c r="X197" s="647"/>
      <c r="Y197" s="647"/>
      <c r="Z197" s="647"/>
      <c r="AA197" s="647">
        <v>45780</v>
      </c>
      <c r="AB197" s="452">
        <v>4500</v>
      </c>
      <c r="AC197" s="653" t="s">
        <v>1673</v>
      </c>
      <c r="AD197" s="646"/>
    </row>
    <row r="198" spans="1:30" ht="25.5" hidden="1" x14ac:dyDescent="0.2">
      <c r="A198" s="644">
        <v>276</v>
      </c>
      <c r="B198" s="644" t="s">
        <v>34</v>
      </c>
      <c r="C198" s="651" t="s">
        <v>1830</v>
      </c>
      <c r="D198" s="645">
        <v>24011</v>
      </c>
      <c r="E198" s="647">
        <v>45677</v>
      </c>
      <c r="F198" s="646" t="s">
        <v>1055</v>
      </c>
      <c r="G198" s="452" t="s">
        <v>171</v>
      </c>
      <c r="H198" s="648" t="s">
        <v>1638</v>
      </c>
      <c r="I198" s="452" t="s">
        <v>1636</v>
      </c>
      <c r="J198" s="452" t="s">
        <v>542</v>
      </c>
      <c r="K198" s="452" t="s">
        <v>43</v>
      </c>
      <c r="L198" s="450" t="s">
        <v>544</v>
      </c>
      <c r="M198" s="645" t="s">
        <v>544</v>
      </c>
      <c r="N198" s="645" t="s">
        <v>13</v>
      </c>
      <c r="O198" s="647">
        <v>46136</v>
      </c>
      <c r="P198" s="647" t="s">
        <v>1937</v>
      </c>
      <c r="Q198" s="647"/>
      <c r="R198" s="452"/>
      <c r="S198" s="452"/>
      <c r="T198" s="452"/>
      <c r="U198" s="452"/>
      <c r="V198" s="647"/>
      <c r="W198" s="647"/>
      <c r="X198" s="647"/>
      <c r="Y198" s="647"/>
      <c r="Z198" s="647"/>
      <c r="AA198" s="647"/>
      <c r="AB198" s="452">
        <v>4500</v>
      </c>
      <c r="AC198" s="653" t="s">
        <v>177</v>
      </c>
      <c r="AD198" s="646"/>
    </row>
    <row r="199" spans="1:30" hidden="1" x14ac:dyDescent="0.2">
      <c r="A199" s="644">
        <v>317</v>
      </c>
      <c r="B199" s="644" t="s">
        <v>215</v>
      </c>
      <c r="C199" s="651" t="s">
        <v>1429</v>
      </c>
      <c r="D199" s="645">
        <v>24019</v>
      </c>
      <c r="E199" s="647">
        <v>45908</v>
      </c>
      <c r="F199" s="646" t="s">
        <v>1432</v>
      </c>
      <c r="G199" s="450" t="s">
        <v>276</v>
      </c>
      <c r="H199" s="452" t="s">
        <v>1761</v>
      </c>
      <c r="I199" s="452" t="s">
        <v>109</v>
      </c>
      <c r="J199" s="452" t="s">
        <v>542</v>
      </c>
      <c r="K199" s="452" t="s">
        <v>43</v>
      </c>
      <c r="L199" s="645" t="s">
        <v>544</v>
      </c>
      <c r="M199" s="645" t="s">
        <v>544</v>
      </c>
      <c r="N199" s="645" t="s">
        <v>13</v>
      </c>
      <c r="O199" s="647"/>
      <c r="P199" s="647"/>
      <c r="Q199" s="647"/>
      <c r="R199" s="452"/>
      <c r="S199" s="452"/>
      <c r="T199" s="452"/>
      <c r="U199" s="452"/>
      <c r="V199" s="647"/>
      <c r="W199" s="647"/>
      <c r="X199" s="647"/>
      <c r="Y199" s="647"/>
      <c r="Z199" s="647"/>
      <c r="AA199" s="647">
        <v>45957</v>
      </c>
      <c r="AB199" s="452">
        <v>3000</v>
      </c>
      <c r="AC199" s="653" t="s">
        <v>1385</v>
      </c>
      <c r="AD199" s="646"/>
    </row>
    <row r="200" spans="1:30" hidden="1" x14ac:dyDescent="0.2">
      <c r="A200" s="644">
        <v>297</v>
      </c>
      <c r="B200" s="644" t="s">
        <v>215</v>
      </c>
      <c r="C200" s="651" t="s">
        <v>1686</v>
      </c>
      <c r="D200" s="645">
        <v>24032</v>
      </c>
      <c r="E200" s="647">
        <v>45754</v>
      </c>
      <c r="F200" s="646" t="s">
        <v>1687</v>
      </c>
      <c r="G200" s="450" t="s">
        <v>1623</v>
      </c>
      <c r="H200" s="452" t="s">
        <v>1688</v>
      </c>
      <c r="I200" s="452" t="s">
        <v>7</v>
      </c>
      <c r="J200" s="452" t="s">
        <v>542</v>
      </c>
      <c r="K200" s="452" t="s">
        <v>29</v>
      </c>
      <c r="L200" s="450" t="s">
        <v>544</v>
      </c>
      <c r="M200" s="450" t="s">
        <v>544</v>
      </c>
      <c r="N200" s="645" t="s">
        <v>13</v>
      </c>
      <c r="O200" s="647">
        <v>45829</v>
      </c>
      <c r="P200" s="647" t="s">
        <v>1732</v>
      </c>
      <c r="Q200" s="647"/>
      <c r="R200" s="452"/>
      <c r="S200" s="452"/>
      <c r="T200" s="452"/>
      <c r="U200" s="452"/>
      <c r="V200" s="647"/>
      <c r="W200" s="647"/>
      <c r="X200" s="647"/>
      <c r="Y200" s="647"/>
      <c r="Z200" s="647"/>
      <c r="AA200" s="647">
        <v>45878</v>
      </c>
      <c r="AB200" s="452">
        <v>3000</v>
      </c>
      <c r="AC200" s="653" t="s">
        <v>1689</v>
      </c>
      <c r="AD200" s="646"/>
    </row>
    <row r="201" spans="1:30" ht="15" hidden="1" x14ac:dyDescent="0.25">
      <c r="A201" s="644">
        <v>298</v>
      </c>
      <c r="B201" s="644" t="s">
        <v>215</v>
      </c>
      <c r="C201" s="651" t="s">
        <v>1429</v>
      </c>
      <c r="D201" s="645">
        <v>24019</v>
      </c>
      <c r="E201" s="647">
        <v>45759</v>
      </c>
      <c r="F201" s="9" t="s">
        <v>1641</v>
      </c>
      <c r="G201" s="646" t="s">
        <v>1403</v>
      </c>
      <c r="H201" s="281" t="s">
        <v>1692</v>
      </c>
      <c r="I201" s="452" t="s">
        <v>61</v>
      </c>
      <c r="J201" s="452" t="s">
        <v>542</v>
      </c>
      <c r="K201" s="645" t="s">
        <v>43</v>
      </c>
      <c r="L201" s="645" t="s">
        <v>544</v>
      </c>
      <c r="M201" s="645" t="s">
        <v>544</v>
      </c>
      <c r="N201" s="645" t="s">
        <v>13</v>
      </c>
      <c r="O201" s="647">
        <v>45759</v>
      </c>
      <c r="P201" s="647" t="s">
        <v>1691</v>
      </c>
      <c r="Q201" s="647"/>
      <c r="R201" s="452"/>
      <c r="S201" s="452"/>
      <c r="T201" s="452"/>
      <c r="U201" s="452"/>
      <c r="V201" s="647"/>
      <c r="W201" s="647"/>
      <c r="X201" s="647"/>
      <c r="Y201" s="647"/>
      <c r="Z201" s="647"/>
      <c r="AA201" s="647">
        <v>45864</v>
      </c>
      <c r="AB201" s="452">
        <v>4500</v>
      </c>
      <c r="AC201" s="653" t="s">
        <v>264</v>
      </c>
      <c r="AD201" s="646"/>
    </row>
    <row r="202" spans="1:30" hidden="1" x14ac:dyDescent="0.2">
      <c r="A202" s="644" t="s">
        <v>1571</v>
      </c>
      <c r="B202" s="644" t="s">
        <v>215</v>
      </c>
      <c r="C202" s="651" t="s">
        <v>1426</v>
      </c>
      <c r="D202" s="645">
        <v>24019</v>
      </c>
      <c r="E202" s="647">
        <v>45588</v>
      </c>
      <c r="F202" s="646" t="s">
        <v>1447</v>
      </c>
      <c r="G202" s="646" t="s">
        <v>166</v>
      </c>
      <c r="H202" s="645" t="s">
        <v>1564</v>
      </c>
      <c r="I202" s="450" t="s">
        <v>61</v>
      </c>
      <c r="J202" s="452" t="s">
        <v>542</v>
      </c>
      <c r="K202" s="645" t="s">
        <v>43</v>
      </c>
      <c r="L202" s="645" t="s">
        <v>544</v>
      </c>
      <c r="M202" s="645" t="s">
        <v>544</v>
      </c>
      <c r="N202" s="645" t="s">
        <v>13</v>
      </c>
      <c r="O202" s="647"/>
      <c r="P202" s="647"/>
      <c r="Q202" s="647"/>
      <c r="R202" s="452"/>
      <c r="S202" s="452"/>
      <c r="T202" s="452"/>
      <c r="U202" s="452"/>
      <c r="V202" s="647"/>
      <c r="W202" s="647"/>
      <c r="X202" s="647"/>
      <c r="Y202" s="647"/>
      <c r="Z202" s="647"/>
      <c r="AA202" s="647">
        <v>45946</v>
      </c>
      <c r="AB202" s="452">
        <v>5000</v>
      </c>
      <c r="AC202" s="653" t="s">
        <v>1140</v>
      </c>
      <c r="AD202" s="646" t="s">
        <v>1620</v>
      </c>
    </row>
    <row r="203" spans="1:30" ht="25.5" hidden="1" x14ac:dyDescent="0.2">
      <c r="A203" s="644">
        <v>300</v>
      </c>
      <c r="B203" s="644" t="s">
        <v>215</v>
      </c>
      <c r="C203" s="651" t="s">
        <v>1183</v>
      </c>
      <c r="D203" s="645" t="s">
        <v>1183</v>
      </c>
      <c r="E203" s="647">
        <v>45709</v>
      </c>
      <c r="F203" s="646" t="s">
        <v>390</v>
      </c>
      <c r="G203" s="450" t="s">
        <v>46</v>
      </c>
      <c r="H203" s="452" t="s">
        <v>1698</v>
      </c>
      <c r="I203" s="452" t="s">
        <v>697</v>
      </c>
      <c r="J203" s="452" t="s">
        <v>542</v>
      </c>
      <c r="K203" s="452" t="s">
        <v>29</v>
      </c>
      <c r="L203" s="645" t="s">
        <v>544</v>
      </c>
      <c r="M203" s="645" t="s">
        <v>544</v>
      </c>
      <c r="N203" s="645" t="s">
        <v>13</v>
      </c>
      <c r="O203" s="647"/>
      <c r="P203" s="647"/>
      <c r="Q203" s="647"/>
      <c r="R203" s="452"/>
      <c r="S203" s="452"/>
      <c r="T203" s="452"/>
      <c r="U203" s="452"/>
      <c r="V203" s="647"/>
      <c r="W203" s="647"/>
      <c r="X203" s="647"/>
      <c r="Y203" s="647"/>
      <c r="Z203" s="647"/>
      <c r="AA203" s="647">
        <v>45810</v>
      </c>
      <c r="AB203" s="452">
        <v>5000</v>
      </c>
      <c r="AC203" s="653" t="s">
        <v>1677</v>
      </c>
      <c r="AD203" s="646" t="s">
        <v>1701</v>
      </c>
    </row>
    <row r="204" spans="1:30" hidden="1" x14ac:dyDescent="0.2">
      <c r="A204" s="644" t="s">
        <v>1551</v>
      </c>
      <c r="B204" s="644" t="s">
        <v>34</v>
      </c>
      <c r="C204" s="651" t="s">
        <v>1429</v>
      </c>
      <c r="D204" s="645">
        <v>24019</v>
      </c>
      <c r="E204" s="647">
        <v>45578</v>
      </c>
      <c r="F204" s="646" t="s">
        <v>1666</v>
      </c>
      <c r="G204" s="646" t="s">
        <v>1389</v>
      </c>
      <c r="H204" s="648" t="s">
        <v>1554</v>
      </c>
      <c r="I204" s="646" t="s">
        <v>61</v>
      </c>
      <c r="J204" s="452" t="s">
        <v>542</v>
      </c>
      <c r="K204" s="645" t="s">
        <v>43</v>
      </c>
      <c r="L204" s="645" t="s">
        <v>544</v>
      </c>
      <c r="M204" s="645" t="s">
        <v>544</v>
      </c>
      <c r="N204" s="645" t="s">
        <v>13</v>
      </c>
      <c r="O204" s="647">
        <v>45989</v>
      </c>
      <c r="P204" s="647" t="s">
        <v>1836</v>
      </c>
      <c r="Q204" s="647"/>
      <c r="R204" s="452"/>
      <c r="S204" s="452"/>
      <c r="T204" s="452"/>
      <c r="U204" s="452"/>
      <c r="V204" s="647"/>
      <c r="W204" s="647"/>
      <c r="X204" s="647"/>
      <c r="Y204" s="647"/>
      <c r="Z204" s="647"/>
      <c r="AA204" s="647"/>
      <c r="AB204" s="452">
        <v>5000</v>
      </c>
      <c r="AC204" s="672" t="s">
        <v>1390</v>
      </c>
      <c r="AD204" s="646"/>
    </row>
    <row r="205" spans="1:30" hidden="1" x14ac:dyDescent="0.2">
      <c r="A205" s="644" t="s">
        <v>1570</v>
      </c>
      <c r="B205" s="644" t="s">
        <v>215</v>
      </c>
      <c r="C205" s="651" t="s">
        <v>1562</v>
      </c>
      <c r="D205" s="645">
        <v>24024</v>
      </c>
      <c r="E205" s="647">
        <v>45586</v>
      </c>
      <c r="F205" s="646" t="s">
        <v>871</v>
      </c>
      <c r="G205" s="646" t="s">
        <v>1240</v>
      </c>
      <c r="H205" s="684" t="s">
        <v>1563</v>
      </c>
      <c r="I205" s="450" t="s">
        <v>61</v>
      </c>
      <c r="J205" s="452" t="s">
        <v>542</v>
      </c>
      <c r="K205" s="645" t="s">
        <v>43</v>
      </c>
      <c r="L205" s="645" t="s">
        <v>544</v>
      </c>
      <c r="M205" s="645" t="s">
        <v>544</v>
      </c>
      <c r="N205" s="645" t="s">
        <v>13</v>
      </c>
      <c r="O205" s="647">
        <v>45731</v>
      </c>
      <c r="P205" s="647" t="s">
        <v>1713</v>
      </c>
      <c r="Q205" s="647">
        <v>46081</v>
      </c>
      <c r="R205" s="452" t="s">
        <v>1899</v>
      </c>
      <c r="S205" s="452"/>
      <c r="T205" s="452"/>
      <c r="U205" s="452"/>
      <c r="V205" s="647"/>
      <c r="W205" s="647"/>
      <c r="X205" s="647"/>
      <c r="Y205" s="647"/>
      <c r="Z205" s="647"/>
      <c r="AA205" s="647">
        <v>46095</v>
      </c>
      <c r="AB205" s="452">
        <v>3000</v>
      </c>
      <c r="AC205" s="686" t="s">
        <v>1155</v>
      </c>
      <c r="AD205" s="646"/>
    </row>
    <row r="206" spans="1:30" hidden="1" x14ac:dyDescent="0.2">
      <c r="A206" s="644" t="s">
        <v>1230</v>
      </c>
      <c r="B206" s="644" t="s">
        <v>215</v>
      </c>
      <c r="C206" s="651" t="s">
        <v>1236</v>
      </c>
      <c r="D206" s="645">
        <v>24006</v>
      </c>
      <c r="E206" s="647">
        <v>45383</v>
      </c>
      <c r="F206" s="646" t="s">
        <v>1237</v>
      </c>
      <c r="G206" s="646" t="s">
        <v>30</v>
      </c>
      <c r="H206" s="648" t="s">
        <v>1238</v>
      </c>
      <c r="I206" s="452" t="s">
        <v>61</v>
      </c>
      <c r="J206" s="452" t="s">
        <v>542</v>
      </c>
      <c r="K206" s="645" t="s">
        <v>43</v>
      </c>
      <c r="L206" s="645" t="s">
        <v>544</v>
      </c>
      <c r="M206" s="645" t="s">
        <v>544</v>
      </c>
      <c r="N206" s="645" t="s">
        <v>13</v>
      </c>
      <c r="O206" s="647"/>
      <c r="P206" s="647"/>
      <c r="Q206" s="647"/>
      <c r="R206" s="452"/>
      <c r="S206" s="452"/>
      <c r="T206" s="452"/>
      <c r="U206" s="452"/>
      <c r="V206" s="647"/>
      <c r="W206" s="647"/>
      <c r="X206" s="647"/>
      <c r="Y206" s="647"/>
      <c r="Z206" s="647"/>
      <c r="AA206" s="647">
        <v>45924</v>
      </c>
      <c r="AB206" s="452">
        <v>4500</v>
      </c>
      <c r="AC206" s="666" t="s">
        <v>1239</v>
      </c>
      <c r="AD206" s="646"/>
    </row>
    <row r="207" spans="1:30" hidden="1" x14ac:dyDescent="0.2">
      <c r="A207" s="644">
        <v>304</v>
      </c>
      <c r="B207" s="644" t="s">
        <v>215</v>
      </c>
      <c r="C207" s="651" t="s">
        <v>1686</v>
      </c>
      <c r="D207" s="645">
        <v>24032</v>
      </c>
      <c r="E207" s="647">
        <v>45786</v>
      </c>
      <c r="F207" s="646" t="s">
        <v>564</v>
      </c>
      <c r="G207" s="450" t="s">
        <v>1623</v>
      </c>
      <c r="H207" s="452" t="s">
        <v>1709</v>
      </c>
      <c r="I207" s="452" t="s">
        <v>7</v>
      </c>
      <c r="J207" s="452" t="s">
        <v>544</v>
      </c>
      <c r="K207" s="452" t="s">
        <v>29</v>
      </c>
      <c r="L207" s="645" t="s">
        <v>544</v>
      </c>
      <c r="M207" s="645" t="s">
        <v>544</v>
      </c>
      <c r="N207" s="645" t="s">
        <v>13</v>
      </c>
      <c r="O207" s="647"/>
      <c r="P207" s="647"/>
      <c r="Q207" s="647"/>
      <c r="R207" s="452"/>
      <c r="S207" s="452"/>
      <c r="T207" s="452"/>
      <c r="U207" s="452"/>
      <c r="V207" s="647"/>
      <c r="W207" s="647"/>
      <c r="X207" s="647"/>
      <c r="Y207" s="647"/>
      <c r="Z207" s="647"/>
      <c r="AA207" s="647">
        <v>45859</v>
      </c>
      <c r="AB207" s="452">
        <v>3000</v>
      </c>
      <c r="AC207" s="653" t="s">
        <v>1623</v>
      </c>
      <c r="AD207" s="646"/>
    </row>
    <row r="208" spans="1:30" hidden="1" x14ac:dyDescent="0.2">
      <c r="A208" s="644">
        <v>296</v>
      </c>
      <c r="B208" s="644" t="s">
        <v>215</v>
      </c>
      <c r="C208" s="651" t="s">
        <v>1657</v>
      </c>
      <c r="D208" s="645">
        <v>25001</v>
      </c>
      <c r="E208" s="647">
        <v>45740</v>
      </c>
      <c r="F208" s="646" t="s">
        <v>1170</v>
      </c>
      <c r="G208" s="450" t="s">
        <v>1658</v>
      </c>
      <c r="H208" s="452" t="s">
        <v>1684</v>
      </c>
      <c r="I208" s="452" t="s">
        <v>285</v>
      </c>
      <c r="J208" s="452" t="s">
        <v>542</v>
      </c>
      <c r="K208" s="452" t="s">
        <v>43</v>
      </c>
      <c r="L208" s="450" t="s">
        <v>544</v>
      </c>
      <c r="M208" s="450" t="s">
        <v>544</v>
      </c>
      <c r="N208" s="645" t="s">
        <v>13</v>
      </c>
      <c r="O208" s="647">
        <v>45741</v>
      </c>
      <c r="P208" s="647" t="s">
        <v>1683</v>
      </c>
      <c r="Q208" s="647"/>
      <c r="R208" s="452"/>
      <c r="S208" s="452"/>
      <c r="T208" s="452"/>
      <c r="U208" s="452"/>
      <c r="V208" s="647"/>
      <c r="W208" s="647"/>
      <c r="X208" s="647"/>
      <c r="Y208" s="647"/>
      <c r="Z208" s="647"/>
      <c r="AA208" s="647">
        <v>46032</v>
      </c>
      <c r="AB208" s="452">
        <v>3000</v>
      </c>
      <c r="AC208" s="653" t="s">
        <v>1661</v>
      </c>
      <c r="AD208" s="646"/>
    </row>
    <row r="209" spans="1:30" hidden="1" x14ac:dyDescent="0.2">
      <c r="A209" s="644">
        <v>289</v>
      </c>
      <c r="B209" s="644" t="s">
        <v>215</v>
      </c>
      <c r="C209" s="651" t="s">
        <v>1429</v>
      </c>
      <c r="D209" s="645">
        <v>24019</v>
      </c>
      <c r="E209" s="647">
        <v>45731</v>
      </c>
      <c r="F209" s="646" t="s">
        <v>1704</v>
      </c>
      <c r="G209" s="450" t="s">
        <v>276</v>
      </c>
      <c r="H209" s="452" t="s">
        <v>1668</v>
      </c>
      <c r="I209" s="452" t="s">
        <v>61</v>
      </c>
      <c r="J209" s="452" t="s">
        <v>542</v>
      </c>
      <c r="K209" s="452" t="s">
        <v>43</v>
      </c>
      <c r="L209" s="450" t="s">
        <v>544</v>
      </c>
      <c r="M209" s="450" t="s">
        <v>544</v>
      </c>
      <c r="N209" s="645" t="s">
        <v>13</v>
      </c>
      <c r="O209" s="647">
        <v>45877</v>
      </c>
      <c r="P209" s="647" t="s">
        <v>1754</v>
      </c>
      <c r="Q209" s="647"/>
      <c r="R209" s="452"/>
      <c r="S209" s="452"/>
      <c r="T209" s="452"/>
      <c r="U209" s="452"/>
      <c r="V209" s="647"/>
      <c r="W209" s="647"/>
      <c r="X209" s="647"/>
      <c r="Y209" s="647"/>
      <c r="Z209" s="647"/>
      <c r="AA209" s="647">
        <v>46142</v>
      </c>
      <c r="AB209" s="452">
        <v>4500</v>
      </c>
      <c r="AC209" s="653" t="s">
        <v>1672</v>
      </c>
      <c r="AD209" s="646"/>
    </row>
    <row r="210" spans="1:30" hidden="1" x14ac:dyDescent="0.2">
      <c r="A210" s="644">
        <v>4</v>
      </c>
      <c r="B210" s="645" t="s">
        <v>215</v>
      </c>
      <c r="C210" s="646" t="s">
        <v>274</v>
      </c>
      <c r="D210" s="645">
        <v>21029</v>
      </c>
      <c r="E210" s="647">
        <v>44578</v>
      </c>
      <c r="F210" s="646" t="s">
        <v>145</v>
      </c>
      <c r="G210" s="646" t="s">
        <v>135</v>
      </c>
      <c r="H210" s="648" t="s">
        <v>367</v>
      </c>
      <c r="I210" s="452" t="s">
        <v>51</v>
      </c>
      <c r="J210" s="452" t="s">
        <v>542</v>
      </c>
      <c r="K210" s="645" t="s">
        <v>29</v>
      </c>
      <c r="L210" s="645" t="s">
        <v>544</v>
      </c>
      <c r="M210" s="645" t="s">
        <v>544</v>
      </c>
      <c r="N210" s="645" t="s">
        <v>13</v>
      </c>
      <c r="O210" s="647">
        <v>45154</v>
      </c>
      <c r="P210" s="452" t="s">
        <v>309</v>
      </c>
      <c r="Q210" s="647">
        <v>45873</v>
      </c>
      <c r="R210" s="452" t="s">
        <v>1752</v>
      </c>
      <c r="S210" s="647"/>
      <c r="T210" s="452"/>
      <c r="U210" s="452"/>
      <c r="V210" s="647"/>
      <c r="W210" s="647"/>
      <c r="X210" s="647"/>
      <c r="Y210" s="647"/>
      <c r="Z210" s="647"/>
      <c r="AA210" s="647">
        <v>46111</v>
      </c>
      <c r="AB210" s="452">
        <v>3000</v>
      </c>
      <c r="AC210" s="650" t="s">
        <v>135</v>
      </c>
      <c r="AD210" s="646"/>
    </row>
    <row r="211" spans="1:30" hidden="1" x14ac:dyDescent="0.2">
      <c r="A211" s="644">
        <v>308</v>
      </c>
      <c r="B211" s="644" t="s">
        <v>215</v>
      </c>
      <c r="C211" s="651" t="s">
        <v>1733</v>
      </c>
      <c r="D211" s="645">
        <v>25012</v>
      </c>
      <c r="E211" s="647">
        <v>45838</v>
      </c>
      <c r="F211" s="646" t="s">
        <v>563</v>
      </c>
      <c r="G211" s="450" t="s">
        <v>1734</v>
      </c>
      <c r="H211" s="452" t="s">
        <v>1735</v>
      </c>
      <c r="I211" s="452" t="s">
        <v>15</v>
      </c>
      <c r="J211" s="452" t="s">
        <v>542</v>
      </c>
      <c r="K211" s="452" t="s">
        <v>32</v>
      </c>
      <c r="L211" s="645" t="s">
        <v>542</v>
      </c>
      <c r="M211" s="647">
        <v>45876</v>
      </c>
      <c r="N211" s="645" t="s">
        <v>13</v>
      </c>
      <c r="O211" s="647">
        <v>45838</v>
      </c>
      <c r="P211" s="647" t="s">
        <v>1737</v>
      </c>
      <c r="Q211" s="647"/>
      <c r="R211" s="452"/>
      <c r="S211" s="452"/>
      <c r="T211" s="452"/>
      <c r="U211" s="452"/>
      <c r="V211" s="647"/>
      <c r="W211" s="647"/>
      <c r="X211" s="647"/>
      <c r="Y211" s="647"/>
      <c r="Z211" s="647"/>
      <c r="AA211" s="647">
        <v>45908</v>
      </c>
      <c r="AB211" s="452">
        <v>6000</v>
      </c>
      <c r="AC211" s="653" t="s">
        <v>1677</v>
      </c>
      <c r="AD211" s="646"/>
    </row>
    <row r="212" spans="1:30" hidden="1" x14ac:dyDescent="0.2">
      <c r="A212" s="644">
        <v>309</v>
      </c>
      <c r="B212" s="644" t="s">
        <v>215</v>
      </c>
      <c r="C212" s="651" t="s">
        <v>1152</v>
      </c>
      <c r="D212" s="645">
        <v>24002</v>
      </c>
      <c r="E212" s="647">
        <v>45839</v>
      </c>
      <c r="F212" s="646" t="s">
        <v>1736</v>
      </c>
      <c r="G212" s="450" t="s">
        <v>1637</v>
      </c>
      <c r="H212" s="452" t="s">
        <v>1652</v>
      </c>
      <c r="I212" s="452" t="s">
        <v>51</v>
      </c>
      <c r="J212" s="452" t="s">
        <v>542</v>
      </c>
      <c r="K212" s="452" t="s">
        <v>29</v>
      </c>
      <c r="L212" s="645" t="s">
        <v>544</v>
      </c>
      <c r="M212" s="645" t="s">
        <v>544</v>
      </c>
      <c r="N212" s="645" t="s">
        <v>13</v>
      </c>
      <c r="O212" s="647"/>
      <c r="P212" s="647"/>
      <c r="Q212" s="647"/>
      <c r="R212" s="452"/>
      <c r="S212" s="452"/>
      <c r="T212" s="452"/>
      <c r="U212" s="452"/>
      <c r="V212" s="647"/>
      <c r="W212" s="647"/>
      <c r="X212" s="647"/>
      <c r="Y212" s="647"/>
      <c r="Z212" s="647"/>
      <c r="AA212" s="647">
        <v>45895</v>
      </c>
      <c r="AB212" s="452">
        <v>3000</v>
      </c>
      <c r="AC212" s="653" t="s">
        <v>1663</v>
      </c>
      <c r="AD212" s="646"/>
    </row>
    <row r="213" spans="1:30" ht="25.5" hidden="1" x14ac:dyDescent="0.2">
      <c r="A213" s="644">
        <v>295</v>
      </c>
      <c r="B213" s="644" t="s">
        <v>215</v>
      </c>
      <c r="C213" s="651" t="s">
        <v>1657</v>
      </c>
      <c r="D213" s="645">
        <v>25001</v>
      </c>
      <c r="E213" s="647">
        <v>45728</v>
      </c>
      <c r="F213" s="646" t="s">
        <v>1676</v>
      </c>
      <c r="G213" s="452" t="s">
        <v>46</v>
      </c>
      <c r="H213" s="452" t="s">
        <v>1356</v>
      </c>
      <c r="I213" s="452" t="s">
        <v>5</v>
      </c>
      <c r="J213" s="452" t="s">
        <v>542</v>
      </c>
      <c r="K213" s="452" t="s">
        <v>32</v>
      </c>
      <c r="L213" s="452" t="s">
        <v>542</v>
      </c>
      <c r="M213" s="647">
        <v>45805</v>
      </c>
      <c r="N213" s="645" t="s">
        <v>13</v>
      </c>
      <c r="O213" s="647">
        <v>45804</v>
      </c>
      <c r="P213" s="647" t="s">
        <v>1711</v>
      </c>
      <c r="Q213" s="647"/>
      <c r="R213" s="452"/>
      <c r="S213" s="452"/>
      <c r="T213" s="452"/>
      <c r="U213" s="452"/>
      <c r="V213" s="647"/>
      <c r="W213" s="647"/>
      <c r="X213" s="647"/>
      <c r="Y213" s="647"/>
      <c r="Z213" s="647"/>
      <c r="AA213" s="647">
        <v>45968</v>
      </c>
      <c r="AB213" s="452">
        <v>4500</v>
      </c>
      <c r="AC213" s="653" t="s">
        <v>1677</v>
      </c>
      <c r="AD213" s="646" t="s">
        <v>1681</v>
      </c>
    </row>
    <row r="214" spans="1:30" hidden="1" x14ac:dyDescent="0.2">
      <c r="A214" s="644">
        <v>314</v>
      </c>
      <c r="B214" s="644" t="s">
        <v>215</v>
      </c>
      <c r="C214" s="651" t="s">
        <v>1152</v>
      </c>
      <c r="D214" s="645">
        <v>24002</v>
      </c>
      <c r="E214" s="647">
        <v>45861</v>
      </c>
      <c r="F214" s="646" t="s">
        <v>1643</v>
      </c>
      <c r="G214" s="450" t="s">
        <v>1746</v>
      </c>
      <c r="H214" s="452" t="s">
        <v>1747</v>
      </c>
      <c r="I214" s="452" t="s">
        <v>51</v>
      </c>
      <c r="J214" s="452" t="s">
        <v>542</v>
      </c>
      <c r="K214" s="452" t="s">
        <v>29</v>
      </c>
      <c r="L214" s="645" t="s">
        <v>544</v>
      </c>
      <c r="M214" s="645" t="s">
        <v>544</v>
      </c>
      <c r="N214" s="645" t="s">
        <v>13</v>
      </c>
      <c r="O214" s="647"/>
      <c r="P214" s="647"/>
      <c r="Q214" s="647"/>
      <c r="R214" s="452"/>
      <c r="S214" s="452"/>
      <c r="T214" s="452"/>
      <c r="U214" s="452"/>
      <c r="V214" s="647"/>
      <c r="W214" s="647"/>
      <c r="X214" s="647"/>
      <c r="Y214" s="647"/>
      <c r="Z214" s="647"/>
      <c r="AA214" s="647">
        <v>46130</v>
      </c>
      <c r="AB214" s="452">
        <v>3000</v>
      </c>
      <c r="AC214" s="653" t="s">
        <v>1746</v>
      </c>
      <c r="AD214" s="646"/>
    </row>
    <row r="215" spans="1:30" hidden="1" x14ac:dyDescent="0.2">
      <c r="A215" s="644" t="s">
        <v>1552</v>
      </c>
      <c r="B215" s="644" t="s">
        <v>215</v>
      </c>
      <c r="C215" s="651" t="s">
        <v>1741</v>
      </c>
      <c r="D215" s="645">
        <v>25011</v>
      </c>
      <c r="E215" s="647">
        <v>45579</v>
      </c>
      <c r="F215" s="646" t="s">
        <v>306</v>
      </c>
      <c r="G215" s="646" t="s">
        <v>171</v>
      </c>
      <c r="H215" s="648" t="s">
        <v>1555</v>
      </c>
      <c r="I215" s="452" t="s">
        <v>61</v>
      </c>
      <c r="J215" s="452" t="s">
        <v>542</v>
      </c>
      <c r="K215" s="645" t="s">
        <v>43</v>
      </c>
      <c r="L215" s="645" t="s">
        <v>544</v>
      </c>
      <c r="M215" s="645" t="s">
        <v>544</v>
      </c>
      <c r="N215" s="645" t="s">
        <v>13</v>
      </c>
      <c r="O215" s="647"/>
      <c r="P215" s="647"/>
      <c r="Q215" s="647"/>
      <c r="R215" s="452"/>
      <c r="S215" s="452"/>
      <c r="T215" s="452"/>
      <c r="U215" s="452"/>
      <c r="V215" s="647"/>
      <c r="W215" s="647"/>
      <c r="X215" s="647"/>
      <c r="Y215" s="647"/>
      <c r="Z215" s="647"/>
      <c r="AA215" s="647">
        <v>45975</v>
      </c>
      <c r="AB215" s="452">
        <v>3000</v>
      </c>
      <c r="AC215" s="673" t="s">
        <v>1246</v>
      </c>
      <c r="AD215" s="646" t="s">
        <v>1632</v>
      </c>
    </row>
    <row r="216" spans="1:30" hidden="1" x14ac:dyDescent="0.2">
      <c r="A216" s="644">
        <v>270</v>
      </c>
      <c r="B216" s="644" t="s">
        <v>215</v>
      </c>
      <c r="C216" s="651" t="s">
        <v>1429</v>
      </c>
      <c r="D216" s="645">
        <v>24019</v>
      </c>
      <c r="E216" s="647">
        <v>45640</v>
      </c>
      <c r="F216" s="646" t="s">
        <v>1611</v>
      </c>
      <c r="G216" s="450" t="s">
        <v>166</v>
      </c>
      <c r="H216" s="452" t="s">
        <v>1612</v>
      </c>
      <c r="I216" s="452" t="s">
        <v>61</v>
      </c>
      <c r="J216" s="452" t="s">
        <v>542</v>
      </c>
      <c r="K216" s="452" t="s">
        <v>43</v>
      </c>
      <c r="L216" s="645" t="s">
        <v>544</v>
      </c>
      <c r="M216" s="645" t="s">
        <v>544</v>
      </c>
      <c r="N216" s="645" t="s">
        <v>13</v>
      </c>
      <c r="O216" s="647"/>
      <c r="P216" s="647"/>
      <c r="Q216" s="647"/>
      <c r="R216" s="452"/>
      <c r="S216" s="452"/>
      <c r="T216" s="452"/>
      <c r="U216" s="452"/>
      <c r="V216" s="647"/>
      <c r="W216" s="647"/>
      <c r="X216" s="647"/>
      <c r="Y216" s="647"/>
      <c r="Z216" s="647"/>
      <c r="AA216" s="647">
        <v>46066</v>
      </c>
      <c r="AB216" s="452">
        <v>5000</v>
      </c>
      <c r="AC216" s="654" t="s">
        <v>1140</v>
      </c>
      <c r="AD216" s="646" t="s">
        <v>1630</v>
      </c>
    </row>
    <row r="217" spans="1:30" ht="25.5" hidden="1" x14ac:dyDescent="0.2">
      <c r="A217" s="644">
        <v>315</v>
      </c>
      <c r="B217" s="644" t="s">
        <v>215</v>
      </c>
      <c r="C217" s="651" t="s">
        <v>1429</v>
      </c>
      <c r="D217" s="645">
        <v>24019</v>
      </c>
      <c r="E217" s="647">
        <v>45869</v>
      </c>
      <c r="F217" s="646" t="s">
        <v>1888</v>
      </c>
      <c r="G217" s="450" t="s">
        <v>264</v>
      </c>
      <c r="H217" s="452" t="s">
        <v>1749</v>
      </c>
      <c r="I217" s="452" t="s">
        <v>41</v>
      </c>
      <c r="J217" s="452" t="s">
        <v>542</v>
      </c>
      <c r="K217" s="452" t="s">
        <v>32</v>
      </c>
      <c r="L217" s="450" t="s">
        <v>542</v>
      </c>
      <c r="M217" s="652">
        <v>45870</v>
      </c>
      <c r="N217" s="645" t="s">
        <v>13</v>
      </c>
      <c r="O217" s="647"/>
      <c r="P217" s="647"/>
      <c r="Q217" s="647"/>
      <c r="R217" s="452"/>
      <c r="S217" s="452"/>
      <c r="T217" s="452"/>
      <c r="U217" s="452"/>
      <c r="V217" s="647"/>
      <c r="W217" s="647"/>
      <c r="X217" s="647"/>
      <c r="Y217" s="647"/>
      <c r="Z217" s="647"/>
      <c r="AA217" s="647">
        <v>46010</v>
      </c>
      <c r="AB217" s="452">
        <v>3000</v>
      </c>
      <c r="AC217" s="653" t="s">
        <v>1723</v>
      </c>
      <c r="AD217" s="646" t="s">
        <v>1851</v>
      </c>
    </row>
    <row r="218" spans="1:30" hidden="1" x14ac:dyDescent="0.2">
      <c r="A218" s="644">
        <v>305</v>
      </c>
      <c r="B218" s="644" t="s">
        <v>215</v>
      </c>
      <c r="C218" s="651" t="s">
        <v>1236</v>
      </c>
      <c r="D218" s="645">
        <v>24006</v>
      </c>
      <c r="E218" s="647">
        <v>45810</v>
      </c>
      <c r="F218" s="646" t="s">
        <v>1714</v>
      </c>
      <c r="G218" s="450" t="s">
        <v>117</v>
      </c>
      <c r="H218" s="452" t="s">
        <v>1715</v>
      </c>
      <c r="I218" s="452" t="s">
        <v>16</v>
      </c>
      <c r="J218" s="452" t="s">
        <v>542</v>
      </c>
      <c r="K218" s="452" t="s">
        <v>43</v>
      </c>
      <c r="L218" s="645" t="s">
        <v>544</v>
      </c>
      <c r="M218" s="645" t="s">
        <v>544</v>
      </c>
      <c r="N218" s="645" t="s">
        <v>8</v>
      </c>
      <c r="O218" s="647"/>
      <c r="P218" s="647"/>
      <c r="Q218" s="647"/>
      <c r="R218" s="452"/>
      <c r="S218" s="452"/>
      <c r="T218" s="452"/>
      <c r="U218" s="452"/>
      <c r="V218" s="647"/>
      <c r="W218" s="647"/>
      <c r="X218" s="647"/>
      <c r="Y218" s="647"/>
      <c r="Z218" s="647"/>
      <c r="AA218" s="647">
        <v>46086</v>
      </c>
      <c r="AB218" s="452">
        <v>3000</v>
      </c>
      <c r="AC218" s="653" t="s">
        <v>1716</v>
      </c>
      <c r="AD218" s="646"/>
    </row>
    <row r="219" spans="1:30" hidden="1" x14ac:dyDescent="0.2">
      <c r="A219" s="644">
        <v>319</v>
      </c>
      <c r="B219" s="644" t="s">
        <v>215</v>
      </c>
      <c r="C219" s="651" t="s">
        <v>1657</v>
      </c>
      <c r="D219" s="645">
        <v>25001</v>
      </c>
      <c r="E219" s="647">
        <v>45915</v>
      </c>
      <c r="F219" s="646" t="s">
        <v>1765</v>
      </c>
      <c r="G219" s="450" t="s">
        <v>1661</v>
      </c>
      <c r="H219" s="452" t="s">
        <v>1766</v>
      </c>
      <c r="I219" s="452" t="s">
        <v>5</v>
      </c>
      <c r="J219" s="452" t="s">
        <v>542</v>
      </c>
      <c r="K219" s="452" t="s">
        <v>32</v>
      </c>
      <c r="L219" s="450" t="s">
        <v>542</v>
      </c>
      <c r="M219" s="652">
        <v>45922</v>
      </c>
      <c r="N219" s="645" t="s">
        <v>13</v>
      </c>
      <c r="O219" s="647">
        <v>45922</v>
      </c>
      <c r="P219" s="647" t="s">
        <v>1774</v>
      </c>
      <c r="Q219" s="647"/>
      <c r="R219" s="452"/>
      <c r="S219" s="452"/>
      <c r="T219" s="452"/>
      <c r="U219" s="452"/>
      <c r="V219" s="647"/>
      <c r="W219" s="647"/>
      <c r="X219" s="647"/>
      <c r="Y219" s="647"/>
      <c r="Z219" s="647"/>
      <c r="AA219" s="647">
        <v>46031</v>
      </c>
      <c r="AB219" s="452">
        <v>3000</v>
      </c>
      <c r="AC219" s="653" t="s">
        <v>1661</v>
      </c>
      <c r="AD219" s="646"/>
    </row>
    <row r="220" spans="1:30" ht="25.5" hidden="1" x14ac:dyDescent="0.2">
      <c r="A220" s="644">
        <v>303</v>
      </c>
      <c r="B220" s="644" t="s">
        <v>215</v>
      </c>
      <c r="C220" s="651" t="s">
        <v>1429</v>
      </c>
      <c r="D220" s="645">
        <v>24019</v>
      </c>
      <c r="E220" s="647">
        <v>45782</v>
      </c>
      <c r="F220" s="646" t="s">
        <v>1641</v>
      </c>
      <c r="G220" s="450" t="s">
        <v>264</v>
      </c>
      <c r="H220" s="452" t="s">
        <v>1705</v>
      </c>
      <c r="I220" s="452" t="s">
        <v>61</v>
      </c>
      <c r="J220" s="452" t="s">
        <v>542</v>
      </c>
      <c r="K220" s="452" t="s">
        <v>43</v>
      </c>
      <c r="L220" s="645" t="s">
        <v>544</v>
      </c>
      <c r="M220" s="645" t="s">
        <v>544</v>
      </c>
      <c r="N220" s="645" t="s">
        <v>13</v>
      </c>
      <c r="O220" s="647">
        <v>45794</v>
      </c>
      <c r="P220" s="647" t="s">
        <v>1710</v>
      </c>
      <c r="Q220" s="647"/>
      <c r="R220" s="452"/>
      <c r="S220" s="452"/>
      <c r="T220" s="452"/>
      <c r="U220" s="452"/>
      <c r="V220" s="647"/>
      <c r="W220" s="647"/>
      <c r="X220" s="647"/>
      <c r="Y220" s="647"/>
      <c r="Z220" s="647"/>
      <c r="AA220" s="647">
        <v>46010</v>
      </c>
      <c r="AB220" s="452">
        <v>4500</v>
      </c>
      <c r="AC220" s="653" t="s">
        <v>264</v>
      </c>
      <c r="AD220" s="646" t="s">
        <v>1851</v>
      </c>
    </row>
    <row r="221" spans="1:30" ht="12.75" hidden="1" customHeight="1" x14ac:dyDescent="0.25">
      <c r="A221" s="644">
        <v>279</v>
      </c>
      <c r="B221" s="644" t="s">
        <v>215</v>
      </c>
      <c r="C221" s="651" t="s">
        <v>1562</v>
      </c>
      <c r="D221" s="645">
        <v>24024</v>
      </c>
      <c r="E221" s="647">
        <v>45680</v>
      </c>
      <c r="F221" s="9" t="s">
        <v>1643</v>
      </c>
      <c r="G221" s="646" t="s">
        <v>1240</v>
      </c>
      <c r="H221" s="281" t="s">
        <v>1644</v>
      </c>
      <c r="I221" s="452" t="s">
        <v>1194</v>
      </c>
      <c r="J221" s="452" t="s">
        <v>542</v>
      </c>
      <c r="K221" s="645" t="s">
        <v>29</v>
      </c>
      <c r="L221" s="645" t="s">
        <v>544</v>
      </c>
      <c r="M221" s="645" t="s">
        <v>544</v>
      </c>
      <c r="N221" s="645" t="s">
        <v>13</v>
      </c>
      <c r="O221" s="647">
        <v>46081</v>
      </c>
      <c r="P221" s="647" t="s">
        <v>1898</v>
      </c>
      <c r="Q221" s="647"/>
      <c r="R221" s="452"/>
      <c r="S221" s="452"/>
      <c r="T221" s="452"/>
      <c r="U221" s="452"/>
      <c r="V221" s="647"/>
      <c r="W221" s="647"/>
      <c r="X221" s="647"/>
      <c r="Y221" s="647"/>
      <c r="Z221" s="647"/>
      <c r="AA221" s="647">
        <v>46113</v>
      </c>
      <c r="AB221" s="452">
        <v>3000</v>
      </c>
      <c r="AC221" s="653" t="s">
        <v>1637</v>
      </c>
      <c r="AD221" s="646"/>
    </row>
    <row r="222" spans="1:30" hidden="1" x14ac:dyDescent="0.2">
      <c r="A222" s="644">
        <v>318</v>
      </c>
      <c r="B222" s="644" t="s">
        <v>34</v>
      </c>
      <c r="C222" s="651" t="s">
        <v>1657</v>
      </c>
      <c r="D222" s="645">
        <v>25001</v>
      </c>
      <c r="E222" s="647">
        <v>45911</v>
      </c>
      <c r="F222" s="646" t="s">
        <v>1803</v>
      </c>
      <c r="G222" s="450" t="s">
        <v>1689</v>
      </c>
      <c r="H222" s="648" t="s">
        <v>1764</v>
      </c>
      <c r="I222" s="452" t="s">
        <v>697</v>
      </c>
      <c r="J222" s="452" t="s">
        <v>542</v>
      </c>
      <c r="K222" s="452" t="s">
        <v>29</v>
      </c>
      <c r="L222" s="645" t="s">
        <v>544</v>
      </c>
      <c r="M222" s="645" t="s">
        <v>544</v>
      </c>
      <c r="N222" s="645" t="s">
        <v>13</v>
      </c>
      <c r="O222" s="647"/>
      <c r="P222" s="647"/>
      <c r="Q222" s="647"/>
      <c r="R222" s="452"/>
      <c r="S222" s="452"/>
      <c r="T222" s="452"/>
      <c r="U222" s="452"/>
      <c r="V222" s="647"/>
      <c r="W222" s="647"/>
      <c r="X222" s="647"/>
      <c r="Y222" s="647"/>
      <c r="Z222" s="647"/>
      <c r="AA222" s="647"/>
      <c r="AB222" s="452">
        <v>3000</v>
      </c>
      <c r="AC222" s="653" t="s">
        <v>1689</v>
      </c>
      <c r="AD222" s="646"/>
    </row>
    <row r="223" spans="1:30" hidden="1" x14ac:dyDescent="0.2">
      <c r="A223" s="644">
        <v>320</v>
      </c>
      <c r="B223" s="644" t="s">
        <v>34</v>
      </c>
      <c r="C223" s="651" t="s">
        <v>1767</v>
      </c>
      <c r="D223" s="645">
        <v>25018</v>
      </c>
      <c r="E223" s="647">
        <v>45916</v>
      </c>
      <c r="F223" s="646" t="s">
        <v>1377</v>
      </c>
      <c r="G223" s="450" t="s">
        <v>1689</v>
      </c>
      <c r="H223" s="452" t="s">
        <v>1768</v>
      </c>
      <c r="I223" s="452" t="s">
        <v>109</v>
      </c>
      <c r="J223" s="452" t="s">
        <v>542</v>
      </c>
      <c r="K223" s="452" t="s">
        <v>43</v>
      </c>
      <c r="L223" s="645" t="s">
        <v>544</v>
      </c>
      <c r="M223" s="645" t="s">
        <v>544</v>
      </c>
      <c r="N223" s="645" t="s">
        <v>13</v>
      </c>
      <c r="O223" s="647"/>
      <c r="P223" s="647"/>
      <c r="Q223" s="647"/>
      <c r="R223" s="452"/>
      <c r="S223" s="452"/>
      <c r="T223" s="452"/>
      <c r="U223" s="452"/>
      <c r="V223" s="647"/>
      <c r="W223" s="647"/>
      <c r="X223" s="647"/>
      <c r="Y223" s="647"/>
      <c r="Z223" s="647"/>
      <c r="AA223" s="647"/>
      <c r="AB223" s="452">
        <v>3000</v>
      </c>
      <c r="AC223" s="653" t="s">
        <v>1689</v>
      </c>
      <c r="AD223" s="646"/>
    </row>
    <row r="224" spans="1:30" hidden="1" x14ac:dyDescent="0.2">
      <c r="A224" s="644">
        <v>321</v>
      </c>
      <c r="B224" s="644" t="s">
        <v>215</v>
      </c>
      <c r="C224" s="651" t="s">
        <v>1152</v>
      </c>
      <c r="D224" s="645">
        <v>24002</v>
      </c>
      <c r="E224" s="647">
        <v>45922</v>
      </c>
      <c r="F224" s="646" t="s">
        <v>1655</v>
      </c>
      <c r="G224" s="450" t="s">
        <v>1637</v>
      </c>
      <c r="H224" s="452" t="s">
        <v>1770</v>
      </c>
      <c r="I224" s="452" t="s">
        <v>91</v>
      </c>
      <c r="J224" s="452" t="s">
        <v>542</v>
      </c>
      <c r="K224" s="452" t="s">
        <v>29</v>
      </c>
      <c r="L224" s="645" t="s">
        <v>544</v>
      </c>
      <c r="M224" s="645" t="s">
        <v>544</v>
      </c>
      <c r="N224" s="645" t="s">
        <v>13</v>
      </c>
      <c r="O224" s="647"/>
      <c r="P224" s="647"/>
      <c r="Q224" s="647"/>
      <c r="R224" s="452"/>
      <c r="S224" s="452"/>
      <c r="T224" s="452"/>
      <c r="U224" s="452"/>
      <c r="V224" s="647"/>
      <c r="W224" s="647"/>
      <c r="X224" s="647"/>
      <c r="Y224" s="647"/>
      <c r="Z224" s="647"/>
      <c r="AA224" s="647">
        <v>46015</v>
      </c>
      <c r="AB224" s="452">
        <v>3000</v>
      </c>
      <c r="AC224" s="653" t="s">
        <v>1663</v>
      </c>
      <c r="AD224" s="646"/>
    </row>
    <row r="225" spans="1:30" s="452" customFormat="1" ht="25.5" hidden="1" x14ac:dyDescent="0.25">
      <c r="A225" s="644">
        <v>322</v>
      </c>
      <c r="B225" s="644" t="s">
        <v>215</v>
      </c>
      <c r="C225" s="651" t="s">
        <v>1771</v>
      </c>
      <c r="D225" s="645">
        <v>25018</v>
      </c>
      <c r="E225" s="647">
        <v>45922</v>
      </c>
      <c r="F225" s="646" t="s">
        <v>1772</v>
      </c>
      <c r="G225" s="452" t="s">
        <v>1689</v>
      </c>
      <c r="H225" s="452" t="s">
        <v>1773</v>
      </c>
      <c r="I225" s="452" t="s">
        <v>61</v>
      </c>
      <c r="J225" s="452" t="s">
        <v>542</v>
      </c>
      <c r="K225" s="452" t="s">
        <v>43</v>
      </c>
      <c r="L225" s="645" t="s">
        <v>544</v>
      </c>
      <c r="M225" s="645" t="s">
        <v>544</v>
      </c>
      <c r="N225" s="645" t="s">
        <v>13</v>
      </c>
      <c r="O225" s="647"/>
      <c r="P225" s="647"/>
      <c r="Q225" s="647"/>
      <c r="V225" s="647"/>
      <c r="W225" s="647"/>
      <c r="X225" s="647"/>
      <c r="Y225" s="647"/>
      <c r="Z225" s="647"/>
      <c r="AA225" s="647">
        <v>46089</v>
      </c>
      <c r="AB225" s="452">
        <v>3000</v>
      </c>
      <c r="AC225" s="653" t="s">
        <v>1689</v>
      </c>
      <c r="AD225" s="646"/>
    </row>
    <row r="226" spans="1:30" hidden="1" x14ac:dyDescent="0.2">
      <c r="A226" s="644">
        <v>323</v>
      </c>
      <c r="B226" s="644" t="s">
        <v>215</v>
      </c>
      <c r="C226" s="651" t="s">
        <v>1657</v>
      </c>
      <c r="D226" s="645">
        <v>25001</v>
      </c>
      <c r="E226" s="647">
        <v>45922</v>
      </c>
      <c r="F226" s="646" t="s">
        <v>1775</v>
      </c>
      <c r="G226" s="450" t="s">
        <v>1689</v>
      </c>
      <c r="H226" s="452" t="s">
        <v>1776</v>
      </c>
      <c r="I226" s="452" t="s">
        <v>5</v>
      </c>
      <c r="J226" s="452" t="s">
        <v>542</v>
      </c>
      <c r="K226" s="452" t="s">
        <v>247</v>
      </c>
      <c r="L226" s="450" t="s">
        <v>542</v>
      </c>
      <c r="M226" s="652">
        <v>45922</v>
      </c>
      <c r="N226" s="645" t="s">
        <v>13</v>
      </c>
      <c r="O226" s="647"/>
      <c r="P226" s="647"/>
      <c r="Q226" s="647"/>
      <c r="R226" s="452"/>
      <c r="S226" s="452"/>
      <c r="T226" s="452"/>
      <c r="U226" s="452"/>
      <c r="V226" s="647"/>
      <c r="W226" s="647"/>
      <c r="X226" s="647"/>
      <c r="Y226" s="647"/>
      <c r="Z226" s="647"/>
      <c r="AA226" s="647">
        <v>46031</v>
      </c>
      <c r="AB226" s="452">
        <v>3000</v>
      </c>
      <c r="AC226" s="653" t="s">
        <v>1689</v>
      </c>
      <c r="AD226" s="646"/>
    </row>
    <row r="227" spans="1:30" hidden="1" x14ac:dyDescent="0.2">
      <c r="A227" s="644">
        <v>324</v>
      </c>
      <c r="B227" s="644" t="s">
        <v>215</v>
      </c>
      <c r="C227" s="651" t="s">
        <v>1236</v>
      </c>
      <c r="D227" s="645">
        <v>24006</v>
      </c>
      <c r="E227" s="647">
        <v>45920</v>
      </c>
      <c r="F227" s="646" t="s">
        <v>1762</v>
      </c>
      <c r="G227" s="450" t="s">
        <v>264</v>
      </c>
      <c r="H227" s="452" t="s">
        <v>1777</v>
      </c>
      <c r="I227" s="452" t="s">
        <v>61</v>
      </c>
      <c r="J227" s="452" t="s">
        <v>542</v>
      </c>
      <c r="K227" s="452" t="s">
        <v>62</v>
      </c>
      <c r="L227" s="645" t="s">
        <v>544</v>
      </c>
      <c r="M227" s="645" t="s">
        <v>544</v>
      </c>
      <c r="N227" s="645" t="s">
        <v>13</v>
      </c>
      <c r="O227" s="647"/>
      <c r="P227" s="647"/>
      <c r="Q227" s="647"/>
      <c r="R227" s="452"/>
      <c r="S227" s="452"/>
      <c r="T227" s="452"/>
      <c r="U227" s="452"/>
      <c r="V227" s="647"/>
      <c r="W227" s="647"/>
      <c r="X227" s="647"/>
      <c r="Y227" s="647"/>
      <c r="Z227" s="647"/>
      <c r="AA227" s="647">
        <v>46081</v>
      </c>
      <c r="AB227" s="452">
        <v>3000</v>
      </c>
      <c r="AC227" s="653" t="s">
        <v>264</v>
      </c>
      <c r="AD227" s="646"/>
    </row>
    <row r="228" spans="1:30" hidden="1" x14ac:dyDescent="0.2">
      <c r="A228" s="644">
        <v>325</v>
      </c>
      <c r="B228" s="644" t="s">
        <v>215</v>
      </c>
      <c r="C228" s="651" t="s">
        <v>1767</v>
      </c>
      <c r="D228" s="645">
        <v>25018</v>
      </c>
      <c r="E228" s="647">
        <v>45922</v>
      </c>
      <c r="F228" s="646" t="s">
        <v>1903</v>
      </c>
      <c r="G228" s="450" t="s">
        <v>1689</v>
      </c>
      <c r="H228" s="452" t="s">
        <v>1779</v>
      </c>
      <c r="I228" s="452" t="s">
        <v>61</v>
      </c>
      <c r="J228" s="452" t="s">
        <v>542</v>
      </c>
      <c r="K228" s="452" t="s">
        <v>62</v>
      </c>
      <c r="L228" s="645" t="s">
        <v>544</v>
      </c>
      <c r="M228" s="645" t="s">
        <v>544</v>
      </c>
      <c r="N228" s="645" t="s">
        <v>13</v>
      </c>
      <c r="O228" s="647"/>
      <c r="P228" s="647"/>
      <c r="Q228" s="647"/>
      <c r="R228" s="452"/>
      <c r="S228" s="452"/>
      <c r="T228" s="452"/>
      <c r="U228" s="452"/>
      <c r="V228" s="647"/>
      <c r="W228" s="647"/>
      <c r="X228" s="647"/>
      <c r="Y228" s="647"/>
      <c r="Z228" s="647"/>
      <c r="AA228" s="647">
        <v>46122</v>
      </c>
      <c r="AB228" s="452">
        <v>3000</v>
      </c>
      <c r="AC228" s="653" t="s">
        <v>1689</v>
      </c>
      <c r="AD228" s="646"/>
    </row>
    <row r="229" spans="1:30" ht="25.5" hidden="1" x14ac:dyDescent="0.2">
      <c r="A229" s="644">
        <v>326</v>
      </c>
      <c r="B229" s="644" t="s">
        <v>215</v>
      </c>
      <c r="C229" s="651" t="s">
        <v>1771</v>
      </c>
      <c r="D229" s="645">
        <v>25018</v>
      </c>
      <c r="E229" s="647">
        <v>45931</v>
      </c>
      <c r="F229" s="646" t="s">
        <v>1603</v>
      </c>
      <c r="G229" s="452" t="s">
        <v>1661</v>
      </c>
      <c r="H229" s="452" t="s">
        <v>1802</v>
      </c>
      <c r="I229" s="452" t="s">
        <v>109</v>
      </c>
      <c r="J229" s="452" t="s">
        <v>542</v>
      </c>
      <c r="K229" s="452" t="s">
        <v>62</v>
      </c>
      <c r="L229" s="645" t="s">
        <v>544</v>
      </c>
      <c r="M229" s="645" t="s">
        <v>544</v>
      </c>
      <c r="N229" s="645" t="s">
        <v>13</v>
      </c>
      <c r="O229" s="647"/>
      <c r="P229" s="647"/>
      <c r="Q229" s="647"/>
      <c r="R229" s="452"/>
      <c r="S229" s="452"/>
      <c r="T229" s="452"/>
      <c r="U229" s="452"/>
      <c r="V229" s="647"/>
      <c r="W229" s="647"/>
      <c r="X229" s="647"/>
      <c r="Y229" s="647"/>
      <c r="Z229" s="647"/>
      <c r="AA229" s="647">
        <v>46181</v>
      </c>
      <c r="AB229" s="452">
        <v>4500</v>
      </c>
      <c r="AC229" s="653" t="s">
        <v>1661</v>
      </c>
      <c r="AD229" s="646"/>
    </row>
    <row r="230" spans="1:30" hidden="1" x14ac:dyDescent="0.2">
      <c r="A230" s="644">
        <v>327</v>
      </c>
      <c r="B230" s="644" t="s">
        <v>215</v>
      </c>
      <c r="C230" s="651" t="s">
        <v>1657</v>
      </c>
      <c r="D230" s="645">
        <v>25001</v>
      </c>
      <c r="E230" s="647">
        <v>45941</v>
      </c>
      <c r="F230" s="646" t="s">
        <v>1803</v>
      </c>
      <c r="G230" s="450" t="s">
        <v>1689</v>
      </c>
      <c r="H230" s="648" t="s">
        <v>1804</v>
      </c>
      <c r="I230" s="452" t="s">
        <v>697</v>
      </c>
      <c r="J230" s="452" t="s">
        <v>542</v>
      </c>
      <c r="K230" s="452" t="s">
        <v>29</v>
      </c>
      <c r="L230" s="645" t="s">
        <v>544</v>
      </c>
      <c r="M230" s="645" t="s">
        <v>544</v>
      </c>
      <c r="N230" s="645" t="s">
        <v>13</v>
      </c>
      <c r="O230" s="647"/>
      <c r="P230" s="647"/>
      <c r="Q230" s="647"/>
      <c r="R230" s="452"/>
      <c r="S230" s="452"/>
      <c r="T230" s="452"/>
      <c r="U230" s="452"/>
      <c r="V230" s="647"/>
      <c r="W230" s="647"/>
      <c r="X230" s="647"/>
      <c r="Y230" s="647"/>
      <c r="Z230" s="647"/>
      <c r="AA230" s="647">
        <v>46150</v>
      </c>
      <c r="AB230" s="452">
        <v>3000</v>
      </c>
      <c r="AC230" s="653" t="s">
        <v>1689</v>
      </c>
      <c r="AD230" s="646"/>
    </row>
    <row r="231" spans="1:30" hidden="1" x14ac:dyDescent="0.2">
      <c r="A231" s="644">
        <v>328</v>
      </c>
      <c r="B231" s="644" t="s">
        <v>34</v>
      </c>
      <c r="C231" s="651" t="s">
        <v>1767</v>
      </c>
      <c r="D231" s="645">
        <v>25018</v>
      </c>
      <c r="E231" s="647">
        <v>45944</v>
      </c>
      <c r="F231" s="646" t="s">
        <v>1805</v>
      </c>
      <c r="G231" s="450" t="s">
        <v>1689</v>
      </c>
      <c r="H231" s="452" t="s">
        <v>1806</v>
      </c>
      <c r="I231" s="452" t="s">
        <v>1468</v>
      </c>
      <c r="J231" s="452" t="s">
        <v>542</v>
      </c>
      <c r="K231" s="452" t="s">
        <v>62</v>
      </c>
      <c r="L231" s="645" t="s">
        <v>544</v>
      </c>
      <c r="M231" s="645" t="s">
        <v>544</v>
      </c>
      <c r="N231" s="645" t="s">
        <v>13</v>
      </c>
      <c r="O231" s="647">
        <v>45969</v>
      </c>
      <c r="P231" s="647" t="s">
        <v>1822</v>
      </c>
      <c r="Q231" s="647"/>
      <c r="R231" s="452"/>
      <c r="S231" s="452"/>
      <c r="T231" s="452"/>
      <c r="U231" s="452"/>
      <c r="V231" s="647"/>
      <c r="W231" s="647"/>
      <c r="X231" s="647"/>
      <c r="Y231" s="647"/>
      <c r="Z231" s="647"/>
      <c r="AA231" s="647"/>
      <c r="AB231" s="452">
        <v>3000</v>
      </c>
      <c r="AC231" s="653" t="s">
        <v>1689</v>
      </c>
      <c r="AD231" s="646"/>
    </row>
    <row r="232" spans="1:30" ht="25.5" hidden="1" x14ac:dyDescent="0.2">
      <c r="A232" s="644">
        <v>329</v>
      </c>
      <c r="B232" s="644" t="s">
        <v>34</v>
      </c>
      <c r="C232" s="651" t="s">
        <v>1771</v>
      </c>
      <c r="D232" s="645">
        <v>25018</v>
      </c>
      <c r="E232" s="647">
        <v>45943</v>
      </c>
      <c r="F232" s="646" t="s">
        <v>1807</v>
      </c>
      <c r="G232" s="452" t="s">
        <v>1689</v>
      </c>
      <c r="H232" s="452" t="s">
        <v>1808</v>
      </c>
      <c r="I232" s="452" t="s">
        <v>109</v>
      </c>
      <c r="J232" s="452" t="s">
        <v>542</v>
      </c>
      <c r="K232" s="452" t="s">
        <v>62</v>
      </c>
      <c r="L232" s="645" t="s">
        <v>544</v>
      </c>
      <c r="M232" s="645" t="s">
        <v>544</v>
      </c>
      <c r="N232" s="645" t="s">
        <v>13</v>
      </c>
      <c r="O232" s="647"/>
      <c r="P232" s="647"/>
      <c r="Q232" s="647"/>
      <c r="R232" s="452"/>
      <c r="S232" s="452"/>
      <c r="T232" s="452"/>
      <c r="U232" s="452"/>
      <c r="V232" s="647"/>
      <c r="W232" s="647"/>
      <c r="X232" s="647"/>
      <c r="Y232" s="647"/>
      <c r="Z232" s="647"/>
      <c r="AA232" s="647"/>
      <c r="AB232" s="452">
        <v>4500</v>
      </c>
      <c r="AC232" s="653" t="s">
        <v>1689</v>
      </c>
      <c r="AD232" s="646"/>
    </row>
    <row r="233" spans="1:30" ht="25.5" hidden="1" x14ac:dyDescent="0.2">
      <c r="A233" s="644">
        <v>330</v>
      </c>
      <c r="B233" s="644" t="s">
        <v>215</v>
      </c>
      <c r="C233" s="651" t="s">
        <v>1771</v>
      </c>
      <c r="D233" s="645">
        <v>25018</v>
      </c>
      <c r="E233" s="647">
        <v>45944</v>
      </c>
      <c r="F233" s="646" t="s">
        <v>1809</v>
      </c>
      <c r="G233" s="452" t="s">
        <v>1661</v>
      </c>
      <c r="H233" s="452" t="s">
        <v>1810</v>
      </c>
      <c r="I233" s="452" t="s">
        <v>61</v>
      </c>
      <c r="J233" s="452" t="s">
        <v>542</v>
      </c>
      <c r="K233" s="452" t="s">
        <v>62</v>
      </c>
      <c r="L233" s="645" t="s">
        <v>544</v>
      </c>
      <c r="M233" s="645" t="s">
        <v>544</v>
      </c>
      <c r="N233" s="645" t="s">
        <v>13</v>
      </c>
      <c r="O233" s="647"/>
      <c r="P233" s="647"/>
      <c r="Q233" s="647"/>
      <c r="R233" s="452"/>
      <c r="S233" s="452"/>
      <c r="T233" s="452"/>
      <c r="U233" s="452"/>
      <c r="V233" s="647"/>
      <c r="W233" s="647"/>
      <c r="X233" s="647"/>
      <c r="Y233" s="647"/>
      <c r="Z233" s="647"/>
      <c r="AA233" s="647">
        <v>46102</v>
      </c>
      <c r="AB233" s="452">
        <v>3000</v>
      </c>
      <c r="AC233" s="653" t="s">
        <v>1661</v>
      </c>
      <c r="AD233" s="646"/>
    </row>
    <row r="234" spans="1:30" ht="25.5" hidden="1" x14ac:dyDescent="0.2">
      <c r="A234" s="644">
        <v>331</v>
      </c>
      <c r="B234" s="644" t="s">
        <v>215</v>
      </c>
      <c r="C234" s="651" t="s">
        <v>1771</v>
      </c>
      <c r="D234" s="645">
        <v>25018</v>
      </c>
      <c r="E234" s="647">
        <v>45950</v>
      </c>
      <c r="F234" s="646" t="s">
        <v>1812</v>
      </c>
      <c r="G234" s="452" t="s">
        <v>1689</v>
      </c>
      <c r="H234" s="452" t="s">
        <v>1811</v>
      </c>
      <c r="I234" s="452" t="s">
        <v>109</v>
      </c>
      <c r="J234" s="452" t="s">
        <v>542</v>
      </c>
      <c r="K234" s="452" t="s">
        <v>62</v>
      </c>
      <c r="L234" s="645" t="s">
        <v>544</v>
      </c>
      <c r="M234" s="645" t="s">
        <v>544</v>
      </c>
      <c r="N234" s="645" t="s">
        <v>13</v>
      </c>
      <c r="O234" s="647"/>
      <c r="P234" s="647"/>
      <c r="Q234" s="647"/>
      <c r="R234" s="452"/>
      <c r="S234" s="452"/>
      <c r="T234" s="452"/>
      <c r="U234" s="452"/>
      <c r="V234" s="647"/>
      <c r="W234" s="647"/>
      <c r="X234" s="647"/>
      <c r="Y234" s="647"/>
      <c r="Z234" s="647"/>
      <c r="AA234" s="647">
        <v>46125</v>
      </c>
      <c r="AB234" s="452">
        <v>3000</v>
      </c>
      <c r="AC234" s="653" t="s">
        <v>1689</v>
      </c>
      <c r="AD234" s="646"/>
    </row>
    <row r="235" spans="1:30" hidden="1" x14ac:dyDescent="0.2">
      <c r="A235" s="644">
        <v>332</v>
      </c>
      <c r="B235" s="644" t="s">
        <v>34</v>
      </c>
      <c r="C235" s="651" t="s">
        <v>1657</v>
      </c>
      <c r="D235" s="645">
        <v>25001</v>
      </c>
      <c r="E235" s="647">
        <v>45955</v>
      </c>
      <c r="F235" s="646" t="s">
        <v>1289</v>
      </c>
      <c r="G235" s="450" t="s">
        <v>1661</v>
      </c>
      <c r="H235" s="648" t="s">
        <v>1815</v>
      </c>
      <c r="I235" s="452" t="s">
        <v>51</v>
      </c>
      <c r="J235" s="452" t="s">
        <v>542</v>
      </c>
      <c r="K235" s="452" t="s">
        <v>29</v>
      </c>
      <c r="L235" s="450" t="s">
        <v>544</v>
      </c>
      <c r="M235" s="450" t="s">
        <v>544</v>
      </c>
      <c r="N235" s="645" t="s">
        <v>13</v>
      </c>
      <c r="O235" s="647"/>
      <c r="P235" s="647"/>
      <c r="Q235" s="647"/>
      <c r="R235" s="452"/>
      <c r="S235" s="452"/>
      <c r="T235" s="452"/>
      <c r="U235" s="452"/>
      <c r="V235" s="647"/>
      <c r="W235" s="647"/>
      <c r="X235" s="647"/>
      <c r="Y235" s="647"/>
      <c r="Z235" s="647"/>
      <c r="AA235" s="647"/>
      <c r="AB235" s="452">
        <v>3000</v>
      </c>
      <c r="AC235" s="653" t="s">
        <v>1661</v>
      </c>
      <c r="AD235" s="646"/>
    </row>
    <row r="236" spans="1:30" hidden="1" x14ac:dyDescent="0.2">
      <c r="A236" s="644">
        <v>333</v>
      </c>
      <c r="B236" s="644" t="s">
        <v>34</v>
      </c>
      <c r="C236" s="651" t="s">
        <v>1767</v>
      </c>
      <c r="D236" s="645">
        <v>25018</v>
      </c>
      <c r="E236" s="647">
        <v>45962</v>
      </c>
      <c r="F236" s="646" t="s">
        <v>1447</v>
      </c>
      <c r="G236" s="450" t="s">
        <v>1689</v>
      </c>
      <c r="H236" s="452" t="s">
        <v>1816</v>
      </c>
      <c r="I236" s="452" t="s">
        <v>61</v>
      </c>
      <c r="J236" s="452" t="s">
        <v>542</v>
      </c>
      <c r="K236" s="452" t="s">
        <v>62</v>
      </c>
      <c r="L236" s="645" t="s">
        <v>544</v>
      </c>
      <c r="M236" s="645" t="s">
        <v>544</v>
      </c>
      <c r="N236" s="645" t="s">
        <v>13</v>
      </c>
      <c r="O236" s="647">
        <v>46163</v>
      </c>
      <c r="P236" s="647" t="s">
        <v>1945</v>
      </c>
      <c r="Q236" s="647"/>
      <c r="R236" s="452"/>
      <c r="S236" s="452"/>
      <c r="T236" s="452"/>
      <c r="U236" s="452"/>
      <c r="V236" s="647"/>
      <c r="W236" s="647"/>
      <c r="X236" s="647"/>
      <c r="Y236" s="647"/>
      <c r="Z236" s="647"/>
      <c r="AA236" s="647"/>
      <c r="AB236" s="452">
        <v>3000</v>
      </c>
      <c r="AC236" s="653" t="s">
        <v>1689</v>
      </c>
      <c r="AD236" s="646"/>
    </row>
    <row r="237" spans="1:30" hidden="1" x14ac:dyDescent="0.2">
      <c r="A237" s="644">
        <v>334</v>
      </c>
      <c r="B237" s="644" t="s">
        <v>34</v>
      </c>
      <c r="C237" s="651" t="s">
        <v>1767</v>
      </c>
      <c r="D237" s="645">
        <v>25018</v>
      </c>
      <c r="E237" s="647">
        <v>45965</v>
      </c>
      <c r="F237" s="646" t="s">
        <v>1750</v>
      </c>
      <c r="G237" s="450" t="s">
        <v>1661</v>
      </c>
      <c r="H237" s="452" t="s">
        <v>1818</v>
      </c>
      <c r="I237" s="452" t="s">
        <v>61</v>
      </c>
      <c r="J237" s="452" t="s">
        <v>542</v>
      </c>
      <c r="K237" s="452" t="s">
        <v>62</v>
      </c>
      <c r="L237" s="645" t="s">
        <v>544</v>
      </c>
      <c r="M237" s="645" t="s">
        <v>544</v>
      </c>
      <c r="N237" s="645" t="s">
        <v>13</v>
      </c>
      <c r="O237" s="647"/>
      <c r="P237" s="647"/>
      <c r="Q237" s="647"/>
      <c r="R237" s="452"/>
      <c r="S237" s="452"/>
      <c r="T237" s="452"/>
      <c r="U237" s="452"/>
      <c r="V237" s="647"/>
      <c r="W237" s="647"/>
      <c r="X237" s="647"/>
      <c r="Y237" s="647"/>
      <c r="Z237" s="647"/>
      <c r="AA237" s="647"/>
      <c r="AB237" s="452">
        <v>3000</v>
      </c>
      <c r="AC237" s="653" t="s">
        <v>1661</v>
      </c>
      <c r="AD237" s="646"/>
    </row>
    <row r="238" spans="1:30" s="452" customFormat="1" ht="25.5" hidden="1" x14ac:dyDescent="0.25">
      <c r="A238" s="644">
        <v>335</v>
      </c>
      <c r="B238" s="644" t="s">
        <v>34</v>
      </c>
      <c r="C238" s="651" t="s">
        <v>1771</v>
      </c>
      <c r="D238" s="645">
        <v>25018</v>
      </c>
      <c r="E238" s="647">
        <v>45967</v>
      </c>
      <c r="F238" s="646" t="s">
        <v>1819</v>
      </c>
      <c r="G238" s="452" t="s">
        <v>1689</v>
      </c>
      <c r="H238" s="452" t="s">
        <v>1848</v>
      </c>
      <c r="I238" s="452" t="s">
        <v>109</v>
      </c>
      <c r="J238" s="452" t="s">
        <v>542</v>
      </c>
      <c r="K238" s="452" t="s">
        <v>62</v>
      </c>
      <c r="L238" s="645" t="s">
        <v>544</v>
      </c>
      <c r="M238" s="645" t="s">
        <v>544</v>
      </c>
      <c r="N238" s="645" t="s">
        <v>13</v>
      </c>
      <c r="O238" s="647"/>
      <c r="P238" s="647"/>
      <c r="Q238" s="647"/>
      <c r="V238" s="647"/>
      <c r="W238" s="647"/>
      <c r="X238" s="647"/>
      <c r="Y238" s="647"/>
      <c r="Z238" s="647"/>
      <c r="AA238" s="647"/>
      <c r="AB238" s="452">
        <v>3000</v>
      </c>
      <c r="AC238" s="653" t="s">
        <v>1689</v>
      </c>
      <c r="AD238" s="646"/>
    </row>
    <row r="239" spans="1:30" hidden="1" x14ac:dyDescent="0.2">
      <c r="A239" s="644">
        <v>336</v>
      </c>
      <c r="B239" s="644" t="s">
        <v>215</v>
      </c>
      <c r="C239" s="651" t="s">
        <v>1657</v>
      </c>
      <c r="D239" s="645">
        <v>25001</v>
      </c>
      <c r="E239" s="647">
        <v>45968</v>
      </c>
      <c r="F239" s="646" t="s">
        <v>1676</v>
      </c>
      <c r="G239" s="450" t="s">
        <v>1820</v>
      </c>
      <c r="H239" s="452" t="s">
        <v>1821</v>
      </c>
      <c r="I239" s="452" t="s">
        <v>41</v>
      </c>
      <c r="J239" s="452" t="s">
        <v>542</v>
      </c>
      <c r="K239" s="452" t="s">
        <v>32</v>
      </c>
      <c r="L239" s="450" t="s">
        <v>542</v>
      </c>
      <c r="M239" s="652">
        <v>45974</v>
      </c>
      <c r="N239" s="645" t="s">
        <v>13</v>
      </c>
      <c r="O239" s="647"/>
      <c r="P239" s="647"/>
      <c r="Q239" s="647"/>
      <c r="R239" s="452"/>
      <c r="S239" s="452"/>
      <c r="T239" s="452"/>
      <c r="U239" s="452"/>
      <c r="V239" s="647"/>
      <c r="W239" s="647"/>
      <c r="X239" s="647"/>
      <c r="Y239" s="647"/>
      <c r="Z239" s="647"/>
      <c r="AA239" s="647">
        <v>46060</v>
      </c>
      <c r="AB239" s="452">
        <v>3000</v>
      </c>
      <c r="AC239" s="653" t="s">
        <v>1677</v>
      </c>
      <c r="AD239" s="646"/>
    </row>
    <row r="240" spans="1:30" hidden="1" x14ac:dyDescent="0.2">
      <c r="A240" s="644">
        <v>337</v>
      </c>
      <c r="B240" s="644" t="s">
        <v>34</v>
      </c>
      <c r="C240" s="651" t="s">
        <v>1767</v>
      </c>
      <c r="D240" s="645">
        <v>25018</v>
      </c>
      <c r="E240" s="647">
        <v>45971</v>
      </c>
      <c r="F240" s="646" t="s">
        <v>1823</v>
      </c>
      <c r="G240" s="450" t="s">
        <v>1661</v>
      </c>
      <c r="H240" s="452" t="s">
        <v>1824</v>
      </c>
      <c r="I240" s="452" t="s">
        <v>61</v>
      </c>
      <c r="J240" s="452" t="s">
        <v>542</v>
      </c>
      <c r="K240" s="452" t="s">
        <v>62</v>
      </c>
      <c r="L240" s="645" t="s">
        <v>544</v>
      </c>
      <c r="M240" s="645" t="s">
        <v>544</v>
      </c>
      <c r="N240" s="645" t="s">
        <v>13</v>
      </c>
      <c r="O240" s="647"/>
      <c r="P240" s="647"/>
      <c r="Q240" s="647"/>
      <c r="R240" s="452"/>
      <c r="S240" s="452"/>
      <c r="T240" s="452"/>
      <c r="U240" s="452"/>
      <c r="V240" s="647"/>
      <c r="W240" s="647"/>
      <c r="X240" s="647"/>
      <c r="Y240" s="647"/>
      <c r="Z240" s="647"/>
      <c r="AA240" s="647"/>
      <c r="AB240" s="452">
        <v>4500</v>
      </c>
      <c r="AC240" s="653" t="s">
        <v>1661</v>
      </c>
      <c r="AD240" s="646"/>
    </row>
    <row r="241" spans="1:30" s="452" customFormat="1" ht="25.5" hidden="1" x14ac:dyDescent="0.25">
      <c r="A241" s="644">
        <v>338</v>
      </c>
      <c r="B241" s="644" t="s">
        <v>34</v>
      </c>
      <c r="C241" s="651" t="s">
        <v>1830</v>
      </c>
      <c r="D241" s="645">
        <v>24011</v>
      </c>
      <c r="E241" s="647">
        <v>45975</v>
      </c>
      <c r="F241" s="646" t="s">
        <v>306</v>
      </c>
      <c r="G241" s="452" t="s">
        <v>1829</v>
      </c>
      <c r="H241" s="452" t="s">
        <v>1828</v>
      </c>
      <c r="I241" s="452" t="s">
        <v>109</v>
      </c>
      <c r="J241" s="452" t="s">
        <v>542</v>
      </c>
      <c r="K241" s="452" t="s">
        <v>62</v>
      </c>
      <c r="L241" s="645" t="s">
        <v>544</v>
      </c>
      <c r="M241" s="645" t="s">
        <v>544</v>
      </c>
      <c r="N241" s="645" t="s">
        <v>13</v>
      </c>
      <c r="O241" s="647"/>
      <c r="P241" s="647"/>
      <c r="Q241" s="647"/>
      <c r="V241" s="647"/>
      <c r="W241" s="647"/>
      <c r="X241" s="647"/>
      <c r="Y241" s="647"/>
      <c r="Z241" s="647"/>
      <c r="AA241" s="647"/>
      <c r="AB241" s="452">
        <v>4500</v>
      </c>
      <c r="AC241" s="653" t="s">
        <v>1829</v>
      </c>
      <c r="AD241" s="646"/>
    </row>
    <row r="242" spans="1:30" s="452" customFormat="1" ht="25.5" hidden="1" x14ac:dyDescent="0.25">
      <c r="A242" s="644">
        <v>339</v>
      </c>
      <c r="B242" s="644" t="s">
        <v>215</v>
      </c>
      <c r="C242" s="651" t="s">
        <v>1830</v>
      </c>
      <c r="D242" s="645">
        <v>24011</v>
      </c>
      <c r="E242" s="647">
        <v>45981</v>
      </c>
      <c r="F242" s="646" t="s">
        <v>1831</v>
      </c>
      <c r="G242" s="452" t="s">
        <v>1833</v>
      </c>
      <c r="H242" s="452" t="s">
        <v>1832</v>
      </c>
      <c r="I242" s="452" t="s">
        <v>1468</v>
      </c>
      <c r="J242" s="452" t="s">
        <v>542</v>
      </c>
      <c r="K242" s="452" t="s">
        <v>62</v>
      </c>
      <c r="L242" s="645" t="s">
        <v>544</v>
      </c>
      <c r="M242" s="645" t="s">
        <v>544</v>
      </c>
      <c r="N242" s="645" t="s">
        <v>1334</v>
      </c>
      <c r="O242" s="647"/>
      <c r="P242" s="647"/>
      <c r="Q242" s="647"/>
      <c r="V242" s="647"/>
      <c r="W242" s="647"/>
      <c r="X242" s="647"/>
      <c r="Y242" s="647"/>
      <c r="Z242" s="647"/>
      <c r="AA242" s="647">
        <v>46132</v>
      </c>
      <c r="AB242" s="452" t="s">
        <v>373</v>
      </c>
      <c r="AC242" s="653" t="s">
        <v>1843</v>
      </c>
      <c r="AD242" s="646"/>
    </row>
    <row r="243" spans="1:30" s="452" customFormat="1" ht="25.5" hidden="1" x14ac:dyDescent="0.25">
      <c r="A243" s="644">
        <v>340</v>
      </c>
      <c r="B243" s="644" t="s">
        <v>34</v>
      </c>
      <c r="C243" s="651" t="s">
        <v>1830</v>
      </c>
      <c r="D243" s="645">
        <v>24011</v>
      </c>
      <c r="E243" s="647">
        <v>45971</v>
      </c>
      <c r="F243" s="646" t="s">
        <v>1291</v>
      </c>
      <c r="G243" s="452" t="s">
        <v>1835</v>
      </c>
      <c r="H243" s="452" t="s">
        <v>1834</v>
      </c>
      <c r="I243" s="452" t="s">
        <v>61</v>
      </c>
      <c r="J243" s="452" t="s">
        <v>542</v>
      </c>
      <c r="K243" s="452" t="s">
        <v>62</v>
      </c>
      <c r="L243" s="645" t="s">
        <v>544</v>
      </c>
      <c r="M243" s="645" t="s">
        <v>544</v>
      </c>
      <c r="N243" s="645" t="s">
        <v>13</v>
      </c>
      <c r="O243" s="647"/>
      <c r="P243" s="647"/>
      <c r="Q243" s="647"/>
      <c r="V243" s="647"/>
      <c r="W243" s="647"/>
      <c r="X243" s="647"/>
      <c r="Y243" s="647"/>
      <c r="Z243" s="647"/>
      <c r="AA243" s="647"/>
      <c r="AB243" s="452">
        <v>3000</v>
      </c>
      <c r="AC243" s="653" t="s">
        <v>177</v>
      </c>
      <c r="AD243" s="646"/>
    </row>
    <row r="244" spans="1:30" s="452" customFormat="1" ht="25.5" hidden="1" x14ac:dyDescent="0.25">
      <c r="A244" s="644">
        <v>341</v>
      </c>
      <c r="B244" s="644" t="s">
        <v>215</v>
      </c>
      <c r="C244" s="651" t="s">
        <v>1837</v>
      </c>
      <c r="D244" s="645">
        <v>25030</v>
      </c>
      <c r="E244" s="647">
        <v>45992</v>
      </c>
      <c r="F244" s="646" t="s">
        <v>1838</v>
      </c>
      <c r="G244" s="452" t="s">
        <v>1839</v>
      </c>
      <c r="H244" s="452" t="s">
        <v>1842</v>
      </c>
      <c r="I244" s="452" t="s">
        <v>1840</v>
      </c>
      <c r="J244" s="452" t="s">
        <v>544</v>
      </c>
      <c r="K244" s="452" t="s">
        <v>247</v>
      </c>
      <c r="L244" s="645" t="s">
        <v>544</v>
      </c>
      <c r="M244" s="645" t="s">
        <v>544</v>
      </c>
      <c r="N244" s="645" t="s">
        <v>1841</v>
      </c>
      <c r="O244" s="647"/>
      <c r="P244" s="647"/>
      <c r="Q244" s="647"/>
      <c r="V244" s="647"/>
      <c r="W244" s="647"/>
      <c r="X244" s="647"/>
      <c r="Y244" s="647"/>
      <c r="Z244" s="647"/>
      <c r="AA244" s="647">
        <v>46062</v>
      </c>
      <c r="AB244" s="452" t="s">
        <v>373</v>
      </c>
      <c r="AC244" s="653" t="s">
        <v>1839</v>
      </c>
      <c r="AD244" s="646" t="s">
        <v>1878</v>
      </c>
    </row>
    <row r="245" spans="1:30" s="452" customFormat="1" ht="25.5" hidden="1" x14ac:dyDescent="0.25">
      <c r="A245" s="644">
        <v>342</v>
      </c>
      <c r="B245" s="644" t="s">
        <v>34</v>
      </c>
      <c r="C245" s="651" t="s">
        <v>1970</v>
      </c>
      <c r="D245" s="645">
        <v>25016</v>
      </c>
      <c r="E245" s="647">
        <v>45995</v>
      </c>
      <c r="F245" s="646" t="s">
        <v>570</v>
      </c>
      <c r="G245" s="452" t="s">
        <v>1820</v>
      </c>
      <c r="H245" s="452" t="s">
        <v>1846</v>
      </c>
      <c r="I245" s="452" t="s">
        <v>5</v>
      </c>
      <c r="J245" s="452" t="s">
        <v>542</v>
      </c>
      <c r="K245" s="452" t="s">
        <v>32</v>
      </c>
      <c r="L245" s="452" t="s">
        <v>542</v>
      </c>
      <c r="M245" s="647">
        <v>45995</v>
      </c>
      <c r="N245" s="645" t="s">
        <v>13</v>
      </c>
      <c r="O245" s="647"/>
      <c r="P245" s="647"/>
      <c r="Q245" s="647"/>
      <c r="V245" s="647"/>
      <c r="W245" s="647"/>
      <c r="X245" s="647"/>
      <c r="Y245" s="647"/>
      <c r="Z245" s="647"/>
      <c r="AA245" s="647"/>
      <c r="AB245" s="452">
        <v>4500</v>
      </c>
      <c r="AC245" s="653" t="s">
        <v>1677</v>
      </c>
      <c r="AD245" s="646"/>
    </row>
    <row r="246" spans="1:30" s="452" customFormat="1" ht="25.5" hidden="1" x14ac:dyDescent="0.25">
      <c r="A246" s="644">
        <v>343</v>
      </c>
      <c r="B246" s="644" t="s">
        <v>215</v>
      </c>
      <c r="C246" s="651" t="s">
        <v>1771</v>
      </c>
      <c r="D246" s="645">
        <v>25018</v>
      </c>
      <c r="E246" s="647">
        <v>46000</v>
      </c>
      <c r="F246" s="646" t="s">
        <v>1849</v>
      </c>
      <c r="G246" s="452" t="s">
        <v>1689</v>
      </c>
      <c r="H246" s="452" t="s">
        <v>1850</v>
      </c>
      <c r="I246" s="452" t="s">
        <v>194</v>
      </c>
      <c r="J246" s="452" t="s">
        <v>542</v>
      </c>
      <c r="K246" s="452" t="s">
        <v>62</v>
      </c>
      <c r="L246" s="645" t="s">
        <v>544</v>
      </c>
      <c r="M246" s="645" t="s">
        <v>544</v>
      </c>
      <c r="N246" s="645" t="s">
        <v>13</v>
      </c>
      <c r="O246" s="647"/>
      <c r="P246" s="647"/>
      <c r="Q246" s="647"/>
      <c r="V246" s="647"/>
      <c r="W246" s="647"/>
      <c r="X246" s="647"/>
      <c r="Y246" s="647"/>
      <c r="Z246" s="647"/>
      <c r="AA246" s="647">
        <v>46181</v>
      </c>
      <c r="AB246" s="452">
        <v>3000</v>
      </c>
      <c r="AC246" s="653" t="s">
        <v>1689</v>
      </c>
      <c r="AD246" s="646"/>
    </row>
    <row r="247" spans="1:30" s="452" customFormat="1" hidden="1" x14ac:dyDescent="0.2">
      <c r="A247" s="644">
        <v>344</v>
      </c>
      <c r="B247" s="644" t="s">
        <v>215</v>
      </c>
      <c r="C247" s="651" t="s">
        <v>1429</v>
      </c>
      <c r="D247" s="645">
        <v>24019</v>
      </c>
      <c r="E247" s="647">
        <v>46010</v>
      </c>
      <c r="F247" s="646" t="s">
        <v>1888</v>
      </c>
      <c r="G247" s="450" t="s">
        <v>1852</v>
      </c>
      <c r="H247" s="452" t="s">
        <v>1853</v>
      </c>
      <c r="I247" s="452" t="s">
        <v>61</v>
      </c>
      <c r="J247" s="452" t="s">
        <v>542</v>
      </c>
      <c r="K247" s="452" t="s">
        <v>43</v>
      </c>
      <c r="L247" s="645" t="s">
        <v>544</v>
      </c>
      <c r="M247" s="645" t="s">
        <v>544</v>
      </c>
      <c r="N247" s="645" t="s">
        <v>13</v>
      </c>
      <c r="O247" s="647"/>
      <c r="P247" s="647"/>
      <c r="Q247" s="647"/>
      <c r="V247" s="647"/>
      <c r="W247" s="647"/>
      <c r="X247" s="647"/>
      <c r="Y247" s="647"/>
      <c r="Z247" s="647"/>
      <c r="AA247" s="647">
        <v>46041</v>
      </c>
      <c r="AB247" s="452">
        <v>3000</v>
      </c>
      <c r="AC247" s="653" t="s">
        <v>1854</v>
      </c>
      <c r="AD247" s="646"/>
    </row>
    <row r="248" spans="1:30" s="452" customFormat="1" x14ac:dyDescent="0.25">
      <c r="A248" s="644">
        <v>345</v>
      </c>
      <c r="B248" s="644" t="s">
        <v>34</v>
      </c>
      <c r="C248" s="651" t="s">
        <v>1429</v>
      </c>
      <c r="D248" s="645">
        <v>24019</v>
      </c>
      <c r="E248" s="647">
        <v>46026</v>
      </c>
      <c r="F248" s="646" t="s">
        <v>1523</v>
      </c>
      <c r="G248" s="452" t="s">
        <v>1856</v>
      </c>
      <c r="H248" s="452" t="s">
        <v>1857</v>
      </c>
      <c r="I248" s="452" t="s">
        <v>194</v>
      </c>
      <c r="J248" s="452" t="s">
        <v>542</v>
      </c>
      <c r="K248" s="452" t="s">
        <v>43</v>
      </c>
      <c r="L248" s="645" t="s">
        <v>544</v>
      </c>
      <c r="M248" s="645" t="s">
        <v>544</v>
      </c>
      <c r="N248" s="645" t="s">
        <v>13</v>
      </c>
      <c r="O248" s="647"/>
      <c r="P248" s="647"/>
      <c r="Q248" s="647"/>
      <c r="V248" s="647"/>
      <c r="W248" s="647"/>
      <c r="X248" s="647"/>
      <c r="Y248" s="647"/>
      <c r="Z248" s="647"/>
      <c r="AA248" s="647"/>
      <c r="AB248" s="452">
        <v>3000</v>
      </c>
      <c r="AC248" s="653" t="s">
        <v>1856</v>
      </c>
      <c r="AD248" s="646" t="s">
        <v>1875</v>
      </c>
    </row>
    <row r="249" spans="1:30" s="452" customFormat="1" hidden="1" x14ac:dyDescent="0.25">
      <c r="A249" s="644">
        <v>346</v>
      </c>
      <c r="B249" s="644" t="s">
        <v>34</v>
      </c>
      <c r="C249" s="651" t="s">
        <v>1429</v>
      </c>
      <c r="D249" s="645">
        <v>24019</v>
      </c>
      <c r="E249" s="647">
        <v>46027</v>
      </c>
      <c r="F249" s="646" t="s">
        <v>398</v>
      </c>
      <c r="G249" s="452" t="s">
        <v>1854</v>
      </c>
      <c r="H249" s="452" t="s">
        <v>1858</v>
      </c>
      <c r="I249" s="452" t="s">
        <v>61</v>
      </c>
      <c r="J249" s="452" t="s">
        <v>542</v>
      </c>
      <c r="K249" s="452" t="s">
        <v>43</v>
      </c>
      <c r="L249" s="645" t="s">
        <v>544</v>
      </c>
      <c r="M249" s="645" t="s">
        <v>544</v>
      </c>
      <c r="N249" s="645" t="s">
        <v>13</v>
      </c>
      <c r="O249" s="647"/>
      <c r="P249" s="647"/>
      <c r="Q249" s="647"/>
      <c r="V249" s="647"/>
      <c r="W249" s="647"/>
      <c r="X249" s="647"/>
      <c r="Y249" s="647"/>
      <c r="Z249" s="647"/>
      <c r="AA249" s="647"/>
      <c r="AB249" s="452">
        <v>3000</v>
      </c>
      <c r="AC249" s="653" t="s">
        <v>1854</v>
      </c>
      <c r="AD249" s="646"/>
    </row>
    <row r="250" spans="1:30" s="452" customFormat="1" hidden="1" x14ac:dyDescent="0.25">
      <c r="A250" s="644">
        <v>347</v>
      </c>
      <c r="B250" s="644" t="s">
        <v>34</v>
      </c>
      <c r="C250" s="651" t="s">
        <v>1657</v>
      </c>
      <c r="D250" s="645">
        <v>25001</v>
      </c>
      <c r="E250" s="647">
        <v>46031</v>
      </c>
      <c r="F250" s="646" t="s">
        <v>1763</v>
      </c>
      <c r="G250" s="452" t="s">
        <v>1661</v>
      </c>
      <c r="H250" s="452" t="s">
        <v>1874</v>
      </c>
      <c r="I250" s="452" t="s">
        <v>51</v>
      </c>
      <c r="J250" s="452" t="s">
        <v>542</v>
      </c>
      <c r="K250" s="452" t="s">
        <v>29</v>
      </c>
      <c r="L250" s="645" t="s">
        <v>544</v>
      </c>
      <c r="M250" s="645" t="s">
        <v>544</v>
      </c>
      <c r="N250" s="645" t="s">
        <v>13</v>
      </c>
      <c r="O250" s="647"/>
      <c r="P250" s="647"/>
      <c r="Q250" s="647"/>
      <c r="V250" s="647"/>
      <c r="W250" s="647"/>
      <c r="X250" s="647"/>
      <c r="Y250" s="647"/>
      <c r="Z250" s="647"/>
      <c r="AA250" s="647"/>
      <c r="AB250" s="452">
        <v>3000</v>
      </c>
      <c r="AC250" s="653" t="s">
        <v>1661</v>
      </c>
      <c r="AD250" s="646"/>
    </row>
    <row r="251" spans="1:30" s="452" customFormat="1" hidden="1" x14ac:dyDescent="0.25">
      <c r="A251" s="644">
        <v>348</v>
      </c>
      <c r="B251" s="644" t="s">
        <v>34</v>
      </c>
      <c r="C251" s="651" t="s">
        <v>1657</v>
      </c>
      <c r="D251" s="645">
        <v>25001</v>
      </c>
      <c r="E251" s="647">
        <v>46032</v>
      </c>
      <c r="F251" s="646" t="s">
        <v>1890</v>
      </c>
      <c r="G251" s="452" t="s">
        <v>1661</v>
      </c>
      <c r="H251" s="452" t="s">
        <v>1872</v>
      </c>
      <c r="I251" s="452" t="s">
        <v>697</v>
      </c>
      <c r="J251" s="452" t="s">
        <v>542</v>
      </c>
      <c r="K251" s="452" t="s">
        <v>29</v>
      </c>
      <c r="L251" s="452" t="s">
        <v>544</v>
      </c>
      <c r="M251" s="452" t="s">
        <v>544</v>
      </c>
      <c r="N251" s="645" t="s">
        <v>13</v>
      </c>
      <c r="O251" s="647"/>
      <c r="P251" s="647"/>
      <c r="Q251" s="647"/>
      <c r="V251" s="647"/>
      <c r="W251" s="647"/>
      <c r="X251" s="647"/>
      <c r="Y251" s="647"/>
      <c r="Z251" s="647"/>
      <c r="AA251" s="647"/>
      <c r="AB251" s="452">
        <v>3000</v>
      </c>
      <c r="AC251" s="653" t="s">
        <v>1661</v>
      </c>
      <c r="AD251" s="646"/>
    </row>
    <row r="252" spans="1:30" s="452" customFormat="1" ht="25.5" hidden="1" x14ac:dyDescent="0.2">
      <c r="A252" s="644">
        <v>349</v>
      </c>
      <c r="B252" s="644" t="s">
        <v>34</v>
      </c>
      <c r="C252" s="651" t="s">
        <v>1771</v>
      </c>
      <c r="D252" s="645">
        <v>25018</v>
      </c>
      <c r="E252" s="647">
        <v>46034</v>
      </c>
      <c r="F252" s="646" t="s">
        <v>1520</v>
      </c>
      <c r="G252" s="452" t="s">
        <v>1689</v>
      </c>
      <c r="H252" s="452" t="s">
        <v>1873</v>
      </c>
      <c r="I252" s="452" t="s">
        <v>194</v>
      </c>
      <c r="J252" s="452" t="s">
        <v>542</v>
      </c>
      <c r="K252" s="452" t="s">
        <v>43</v>
      </c>
      <c r="L252" s="452" t="s">
        <v>544</v>
      </c>
      <c r="M252" s="450" t="s">
        <v>544</v>
      </c>
      <c r="N252" s="645" t="s">
        <v>13</v>
      </c>
      <c r="O252" s="647"/>
      <c r="P252" s="647"/>
      <c r="Q252" s="647"/>
      <c r="V252" s="647"/>
      <c r="W252" s="647"/>
      <c r="X252" s="647"/>
      <c r="Y252" s="647"/>
      <c r="Z252" s="647"/>
      <c r="AA252" s="647"/>
      <c r="AB252" s="452">
        <v>4500</v>
      </c>
      <c r="AC252" s="653" t="s">
        <v>1689</v>
      </c>
      <c r="AD252" s="646"/>
    </row>
    <row r="253" spans="1:30" s="452" customFormat="1" hidden="1" x14ac:dyDescent="0.2">
      <c r="A253" s="644">
        <v>350</v>
      </c>
      <c r="B253" s="644" t="s">
        <v>34</v>
      </c>
      <c r="C253" s="651" t="s">
        <v>1767</v>
      </c>
      <c r="D253" s="645">
        <v>25018</v>
      </c>
      <c r="E253" s="647">
        <v>46040</v>
      </c>
      <c r="F253" s="646" t="s">
        <v>1524</v>
      </c>
      <c r="G253" s="452" t="s">
        <v>1689</v>
      </c>
      <c r="H253" s="452" t="s">
        <v>1877</v>
      </c>
      <c r="I253" s="452" t="s">
        <v>194</v>
      </c>
      <c r="J253" s="452" t="s">
        <v>542</v>
      </c>
      <c r="K253" s="452" t="s">
        <v>43</v>
      </c>
      <c r="L253" s="452" t="s">
        <v>544</v>
      </c>
      <c r="M253" s="450" t="s">
        <v>544</v>
      </c>
      <c r="N253" s="645" t="s">
        <v>13</v>
      </c>
      <c r="O253" s="647"/>
      <c r="P253" s="647"/>
      <c r="Q253" s="647"/>
      <c r="V253" s="647"/>
      <c r="W253" s="647"/>
      <c r="X253" s="647"/>
      <c r="Y253" s="647"/>
      <c r="Z253" s="647"/>
      <c r="AA253" s="647"/>
      <c r="AB253" s="452">
        <v>4500</v>
      </c>
      <c r="AC253" s="653" t="s">
        <v>1689</v>
      </c>
      <c r="AD253" s="646"/>
    </row>
    <row r="254" spans="1:30" s="452" customFormat="1" hidden="1" x14ac:dyDescent="0.2">
      <c r="A254" s="644">
        <v>351</v>
      </c>
      <c r="B254" s="644" t="s">
        <v>34</v>
      </c>
      <c r="C254" s="651" t="s">
        <v>1657</v>
      </c>
      <c r="D254" s="645">
        <v>25001</v>
      </c>
      <c r="E254" s="647">
        <v>46053</v>
      </c>
      <c r="F254" s="646" t="s">
        <v>1881</v>
      </c>
      <c r="G254" s="452" t="s">
        <v>1689</v>
      </c>
      <c r="H254" s="452" t="s">
        <v>1879</v>
      </c>
      <c r="I254" s="452" t="s">
        <v>51</v>
      </c>
      <c r="J254" s="452" t="s">
        <v>1192</v>
      </c>
      <c r="K254" s="452" t="s">
        <v>29</v>
      </c>
      <c r="L254" s="452" t="s">
        <v>544</v>
      </c>
      <c r="M254" s="450" t="s">
        <v>544</v>
      </c>
      <c r="N254" s="645" t="s">
        <v>13</v>
      </c>
      <c r="O254" s="647"/>
      <c r="P254" s="647"/>
      <c r="Q254" s="647"/>
      <c r="V254" s="647"/>
      <c r="W254" s="647"/>
      <c r="X254" s="647"/>
      <c r="Y254" s="647"/>
      <c r="Z254" s="647"/>
      <c r="AA254" s="647"/>
      <c r="AB254" s="452">
        <v>3000</v>
      </c>
      <c r="AC254" s="653" t="s">
        <v>1689</v>
      </c>
      <c r="AD254" s="646"/>
    </row>
    <row r="255" spans="1:30" s="452" customFormat="1" ht="25.5" hidden="1" x14ac:dyDescent="0.25">
      <c r="A255" s="644">
        <v>352</v>
      </c>
      <c r="B255" s="644" t="s">
        <v>34</v>
      </c>
      <c r="C255" s="651" t="s">
        <v>1830</v>
      </c>
      <c r="D255" s="645">
        <v>24011</v>
      </c>
      <c r="E255" s="647">
        <v>46056</v>
      </c>
      <c r="F255" s="646" t="s">
        <v>1880</v>
      </c>
      <c r="G255" s="452" t="s">
        <v>1854</v>
      </c>
      <c r="H255" s="452" t="s">
        <v>1794</v>
      </c>
      <c r="I255" s="452" t="s">
        <v>809</v>
      </c>
      <c r="J255" s="452" t="s">
        <v>542</v>
      </c>
      <c r="K255" s="452" t="s">
        <v>62</v>
      </c>
      <c r="L255" s="452" t="s">
        <v>544</v>
      </c>
      <c r="M255" s="452" t="s">
        <v>544</v>
      </c>
      <c r="N255" s="645" t="s">
        <v>13</v>
      </c>
      <c r="O255" s="647"/>
      <c r="P255" s="647"/>
      <c r="Q255" s="647"/>
      <c r="V255" s="647"/>
      <c r="W255" s="647"/>
      <c r="X255" s="647"/>
      <c r="Y255" s="647"/>
      <c r="Z255" s="647"/>
      <c r="AA255" s="647"/>
      <c r="AB255" s="452">
        <v>5000</v>
      </c>
      <c r="AC255" s="653" t="s">
        <v>1854</v>
      </c>
      <c r="AD255" s="646"/>
    </row>
    <row r="256" spans="1:30" s="452" customFormat="1" hidden="1" x14ac:dyDescent="0.2">
      <c r="A256" s="644">
        <v>353</v>
      </c>
      <c r="B256" s="644" t="s">
        <v>215</v>
      </c>
      <c r="C256" s="651" t="s">
        <v>1657</v>
      </c>
      <c r="D256" s="645">
        <v>25001</v>
      </c>
      <c r="E256" s="647">
        <v>46062</v>
      </c>
      <c r="F256" s="646" t="s">
        <v>1888</v>
      </c>
      <c r="G256" s="452" t="s">
        <v>1689</v>
      </c>
      <c r="H256" s="452" t="s">
        <v>1889</v>
      </c>
      <c r="I256" s="452" t="s">
        <v>5</v>
      </c>
      <c r="J256" s="452" t="s">
        <v>542</v>
      </c>
      <c r="K256" s="452" t="s">
        <v>32</v>
      </c>
      <c r="L256" s="452" t="s">
        <v>542</v>
      </c>
      <c r="M256" s="652">
        <v>46072</v>
      </c>
      <c r="N256" s="645" t="s">
        <v>13</v>
      </c>
      <c r="O256" s="647"/>
      <c r="P256" s="647"/>
      <c r="Q256" s="647"/>
      <c r="V256" s="647"/>
      <c r="W256" s="647"/>
      <c r="X256" s="647"/>
      <c r="Y256" s="647"/>
      <c r="Z256" s="647"/>
      <c r="AA256" s="647">
        <v>46171</v>
      </c>
      <c r="AB256" s="452">
        <v>3000</v>
      </c>
      <c r="AC256" s="653" t="s">
        <v>1689</v>
      </c>
      <c r="AD256" s="646"/>
    </row>
    <row r="257" spans="1:30" s="452" customFormat="1" hidden="1" x14ac:dyDescent="0.2">
      <c r="A257" s="644">
        <v>354</v>
      </c>
      <c r="B257" s="644" t="s">
        <v>215</v>
      </c>
      <c r="C257" s="651" t="s">
        <v>1837</v>
      </c>
      <c r="D257" s="645">
        <v>25030</v>
      </c>
      <c r="E257" s="647">
        <v>46070</v>
      </c>
      <c r="F257" s="646" t="s">
        <v>193</v>
      </c>
      <c r="G257" s="452" t="s">
        <v>1839</v>
      </c>
      <c r="H257" s="452" t="s">
        <v>1893</v>
      </c>
      <c r="I257" s="452" t="s">
        <v>1894</v>
      </c>
      <c r="J257" s="452" t="s">
        <v>544</v>
      </c>
      <c r="K257" s="452" t="s">
        <v>43</v>
      </c>
      <c r="L257" s="452" t="s">
        <v>544</v>
      </c>
      <c r="M257" s="450" t="s">
        <v>544</v>
      </c>
      <c r="N257" s="645" t="s">
        <v>1895</v>
      </c>
      <c r="O257" s="647"/>
      <c r="P257" s="647"/>
      <c r="Q257" s="647"/>
      <c r="V257" s="647"/>
      <c r="W257" s="647"/>
      <c r="X257" s="647"/>
      <c r="Y257" s="647"/>
      <c r="Z257" s="647"/>
      <c r="AA257" s="647">
        <v>46100</v>
      </c>
      <c r="AB257" s="452" t="s">
        <v>373</v>
      </c>
      <c r="AC257" s="653" t="s">
        <v>1839</v>
      </c>
      <c r="AD257" s="646"/>
    </row>
    <row r="258" spans="1:30" s="452" customFormat="1" hidden="1" x14ac:dyDescent="0.2">
      <c r="A258" s="644">
        <v>355</v>
      </c>
      <c r="B258" s="644" t="s">
        <v>34</v>
      </c>
      <c r="C258" s="651" t="s">
        <v>1429</v>
      </c>
      <c r="D258" s="645">
        <v>24019</v>
      </c>
      <c r="E258" s="647">
        <v>46076</v>
      </c>
      <c r="F258" s="646" t="s">
        <v>1611</v>
      </c>
      <c r="G258" s="452" t="s">
        <v>1856</v>
      </c>
      <c r="H258" s="452" t="s">
        <v>1896</v>
      </c>
      <c r="I258" s="452" t="s">
        <v>1897</v>
      </c>
      <c r="J258" s="452" t="s">
        <v>542</v>
      </c>
      <c r="K258" s="452" t="s">
        <v>43</v>
      </c>
      <c r="L258" s="452" t="s">
        <v>544</v>
      </c>
      <c r="M258" s="450" t="s">
        <v>544</v>
      </c>
      <c r="N258" s="645" t="s">
        <v>13</v>
      </c>
      <c r="O258" s="647"/>
      <c r="P258" s="647"/>
      <c r="Q258" s="647"/>
      <c r="V258" s="647"/>
      <c r="W258" s="647"/>
      <c r="X258" s="647"/>
      <c r="Y258" s="647"/>
      <c r="Z258" s="647"/>
      <c r="AA258" s="647"/>
      <c r="AB258" s="452">
        <v>3000</v>
      </c>
      <c r="AC258" s="653" t="s">
        <v>1856</v>
      </c>
      <c r="AD258" s="646"/>
    </row>
    <row r="259" spans="1:30" s="452" customFormat="1" hidden="1" x14ac:dyDescent="0.2">
      <c r="A259" s="644">
        <v>356</v>
      </c>
      <c r="B259" s="644" t="s">
        <v>34</v>
      </c>
      <c r="C259" s="651" t="s">
        <v>1236</v>
      </c>
      <c r="D259" s="645">
        <v>24006</v>
      </c>
      <c r="E259" s="647">
        <v>46086</v>
      </c>
      <c r="F259" s="646" t="s">
        <v>1714</v>
      </c>
      <c r="G259" s="452" t="s">
        <v>117</v>
      </c>
      <c r="H259" s="452" t="s">
        <v>1901</v>
      </c>
      <c r="I259" s="452" t="s">
        <v>5</v>
      </c>
      <c r="J259" s="452" t="s">
        <v>542</v>
      </c>
      <c r="K259" s="452" t="s">
        <v>247</v>
      </c>
      <c r="L259" s="452" t="s">
        <v>542</v>
      </c>
      <c r="M259" s="652">
        <v>46087</v>
      </c>
      <c r="N259" s="645" t="s">
        <v>8</v>
      </c>
      <c r="O259" s="647"/>
      <c r="P259" s="647"/>
      <c r="Q259" s="647"/>
      <c r="V259" s="647"/>
      <c r="W259" s="647"/>
      <c r="X259" s="647"/>
      <c r="Y259" s="647"/>
      <c r="Z259" s="647"/>
      <c r="AA259" s="647"/>
      <c r="AB259" s="452">
        <v>3000</v>
      </c>
      <c r="AC259" s="653" t="s">
        <v>1716</v>
      </c>
      <c r="AD259" s="646"/>
    </row>
    <row r="260" spans="1:30" s="452" customFormat="1" ht="25.5" hidden="1" x14ac:dyDescent="0.25">
      <c r="A260" s="644">
        <v>357</v>
      </c>
      <c r="B260" s="644" t="s">
        <v>34</v>
      </c>
      <c r="C260" s="651" t="s">
        <v>1771</v>
      </c>
      <c r="D260" s="645">
        <v>25018</v>
      </c>
      <c r="E260" s="647">
        <v>46102</v>
      </c>
      <c r="F260" s="646" t="s">
        <v>1809</v>
      </c>
      <c r="G260" s="452" t="s">
        <v>1661</v>
      </c>
      <c r="H260" s="452" t="s">
        <v>1905</v>
      </c>
      <c r="I260" s="452" t="s">
        <v>194</v>
      </c>
      <c r="J260" s="452" t="s">
        <v>542</v>
      </c>
      <c r="K260" s="452" t="s">
        <v>43</v>
      </c>
      <c r="L260" s="452" t="s">
        <v>544</v>
      </c>
      <c r="M260" s="452" t="s">
        <v>544</v>
      </c>
      <c r="N260" s="645" t="s">
        <v>13</v>
      </c>
      <c r="O260" s="647"/>
      <c r="P260" s="647"/>
      <c r="Q260" s="647"/>
      <c r="V260" s="647"/>
      <c r="W260" s="647"/>
      <c r="X260" s="647"/>
      <c r="Y260" s="647"/>
      <c r="Z260" s="647"/>
      <c r="AA260" s="647"/>
      <c r="AB260" s="452">
        <v>4500</v>
      </c>
      <c r="AC260" s="653" t="s">
        <v>1661</v>
      </c>
      <c r="AD260" s="646"/>
    </row>
    <row r="261" spans="1:30" s="452" customFormat="1" hidden="1" x14ac:dyDescent="0.25">
      <c r="A261" s="644">
        <v>358</v>
      </c>
      <c r="B261" s="644" t="s">
        <v>34</v>
      </c>
      <c r="C261" s="651" t="s">
        <v>1429</v>
      </c>
      <c r="D261" s="645">
        <v>24019</v>
      </c>
      <c r="E261" s="647">
        <v>46102</v>
      </c>
      <c r="F261" s="646" t="s">
        <v>1727</v>
      </c>
      <c r="G261" s="452" t="s">
        <v>1856</v>
      </c>
      <c r="H261" s="452" t="s">
        <v>1906</v>
      </c>
      <c r="I261" s="452" t="s">
        <v>194</v>
      </c>
      <c r="J261" s="452" t="s">
        <v>542</v>
      </c>
      <c r="K261" s="452" t="s">
        <v>43</v>
      </c>
      <c r="L261" s="452" t="s">
        <v>544</v>
      </c>
      <c r="M261" s="452" t="s">
        <v>544</v>
      </c>
      <c r="N261" s="645" t="s">
        <v>13</v>
      </c>
      <c r="O261" s="647"/>
      <c r="P261" s="647"/>
      <c r="Q261" s="647"/>
      <c r="V261" s="647"/>
      <c r="W261" s="647"/>
      <c r="X261" s="647"/>
      <c r="Y261" s="647"/>
      <c r="Z261" s="647"/>
      <c r="AA261" s="647"/>
      <c r="AB261" s="452">
        <v>3000</v>
      </c>
      <c r="AC261" s="653" t="s">
        <v>1856</v>
      </c>
      <c r="AD261" s="646"/>
    </row>
    <row r="262" spans="1:30" s="452" customFormat="1" hidden="1" x14ac:dyDescent="0.25">
      <c r="A262" s="644">
        <v>359</v>
      </c>
      <c r="B262" s="644" t="s">
        <v>215</v>
      </c>
      <c r="C262" s="651" t="s">
        <v>1837</v>
      </c>
      <c r="D262" s="645">
        <v>25030</v>
      </c>
      <c r="E262" s="647">
        <v>46100</v>
      </c>
      <c r="F262" s="646" t="s">
        <v>1838</v>
      </c>
      <c r="G262" s="452" t="s">
        <v>1839</v>
      </c>
      <c r="H262" s="452" t="s">
        <v>1908</v>
      </c>
      <c r="I262" s="452" t="s">
        <v>91</v>
      </c>
      <c r="J262" s="452" t="s">
        <v>544</v>
      </c>
      <c r="K262" s="452" t="s">
        <v>29</v>
      </c>
      <c r="L262" s="452" t="s">
        <v>544</v>
      </c>
      <c r="M262" s="452" t="s">
        <v>544</v>
      </c>
      <c r="N262" s="645" t="s">
        <v>1909</v>
      </c>
      <c r="O262" s="647"/>
      <c r="P262" s="647"/>
      <c r="Q262" s="647"/>
      <c r="V262" s="647"/>
      <c r="W262" s="647"/>
      <c r="X262" s="647"/>
      <c r="Y262" s="647"/>
      <c r="Z262" s="647"/>
      <c r="AA262" s="647">
        <v>46172</v>
      </c>
      <c r="AB262" s="452" t="s">
        <v>373</v>
      </c>
      <c r="AC262" s="653" t="s">
        <v>1839</v>
      </c>
      <c r="AD262" s="646"/>
    </row>
    <row r="263" spans="1:30" s="452" customFormat="1" hidden="1" x14ac:dyDescent="0.25">
      <c r="A263" s="644">
        <v>360</v>
      </c>
      <c r="B263" s="644" t="s">
        <v>34</v>
      </c>
      <c r="C263" s="651" t="s">
        <v>1657</v>
      </c>
      <c r="D263" s="645">
        <v>25001</v>
      </c>
      <c r="E263" s="647">
        <v>46112</v>
      </c>
      <c r="F263" s="646" t="s">
        <v>1915</v>
      </c>
      <c r="G263" s="452" t="s">
        <v>1661</v>
      </c>
      <c r="H263" s="452" t="s">
        <v>1914</v>
      </c>
      <c r="I263" s="452" t="s">
        <v>697</v>
      </c>
      <c r="J263" s="452" t="s">
        <v>542</v>
      </c>
      <c r="K263" s="452" t="s">
        <v>29</v>
      </c>
      <c r="L263" s="452" t="s">
        <v>544</v>
      </c>
      <c r="M263" s="452" t="s">
        <v>544</v>
      </c>
      <c r="N263" s="645" t="s">
        <v>13</v>
      </c>
      <c r="O263" s="647"/>
      <c r="P263" s="647"/>
      <c r="Q263" s="647"/>
      <c r="V263" s="647"/>
      <c r="W263" s="647"/>
      <c r="X263" s="647"/>
      <c r="Y263" s="647"/>
      <c r="Z263" s="647"/>
      <c r="AA263" s="647"/>
      <c r="AB263" s="452">
        <v>3000</v>
      </c>
      <c r="AC263" s="653" t="s">
        <v>1661</v>
      </c>
      <c r="AD263" s="646"/>
    </row>
    <row r="264" spans="1:30" s="452" customFormat="1" hidden="1" x14ac:dyDescent="0.2">
      <c r="A264" s="644">
        <v>361</v>
      </c>
      <c r="B264" s="644" t="s">
        <v>34</v>
      </c>
      <c r="C264" s="651" t="s">
        <v>1657</v>
      </c>
      <c r="D264" s="645">
        <v>25001</v>
      </c>
      <c r="E264" s="647">
        <v>46116</v>
      </c>
      <c r="F264" s="646" t="s">
        <v>333</v>
      </c>
      <c r="G264" s="452" t="s">
        <v>1661</v>
      </c>
      <c r="H264" s="452" t="s">
        <v>1919</v>
      </c>
      <c r="I264" s="452" t="s">
        <v>15</v>
      </c>
      <c r="J264" s="452" t="s">
        <v>542</v>
      </c>
      <c r="K264" s="452" t="s">
        <v>32</v>
      </c>
      <c r="L264" s="452" t="s">
        <v>542</v>
      </c>
      <c r="M264" s="652">
        <v>46123</v>
      </c>
      <c r="N264" s="645" t="s">
        <v>13</v>
      </c>
      <c r="O264" s="647">
        <v>46123</v>
      </c>
      <c r="P264" s="647" t="s">
        <v>1925</v>
      </c>
      <c r="Q264" s="647"/>
      <c r="V264" s="647"/>
      <c r="W264" s="647"/>
      <c r="X264" s="647"/>
      <c r="Y264" s="647"/>
      <c r="Z264" s="647"/>
      <c r="AA264" s="647"/>
      <c r="AB264" s="452">
        <v>3000</v>
      </c>
      <c r="AC264" s="653" t="s">
        <v>1661</v>
      </c>
      <c r="AD264" s="646"/>
    </row>
    <row r="265" spans="1:30" s="452" customFormat="1" ht="38.25" hidden="1" x14ac:dyDescent="0.25">
      <c r="A265" s="644">
        <v>362</v>
      </c>
      <c r="B265" s="644" t="s">
        <v>215</v>
      </c>
      <c r="C265" s="651" t="s">
        <v>1920</v>
      </c>
      <c r="D265" s="645">
        <v>25015</v>
      </c>
      <c r="E265" s="647">
        <v>46118</v>
      </c>
      <c r="F265" s="646" t="s">
        <v>570</v>
      </c>
      <c r="G265" s="452" t="s">
        <v>1922</v>
      </c>
      <c r="H265" s="452" t="s">
        <v>1921</v>
      </c>
      <c r="I265" s="452" t="s">
        <v>5</v>
      </c>
      <c r="J265" s="452" t="s">
        <v>542</v>
      </c>
      <c r="K265" s="452" t="s">
        <v>32</v>
      </c>
      <c r="L265" s="452" t="s">
        <v>542</v>
      </c>
      <c r="M265" s="689">
        <v>46118</v>
      </c>
      <c r="N265" s="645" t="s">
        <v>13</v>
      </c>
      <c r="O265" s="647"/>
      <c r="P265" s="647"/>
      <c r="Q265" s="647"/>
      <c r="V265" s="647"/>
      <c r="W265" s="647"/>
      <c r="X265" s="647"/>
      <c r="Y265" s="647"/>
      <c r="Z265" s="647"/>
      <c r="AA265" s="647">
        <v>46148</v>
      </c>
      <c r="AB265" s="452">
        <v>4500</v>
      </c>
      <c r="AC265" s="653" t="s">
        <v>1677</v>
      </c>
      <c r="AD265" s="646"/>
    </row>
    <row r="266" spans="1:30" s="452" customFormat="1" hidden="1" x14ac:dyDescent="0.25">
      <c r="A266" s="644">
        <v>363</v>
      </c>
      <c r="B266" s="644" t="s">
        <v>34</v>
      </c>
      <c r="C266" s="651" t="s">
        <v>1429</v>
      </c>
      <c r="D266" s="645">
        <v>24019</v>
      </c>
      <c r="E266" s="647">
        <v>46119</v>
      </c>
      <c r="F266" s="646" t="s">
        <v>1923</v>
      </c>
      <c r="G266" s="452" t="s">
        <v>1856</v>
      </c>
      <c r="H266" s="452" t="s">
        <v>1924</v>
      </c>
      <c r="I266" s="452" t="s">
        <v>16</v>
      </c>
      <c r="J266" s="452" t="s">
        <v>542</v>
      </c>
      <c r="K266" s="452" t="s">
        <v>43</v>
      </c>
      <c r="L266" s="452" t="s">
        <v>544</v>
      </c>
      <c r="M266" s="452" t="s">
        <v>544</v>
      </c>
      <c r="N266" s="645" t="s">
        <v>13</v>
      </c>
      <c r="O266" s="647"/>
      <c r="P266" s="647"/>
      <c r="Q266" s="647"/>
      <c r="V266" s="647"/>
      <c r="W266" s="647"/>
      <c r="X266" s="647"/>
      <c r="Y266" s="647"/>
      <c r="Z266" s="647"/>
      <c r="AA266" s="647"/>
      <c r="AB266" s="452">
        <v>3000</v>
      </c>
      <c r="AC266" s="653" t="s">
        <v>1856</v>
      </c>
      <c r="AD266" s="646"/>
    </row>
    <row r="267" spans="1:30" s="452" customFormat="1" hidden="1" x14ac:dyDescent="0.25">
      <c r="A267" s="644">
        <v>364</v>
      </c>
      <c r="B267" s="644" t="s">
        <v>34</v>
      </c>
      <c r="C267" s="651" t="s">
        <v>1247</v>
      </c>
      <c r="D267" s="645">
        <v>24008</v>
      </c>
      <c r="E267" s="647">
        <v>46121</v>
      </c>
      <c r="F267" s="646" t="s">
        <v>1259</v>
      </c>
      <c r="G267" s="452" t="s">
        <v>1926</v>
      </c>
      <c r="H267" s="452" t="s">
        <v>1927</v>
      </c>
      <c r="I267" s="452" t="s">
        <v>16</v>
      </c>
      <c r="J267" s="452" t="s">
        <v>542</v>
      </c>
      <c r="K267" s="452" t="s">
        <v>43</v>
      </c>
      <c r="L267" s="452" t="s">
        <v>544</v>
      </c>
      <c r="M267" s="452" t="s">
        <v>544</v>
      </c>
      <c r="N267" s="645" t="s">
        <v>13</v>
      </c>
      <c r="O267" s="647"/>
      <c r="P267" s="647"/>
      <c r="Q267" s="647"/>
      <c r="V267" s="647"/>
      <c r="W267" s="647"/>
      <c r="X267" s="647"/>
      <c r="Y267" s="647"/>
      <c r="Z267" s="647"/>
      <c r="AA267" s="647"/>
      <c r="AB267" s="452">
        <v>5000</v>
      </c>
      <c r="AC267" s="653" t="s">
        <v>1926</v>
      </c>
      <c r="AD267" s="646"/>
    </row>
    <row r="268" spans="1:30" s="452" customFormat="1" hidden="1" x14ac:dyDescent="0.25">
      <c r="A268" s="644">
        <v>365</v>
      </c>
      <c r="B268" s="644" t="s">
        <v>34</v>
      </c>
      <c r="C268" s="651" t="s">
        <v>1767</v>
      </c>
      <c r="D268" s="645">
        <v>25018</v>
      </c>
      <c r="E268" s="647">
        <v>46132</v>
      </c>
      <c r="F268" s="646" t="s">
        <v>1929</v>
      </c>
      <c r="G268" s="452" t="s">
        <v>1829</v>
      </c>
      <c r="H268" s="452" t="s">
        <v>1930</v>
      </c>
      <c r="I268" s="452" t="s">
        <v>16</v>
      </c>
      <c r="J268" s="452" t="s">
        <v>542</v>
      </c>
      <c r="K268" s="452" t="s">
        <v>43</v>
      </c>
      <c r="L268" s="452" t="s">
        <v>544</v>
      </c>
      <c r="M268" s="452" t="s">
        <v>544</v>
      </c>
      <c r="N268" s="645" t="s">
        <v>13</v>
      </c>
      <c r="O268" s="647"/>
      <c r="P268" s="647"/>
      <c r="Q268" s="647"/>
      <c r="V268" s="647"/>
      <c r="W268" s="647"/>
      <c r="X268" s="647"/>
      <c r="Y268" s="647"/>
      <c r="Z268" s="647"/>
      <c r="AA268" s="647"/>
      <c r="AB268" s="452">
        <v>4500</v>
      </c>
      <c r="AC268" s="653" t="s">
        <v>1829</v>
      </c>
      <c r="AD268" s="646"/>
    </row>
    <row r="269" spans="1:30" s="452" customFormat="1" hidden="1" x14ac:dyDescent="0.25">
      <c r="A269" s="644">
        <v>366</v>
      </c>
      <c r="B269" s="644" t="s">
        <v>34</v>
      </c>
      <c r="C269" s="651" t="s">
        <v>1562</v>
      </c>
      <c r="D269" s="645">
        <v>24024</v>
      </c>
      <c r="E269" s="647">
        <v>46133</v>
      </c>
      <c r="F269" s="646" t="s">
        <v>92</v>
      </c>
      <c r="G269" s="452" t="s">
        <v>1637</v>
      </c>
      <c r="H269" s="452" t="s">
        <v>1931</v>
      </c>
      <c r="I269" s="452" t="s">
        <v>697</v>
      </c>
      <c r="J269" s="452" t="s">
        <v>542</v>
      </c>
      <c r="K269" s="452" t="s">
        <v>532</v>
      </c>
      <c r="L269" s="452" t="s">
        <v>544</v>
      </c>
      <c r="M269" s="452" t="s">
        <v>544</v>
      </c>
      <c r="N269" s="645" t="s">
        <v>13</v>
      </c>
      <c r="O269" s="647">
        <v>46137</v>
      </c>
      <c r="P269" s="647" t="s">
        <v>1898</v>
      </c>
      <c r="Q269" s="647"/>
      <c r="V269" s="647"/>
      <c r="W269" s="647"/>
      <c r="X269" s="647"/>
      <c r="Y269" s="647"/>
      <c r="Z269" s="647"/>
      <c r="AA269" s="647"/>
      <c r="AB269" s="452">
        <v>3000</v>
      </c>
      <c r="AC269" s="653" t="s">
        <v>1663</v>
      </c>
      <c r="AD269" s="646"/>
    </row>
    <row r="270" spans="1:30" s="452" customFormat="1" hidden="1" x14ac:dyDescent="0.25">
      <c r="A270" s="644">
        <v>367</v>
      </c>
      <c r="B270" s="644" t="s">
        <v>34</v>
      </c>
      <c r="C270" s="651" t="s">
        <v>1562</v>
      </c>
      <c r="D270" s="645">
        <v>24024</v>
      </c>
      <c r="E270" s="647">
        <v>46132</v>
      </c>
      <c r="F270" s="646" t="s">
        <v>1646</v>
      </c>
      <c r="G270" s="452" t="s">
        <v>1637</v>
      </c>
      <c r="H270" s="452" t="s">
        <v>1933</v>
      </c>
      <c r="I270" s="452" t="s">
        <v>7</v>
      </c>
      <c r="J270" s="452" t="s">
        <v>542</v>
      </c>
      <c r="K270" s="452" t="s">
        <v>29</v>
      </c>
      <c r="L270" s="452" t="s">
        <v>544</v>
      </c>
      <c r="M270" s="452" t="s">
        <v>544</v>
      </c>
      <c r="N270" s="645" t="s">
        <v>13</v>
      </c>
      <c r="O270" s="647"/>
      <c r="P270" s="647"/>
      <c r="Q270" s="647"/>
      <c r="V270" s="647"/>
      <c r="W270" s="647"/>
      <c r="X270" s="647"/>
      <c r="Y270" s="647"/>
      <c r="Z270" s="647"/>
      <c r="AA270" s="647"/>
      <c r="AB270" s="452">
        <v>3000</v>
      </c>
      <c r="AC270" s="653" t="s">
        <v>1663</v>
      </c>
      <c r="AD270" s="646"/>
    </row>
    <row r="271" spans="1:30" s="452" customFormat="1" hidden="1" x14ac:dyDescent="0.25">
      <c r="A271" s="644">
        <v>368</v>
      </c>
      <c r="B271" s="644" t="s">
        <v>34</v>
      </c>
      <c r="C271" s="651" t="s">
        <v>1955</v>
      </c>
      <c r="D271" s="645">
        <v>25031</v>
      </c>
      <c r="E271" s="647">
        <v>46132</v>
      </c>
      <c r="F271" s="646" t="s">
        <v>871</v>
      </c>
      <c r="G271" s="452" t="s">
        <v>1637</v>
      </c>
      <c r="H271" s="452" t="s">
        <v>1932</v>
      </c>
      <c r="I271" s="452" t="s">
        <v>51</v>
      </c>
      <c r="J271" s="452" t="s">
        <v>542</v>
      </c>
      <c r="K271" s="452" t="s">
        <v>29</v>
      </c>
      <c r="L271" s="452" t="s">
        <v>544</v>
      </c>
      <c r="M271" s="452" t="s">
        <v>544</v>
      </c>
      <c r="N271" s="645" t="s">
        <v>13</v>
      </c>
      <c r="O271" s="647"/>
      <c r="P271" s="647"/>
      <c r="Q271" s="647"/>
      <c r="V271" s="647"/>
      <c r="W271" s="647"/>
      <c r="X271" s="647"/>
      <c r="Y271" s="647"/>
      <c r="Z271" s="647"/>
      <c r="AA271" s="647"/>
      <c r="AB271" s="452">
        <v>3000</v>
      </c>
      <c r="AC271" s="653" t="s">
        <v>1663</v>
      </c>
      <c r="AD271" s="646"/>
    </row>
    <row r="272" spans="1:30" s="452" customFormat="1" hidden="1" x14ac:dyDescent="0.25">
      <c r="A272" s="644">
        <v>369</v>
      </c>
      <c r="B272" s="644" t="s">
        <v>34</v>
      </c>
      <c r="C272" s="651" t="s">
        <v>1152</v>
      </c>
      <c r="D272" s="645">
        <v>24002</v>
      </c>
      <c r="E272" s="647">
        <v>46131</v>
      </c>
      <c r="F272" s="646" t="s">
        <v>1954</v>
      </c>
      <c r="G272" s="452" t="s">
        <v>1746</v>
      </c>
      <c r="H272" s="452" t="s">
        <v>1936</v>
      </c>
      <c r="I272" s="452" t="s">
        <v>697</v>
      </c>
      <c r="J272" s="452" t="s">
        <v>542</v>
      </c>
      <c r="K272" s="452" t="s">
        <v>29</v>
      </c>
      <c r="L272" s="452" t="s">
        <v>544</v>
      </c>
      <c r="M272" s="452" t="s">
        <v>544</v>
      </c>
      <c r="N272" s="645" t="s">
        <v>13</v>
      </c>
      <c r="O272" s="647"/>
      <c r="P272" s="647"/>
      <c r="Q272" s="647"/>
      <c r="V272" s="647"/>
      <c r="W272" s="647"/>
      <c r="X272" s="647"/>
      <c r="Y272" s="647"/>
      <c r="Z272" s="647"/>
      <c r="AA272" s="647"/>
      <c r="AB272" s="452">
        <v>3000</v>
      </c>
      <c r="AC272" s="653" t="s">
        <v>1746</v>
      </c>
      <c r="AD272" s="646"/>
    </row>
    <row r="273" spans="1:30" s="452" customFormat="1" ht="25.5" hidden="1" x14ac:dyDescent="0.25">
      <c r="A273" s="644">
        <v>370</v>
      </c>
      <c r="B273" s="644" t="s">
        <v>34</v>
      </c>
      <c r="C273" s="651" t="s">
        <v>1771</v>
      </c>
      <c r="D273" s="645">
        <v>25018</v>
      </c>
      <c r="E273" s="647">
        <v>46146</v>
      </c>
      <c r="F273" s="646" t="s">
        <v>1938</v>
      </c>
      <c r="G273" s="452" t="s">
        <v>1689</v>
      </c>
      <c r="H273" s="452" t="s">
        <v>1940</v>
      </c>
      <c r="I273" s="452" t="s">
        <v>109</v>
      </c>
      <c r="J273" s="452" t="s">
        <v>542</v>
      </c>
      <c r="K273" s="452" t="s">
        <v>43</v>
      </c>
      <c r="L273" s="452" t="s">
        <v>544</v>
      </c>
      <c r="M273" s="452" t="s">
        <v>544</v>
      </c>
      <c r="N273" s="645" t="s">
        <v>13</v>
      </c>
      <c r="O273" s="647"/>
      <c r="P273" s="647"/>
      <c r="Q273" s="647"/>
      <c r="V273" s="647"/>
      <c r="W273" s="647"/>
      <c r="X273" s="647"/>
      <c r="Y273" s="647"/>
      <c r="Z273" s="647"/>
      <c r="AA273" s="647"/>
      <c r="AB273" s="452">
        <v>4500</v>
      </c>
      <c r="AC273" s="653" t="s">
        <v>1689</v>
      </c>
      <c r="AD273" s="646"/>
    </row>
    <row r="274" spans="1:30" s="452" customFormat="1" ht="25.5" hidden="1" x14ac:dyDescent="0.25">
      <c r="A274" s="644">
        <v>371</v>
      </c>
      <c r="B274" s="644" t="s">
        <v>34</v>
      </c>
      <c r="C274" s="651" t="s">
        <v>1771</v>
      </c>
      <c r="D274" s="645">
        <v>25018</v>
      </c>
      <c r="E274" s="647">
        <v>46146</v>
      </c>
      <c r="F274" s="646" t="s">
        <v>1939</v>
      </c>
      <c r="G274" s="452" t="s">
        <v>1689</v>
      </c>
      <c r="H274" s="452" t="s">
        <v>1942</v>
      </c>
      <c r="I274" s="452" t="s">
        <v>109</v>
      </c>
      <c r="J274" s="452" t="s">
        <v>542</v>
      </c>
      <c r="K274" s="452" t="s">
        <v>43</v>
      </c>
      <c r="L274" s="452" t="s">
        <v>544</v>
      </c>
      <c r="M274" s="452" t="s">
        <v>544</v>
      </c>
      <c r="N274" s="645" t="s">
        <v>13</v>
      </c>
      <c r="O274" s="647">
        <v>46146</v>
      </c>
      <c r="P274" s="647" t="s">
        <v>1941</v>
      </c>
      <c r="Q274" s="647"/>
      <c r="V274" s="647"/>
      <c r="W274" s="647"/>
      <c r="X274" s="647"/>
      <c r="Y274" s="647"/>
      <c r="Z274" s="647"/>
      <c r="AA274" s="647"/>
      <c r="AB274" s="452">
        <v>4500</v>
      </c>
      <c r="AC274" s="653" t="s">
        <v>1689</v>
      </c>
      <c r="AD274" s="646"/>
    </row>
    <row r="275" spans="1:30" s="452" customFormat="1" hidden="1" x14ac:dyDescent="0.25">
      <c r="A275" s="644">
        <v>372</v>
      </c>
      <c r="B275" s="644" t="s">
        <v>34</v>
      </c>
      <c r="C275" s="651" t="s">
        <v>1946</v>
      </c>
      <c r="D275" s="645">
        <v>26010</v>
      </c>
      <c r="E275" s="647">
        <v>46166</v>
      </c>
      <c r="F275" s="646" t="s">
        <v>1947</v>
      </c>
      <c r="G275" s="452" t="s">
        <v>1689</v>
      </c>
      <c r="H275" s="452" t="s">
        <v>1953</v>
      </c>
      <c r="I275" s="452" t="s">
        <v>697</v>
      </c>
      <c r="J275" s="452" t="s">
        <v>542</v>
      </c>
      <c r="K275" s="452" t="s">
        <v>29</v>
      </c>
      <c r="L275" s="452" t="s">
        <v>544</v>
      </c>
      <c r="M275" s="452" t="s">
        <v>544</v>
      </c>
      <c r="N275" s="645" t="s">
        <v>13</v>
      </c>
      <c r="O275" s="647"/>
      <c r="P275" s="647"/>
      <c r="Q275" s="647"/>
      <c r="V275" s="647"/>
      <c r="W275" s="647"/>
      <c r="X275" s="647"/>
      <c r="Y275" s="647"/>
      <c r="Z275" s="647"/>
      <c r="AA275" s="647"/>
      <c r="AB275" s="452">
        <v>3000</v>
      </c>
      <c r="AC275" s="653" t="s">
        <v>1689</v>
      </c>
      <c r="AD275" s="646"/>
    </row>
    <row r="276" spans="1:30" s="452" customFormat="1" hidden="1" x14ac:dyDescent="0.25">
      <c r="A276" s="644">
        <v>373</v>
      </c>
      <c r="B276" s="644" t="s">
        <v>34</v>
      </c>
      <c r="C276" s="651" t="s">
        <v>1946</v>
      </c>
      <c r="D276" s="645">
        <v>26010</v>
      </c>
      <c r="E276" s="647">
        <v>46167</v>
      </c>
      <c r="F276" s="646" t="s">
        <v>1948</v>
      </c>
      <c r="G276" s="452" t="s">
        <v>1689</v>
      </c>
      <c r="H276" s="452" t="s">
        <v>1949</v>
      </c>
      <c r="I276" s="452" t="s">
        <v>61</v>
      </c>
      <c r="J276" s="452" t="s">
        <v>542</v>
      </c>
      <c r="K276" s="452" t="s">
        <v>43</v>
      </c>
      <c r="L276" s="452" t="s">
        <v>544</v>
      </c>
      <c r="M276" s="452" t="s">
        <v>544</v>
      </c>
      <c r="N276" s="645" t="s">
        <v>13</v>
      </c>
      <c r="O276" s="647"/>
      <c r="P276" s="647"/>
      <c r="Q276" s="647"/>
      <c r="V276" s="647"/>
      <c r="W276" s="647"/>
      <c r="X276" s="647"/>
      <c r="Y276" s="647"/>
      <c r="Z276" s="647"/>
      <c r="AA276" s="647"/>
      <c r="AB276" s="452">
        <v>3000</v>
      </c>
      <c r="AC276" s="653" t="s">
        <v>1689</v>
      </c>
      <c r="AD276" s="646"/>
    </row>
    <row r="277" spans="1:30" s="452" customFormat="1" hidden="1" x14ac:dyDescent="0.25">
      <c r="A277" s="644">
        <v>374</v>
      </c>
      <c r="B277" s="644" t="s">
        <v>215</v>
      </c>
      <c r="C277" s="651" t="s">
        <v>1946</v>
      </c>
      <c r="D277" s="645">
        <v>26010</v>
      </c>
      <c r="E277" s="647">
        <v>46167</v>
      </c>
      <c r="F277" s="646" t="s">
        <v>1952</v>
      </c>
      <c r="G277" s="452" t="s">
        <v>1951</v>
      </c>
      <c r="H277" s="452" t="s">
        <v>1950</v>
      </c>
      <c r="I277" s="452" t="s">
        <v>61</v>
      </c>
      <c r="J277" s="452" t="s">
        <v>542</v>
      </c>
      <c r="K277" s="452" t="s">
        <v>43</v>
      </c>
      <c r="L277" s="452" t="s">
        <v>544</v>
      </c>
      <c r="M277" s="452" t="s">
        <v>544</v>
      </c>
      <c r="N277" s="645" t="s">
        <v>1334</v>
      </c>
      <c r="O277" s="647"/>
      <c r="P277" s="647"/>
      <c r="Q277" s="647"/>
      <c r="V277" s="647"/>
      <c r="W277" s="647"/>
      <c r="X277" s="647"/>
      <c r="Y277" s="647"/>
      <c r="Z277" s="647"/>
      <c r="AA277" s="647">
        <v>46178</v>
      </c>
      <c r="AB277" s="452" t="s">
        <v>373</v>
      </c>
      <c r="AC277" s="653" t="s">
        <v>1334</v>
      </c>
      <c r="AD277" s="646"/>
    </row>
    <row r="278" spans="1:30" s="452" customFormat="1" hidden="1" x14ac:dyDescent="0.25">
      <c r="A278" s="644">
        <v>375</v>
      </c>
      <c r="B278" s="644" t="s">
        <v>34</v>
      </c>
      <c r="C278" s="651" t="s">
        <v>1946</v>
      </c>
      <c r="D278" s="645">
        <v>26010</v>
      </c>
      <c r="E278" s="647">
        <v>46170</v>
      </c>
      <c r="F278" s="646" t="s">
        <v>1958</v>
      </c>
      <c r="G278" s="452" t="s">
        <v>1689</v>
      </c>
      <c r="H278" s="452" t="s">
        <v>1962</v>
      </c>
      <c r="I278" s="452" t="s">
        <v>109</v>
      </c>
      <c r="J278" s="452" t="s">
        <v>542</v>
      </c>
      <c r="K278" s="452" t="s">
        <v>43</v>
      </c>
      <c r="L278" s="452" t="s">
        <v>544</v>
      </c>
      <c r="M278" s="452" t="s">
        <v>544</v>
      </c>
      <c r="N278" s="645" t="s">
        <v>13</v>
      </c>
      <c r="O278" s="647"/>
      <c r="P278" s="647"/>
      <c r="Q278" s="647"/>
      <c r="V278" s="647"/>
      <c r="W278" s="647"/>
      <c r="X278" s="647"/>
      <c r="Y278" s="647"/>
      <c r="Z278" s="647"/>
      <c r="AA278" s="647"/>
      <c r="AB278" s="452">
        <v>3000</v>
      </c>
      <c r="AC278" s="653" t="s">
        <v>1689</v>
      </c>
      <c r="AD278" s="646"/>
    </row>
    <row r="279" spans="1:30" s="452" customFormat="1" hidden="1" x14ac:dyDescent="0.25">
      <c r="A279" s="644">
        <v>376</v>
      </c>
      <c r="B279" s="644" t="s">
        <v>34</v>
      </c>
      <c r="C279" s="651" t="s">
        <v>1946</v>
      </c>
      <c r="D279" s="645">
        <v>26010</v>
      </c>
      <c r="E279" s="647">
        <v>46170</v>
      </c>
      <c r="F279" s="646" t="s">
        <v>1959</v>
      </c>
      <c r="G279" s="452" t="s">
        <v>1856</v>
      </c>
      <c r="H279" s="452" t="s">
        <v>1963</v>
      </c>
      <c r="I279" s="452" t="s">
        <v>194</v>
      </c>
      <c r="J279" s="452" t="s">
        <v>542</v>
      </c>
      <c r="K279" s="452" t="s">
        <v>43</v>
      </c>
      <c r="L279" s="452" t="s">
        <v>544</v>
      </c>
      <c r="M279" s="452" t="s">
        <v>544</v>
      </c>
      <c r="N279" s="645" t="s">
        <v>8</v>
      </c>
      <c r="O279" s="647"/>
      <c r="P279" s="647"/>
      <c r="Q279" s="647"/>
      <c r="V279" s="647"/>
      <c r="W279" s="647"/>
      <c r="X279" s="647"/>
      <c r="Y279" s="647"/>
      <c r="Z279" s="647"/>
      <c r="AA279" s="647"/>
      <c r="AB279" s="452">
        <v>3000</v>
      </c>
      <c r="AC279" s="653" t="s">
        <v>1856</v>
      </c>
      <c r="AD279" s="646"/>
    </row>
    <row r="280" spans="1:30" s="452" customFormat="1" hidden="1" x14ac:dyDescent="0.25">
      <c r="A280" s="644">
        <v>377</v>
      </c>
      <c r="B280" s="644" t="s">
        <v>34</v>
      </c>
      <c r="C280" s="651" t="s">
        <v>1946</v>
      </c>
      <c r="D280" s="645">
        <v>26010</v>
      </c>
      <c r="E280" s="647">
        <v>46173</v>
      </c>
      <c r="F280" s="646" t="s">
        <v>1960</v>
      </c>
      <c r="G280" s="452" t="s">
        <v>1689</v>
      </c>
      <c r="H280" s="452" t="s">
        <v>1961</v>
      </c>
      <c r="I280" s="452" t="s">
        <v>7</v>
      </c>
      <c r="J280" s="452" t="s">
        <v>542</v>
      </c>
      <c r="K280" s="452" t="s">
        <v>29</v>
      </c>
      <c r="L280" s="452" t="s">
        <v>544</v>
      </c>
      <c r="M280" s="452" t="s">
        <v>544</v>
      </c>
      <c r="N280" s="645" t="s">
        <v>13</v>
      </c>
      <c r="O280" s="647"/>
      <c r="P280" s="647"/>
      <c r="Q280" s="647"/>
      <c r="V280" s="647"/>
      <c r="W280" s="647"/>
      <c r="X280" s="647"/>
      <c r="Y280" s="647"/>
      <c r="Z280" s="647"/>
      <c r="AA280" s="647"/>
      <c r="AB280" s="452">
        <v>3000</v>
      </c>
      <c r="AC280" s="653" t="s">
        <v>1689</v>
      </c>
      <c r="AD280" s="646"/>
    </row>
    <row r="281" spans="1:30" s="452" customFormat="1" hidden="1" x14ac:dyDescent="0.25">
      <c r="A281" s="644">
        <v>378</v>
      </c>
      <c r="B281" s="644" t="s">
        <v>34</v>
      </c>
      <c r="C281" s="651" t="s">
        <v>1837</v>
      </c>
      <c r="D281" s="645">
        <v>25030</v>
      </c>
      <c r="E281" s="647">
        <v>46171</v>
      </c>
      <c r="F281" s="646" t="s">
        <v>1838</v>
      </c>
      <c r="G281" s="452" t="s">
        <v>1839</v>
      </c>
      <c r="H281" s="452" t="s">
        <v>1842</v>
      </c>
      <c r="I281" s="452" t="s">
        <v>1840</v>
      </c>
      <c r="J281" s="452" t="s">
        <v>544</v>
      </c>
      <c r="K281" s="452" t="s">
        <v>247</v>
      </c>
      <c r="L281" s="645" t="s">
        <v>544</v>
      </c>
      <c r="M281" s="645" t="s">
        <v>544</v>
      </c>
      <c r="N281" s="645" t="s">
        <v>1841</v>
      </c>
      <c r="O281" s="647"/>
      <c r="P281" s="647"/>
      <c r="Q281" s="647"/>
      <c r="V281" s="647"/>
      <c r="W281" s="647"/>
      <c r="X281" s="647"/>
      <c r="Y281" s="647"/>
      <c r="Z281" s="647"/>
      <c r="AA281" s="647"/>
      <c r="AB281" s="452" t="s">
        <v>373</v>
      </c>
      <c r="AC281" s="653" t="s">
        <v>1839</v>
      </c>
      <c r="AD281" s="646"/>
    </row>
    <row r="282" spans="1:30" s="452" customFormat="1" ht="25.5" hidden="1" x14ac:dyDescent="0.25">
      <c r="A282" s="644">
        <v>379</v>
      </c>
      <c r="B282" s="644" t="s">
        <v>34</v>
      </c>
      <c r="C282" s="651" t="s">
        <v>1771</v>
      </c>
      <c r="D282" s="645">
        <v>25018</v>
      </c>
      <c r="E282" s="647">
        <v>46181</v>
      </c>
      <c r="F282" s="646" t="s">
        <v>1603</v>
      </c>
      <c r="G282" s="452" t="s">
        <v>1689</v>
      </c>
      <c r="H282" s="452" t="s">
        <v>1850</v>
      </c>
      <c r="I282" s="452" t="s">
        <v>194</v>
      </c>
      <c r="J282" s="452" t="s">
        <v>542</v>
      </c>
      <c r="K282" s="452" t="s">
        <v>62</v>
      </c>
      <c r="L282" s="645" t="s">
        <v>544</v>
      </c>
      <c r="M282" s="645" t="s">
        <v>544</v>
      </c>
      <c r="N282" s="645" t="s">
        <v>13</v>
      </c>
      <c r="O282" s="647"/>
      <c r="P282" s="647"/>
      <c r="Q282" s="647"/>
      <c r="V282" s="647"/>
      <c r="W282" s="647"/>
      <c r="X282" s="647"/>
      <c r="Y282" s="647"/>
      <c r="Z282" s="647"/>
      <c r="AA282" s="647"/>
      <c r="AB282" s="452">
        <v>4500</v>
      </c>
      <c r="AC282" s="653" t="s">
        <v>1689</v>
      </c>
      <c r="AD282" s="646"/>
    </row>
    <row r="283" spans="1:30" s="452" customFormat="1" hidden="1" x14ac:dyDescent="0.2">
      <c r="A283" s="644">
        <v>380</v>
      </c>
      <c r="B283" s="644" t="s">
        <v>34</v>
      </c>
      <c r="C283" s="651" t="s">
        <v>1946</v>
      </c>
      <c r="D283" s="645">
        <v>26010</v>
      </c>
      <c r="E283" s="647">
        <v>46182</v>
      </c>
      <c r="F283" s="646" t="s">
        <v>1966</v>
      </c>
      <c r="G283" s="452" t="s">
        <v>1965</v>
      </c>
      <c r="H283" s="452" t="s">
        <v>1964</v>
      </c>
      <c r="I283" s="452" t="s">
        <v>53</v>
      </c>
      <c r="J283" s="452" t="s">
        <v>542</v>
      </c>
      <c r="K283" s="452" t="s">
        <v>32</v>
      </c>
      <c r="L283" s="452" t="s">
        <v>542</v>
      </c>
      <c r="M283" s="652">
        <v>46185</v>
      </c>
      <c r="N283" s="645" t="s">
        <v>1334</v>
      </c>
      <c r="O283" s="647"/>
      <c r="P283" s="647"/>
      <c r="Q283" s="647"/>
      <c r="V283" s="647"/>
      <c r="W283" s="647"/>
      <c r="X283" s="647"/>
      <c r="Y283" s="647"/>
      <c r="Z283" s="647"/>
      <c r="AA283" s="647"/>
      <c r="AB283" s="452" t="s">
        <v>373</v>
      </c>
      <c r="AC283" s="653" t="s">
        <v>1965</v>
      </c>
      <c r="AD283" s="646"/>
    </row>
    <row r="284" spans="1:30" s="452" customFormat="1" hidden="1" x14ac:dyDescent="0.25">
      <c r="A284" s="644">
        <v>381</v>
      </c>
      <c r="B284" s="644" t="s">
        <v>34</v>
      </c>
      <c r="C284" s="651" t="s">
        <v>1767</v>
      </c>
      <c r="D284" s="645">
        <v>25018</v>
      </c>
      <c r="E284" s="647">
        <v>46180</v>
      </c>
      <c r="F284" s="646" t="s">
        <v>1595</v>
      </c>
      <c r="G284" s="452" t="s">
        <v>1689</v>
      </c>
      <c r="H284" s="452" t="s">
        <v>1967</v>
      </c>
      <c r="I284" s="452" t="s">
        <v>109</v>
      </c>
      <c r="J284" s="452" t="s">
        <v>542</v>
      </c>
      <c r="K284" s="452" t="s">
        <v>62</v>
      </c>
      <c r="L284" s="645" t="s">
        <v>544</v>
      </c>
      <c r="M284" s="645" t="s">
        <v>544</v>
      </c>
      <c r="N284" s="645" t="s">
        <v>13</v>
      </c>
      <c r="O284" s="647"/>
      <c r="P284" s="647"/>
      <c r="Q284" s="647"/>
      <c r="V284" s="647"/>
      <c r="W284" s="647"/>
      <c r="X284" s="647"/>
      <c r="Y284" s="647"/>
      <c r="Z284" s="647"/>
      <c r="AA284" s="647"/>
      <c r="AB284" s="452">
        <v>3000</v>
      </c>
      <c r="AC284" s="653" t="s">
        <v>1689</v>
      </c>
      <c r="AD284" s="646"/>
    </row>
    <row r="285" spans="1:30" s="452" customFormat="1" hidden="1" x14ac:dyDescent="0.25">
      <c r="A285" s="644">
        <v>382</v>
      </c>
      <c r="B285" s="644" t="s">
        <v>34</v>
      </c>
      <c r="C285" s="651" t="s">
        <v>1152</v>
      </c>
      <c r="D285" s="645">
        <v>24002</v>
      </c>
      <c r="E285" s="647">
        <v>46179</v>
      </c>
      <c r="F285" s="646" t="s">
        <v>1969</v>
      </c>
      <c r="G285" s="452" t="s">
        <v>1663</v>
      </c>
      <c r="H285" s="452" t="s">
        <v>1968</v>
      </c>
      <c r="I285" s="452" t="s">
        <v>51</v>
      </c>
      <c r="J285" s="452" t="s">
        <v>542</v>
      </c>
      <c r="K285" s="452" t="s">
        <v>29</v>
      </c>
      <c r="L285" s="452" t="s">
        <v>544</v>
      </c>
      <c r="M285" s="452" t="s">
        <v>544</v>
      </c>
      <c r="N285" s="645" t="s">
        <v>13</v>
      </c>
      <c r="O285" s="647"/>
      <c r="P285" s="647"/>
      <c r="Q285" s="647"/>
      <c r="V285" s="647"/>
      <c r="W285" s="647"/>
      <c r="X285" s="647"/>
      <c r="Y285" s="647"/>
      <c r="Z285" s="647"/>
      <c r="AA285" s="647"/>
      <c r="AB285" s="452">
        <v>3000</v>
      </c>
      <c r="AC285" s="653" t="s">
        <v>1663</v>
      </c>
      <c r="AD285" s="646"/>
    </row>
    <row r="286" spans="1:30" s="452" customFormat="1" hidden="1" x14ac:dyDescent="0.2">
      <c r="A286" s="644"/>
      <c r="B286" s="644"/>
      <c r="C286" s="651"/>
      <c r="D286" s="645"/>
      <c r="E286" s="647"/>
      <c r="F286" s="646"/>
      <c r="M286" s="450"/>
      <c r="N286" s="645"/>
      <c r="O286" s="647"/>
      <c r="P286" s="647"/>
      <c r="Q286" s="647"/>
      <c r="V286" s="647"/>
      <c r="W286" s="647"/>
      <c r="X286" s="647"/>
      <c r="Y286" s="647"/>
      <c r="Z286" s="647"/>
      <c r="AA286" s="647"/>
      <c r="AC286" s="653"/>
      <c r="AD286" s="646"/>
    </row>
    <row r="287" spans="1:30" s="452" customFormat="1" hidden="1" x14ac:dyDescent="0.2">
      <c r="A287" s="644"/>
      <c r="B287" s="644"/>
      <c r="C287" s="651"/>
      <c r="D287" s="645"/>
      <c r="E287" s="647"/>
      <c r="F287" s="646"/>
      <c r="M287" s="450"/>
      <c r="N287" s="645"/>
      <c r="O287" s="647"/>
      <c r="P287" s="647"/>
      <c r="Q287" s="647"/>
      <c r="V287" s="647"/>
      <c r="W287" s="647"/>
      <c r="X287" s="647"/>
      <c r="Y287" s="647"/>
      <c r="Z287" s="647"/>
      <c r="AA287" s="647"/>
      <c r="AC287" s="653"/>
      <c r="AD287" s="646"/>
    </row>
    <row r="288" spans="1:30" s="452" customFormat="1" hidden="1" x14ac:dyDescent="0.2">
      <c r="A288" s="644"/>
      <c r="B288" s="644"/>
      <c r="C288" s="651"/>
      <c r="D288" s="645"/>
      <c r="E288" s="647"/>
      <c r="F288" s="646"/>
      <c r="M288" s="450"/>
      <c r="N288" s="645"/>
      <c r="O288" s="647"/>
      <c r="P288" s="647"/>
      <c r="Q288" s="647"/>
      <c r="V288" s="647"/>
      <c r="W288" s="647"/>
      <c r="X288" s="647"/>
      <c r="Y288" s="647"/>
      <c r="Z288" s="647"/>
      <c r="AA288" s="647"/>
      <c r="AC288" s="653"/>
      <c r="AD288" s="646"/>
    </row>
    <row r="289" spans="1:30" s="452" customFormat="1" hidden="1" x14ac:dyDescent="0.2">
      <c r="A289" s="644"/>
      <c r="B289" s="644"/>
      <c r="C289" s="651"/>
      <c r="D289" s="645"/>
      <c r="E289" s="647"/>
      <c r="F289" s="646"/>
      <c r="M289" s="450"/>
      <c r="N289" s="645"/>
      <c r="O289" s="647"/>
      <c r="P289" s="647"/>
      <c r="Q289" s="647"/>
      <c r="V289" s="647"/>
      <c r="W289" s="647"/>
      <c r="X289" s="647"/>
      <c r="Y289" s="647"/>
      <c r="Z289" s="647"/>
      <c r="AA289" s="647"/>
      <c r="AC289" s="653"/>
      <c r="AD289" s="646"/>
    </row>
    <row r="290" spans="1:30" s="452" customFormat="1" hidden="1" x14ac:dyDescent="0.2">
      <c r="A290" s="644"/>
      <c r="B290" s="644"/>
      <c r="C290" s="651"/>
      <c r="D290" s="645"/>
      <c r="E290" s="647"/>
      <c r="F290" s="646"/>
      <c r="M290" s="450"/>
      <c r="N290" s="645"/>
      <c r="O290" s="647"/>
      <c r="P290" s="647"/>
      <c r="Q290" s="647"/>
      <c r="V290" s="647"/>
      <c r="W290" s="647"/>
      <c r="X290" s="647"/>
      <c r="Y290" s="647"/>
      <c r="Z290" s="647"/>
      <c r="AA290" s="647"/>
      <c r="AC290" s="653"/>
      <c r="AD290" s="646"/>
    </row>
    <row r="291" spans="1:30" s="452" customFormat="1" hidden="1" x14ac:dyDescent="0.2">
      <c r="A291" s="644"/>
      <c r="B291" s="644"/>
      <c r="C291" s="651"/>
      <c r="D291" s="645"/>
      <c r="E291" s="647"/>
      <c r="F291" s="646"/>
      <c r="M291" s="450"/>
      <c r="N291" s="645"/>
      <c r="O291" s="647"/>
      <c r="P291" s="647"/>
      <c r="Q291" s="647"/>
      <c r="V291" s="647"/>
      <c r="W291" s="647"/>
      <c r="X291" s="647"/>
      <c r="Y291" s="647"/>
      <c r="Z291" s="647"/>
      <c r="AA291" s="647"/>
      <c r="AC291" s="653"/>
      <c r="AD291" s="646"/>
    </row>
    <row r="292" spans="1:30" s="452" customFormat="1" hidden="1" x14ac:dyDescent="0.2">
      <c r="A292" s="644"/>
      <c r="B292" s="644"/>
      <c r="C292" s="651"/>
      <c r="D292" s="645"/>
      <c r="E292" s="647"/>
      <c r="F292" s="646"/>
      <c r="M292" s="450"/>
      <c r="N292" s="645"/>
      <c r="O292" s="647"/>
      <c r="P292" s="647"/>
      <c r="Q292" s="647"/>
      <c r="V292" s="647"/>
      <c r="W292" s="647"/>
      <c r="X292" s="647"/>
      <c r="Y292" s="647"/>
      <c r="Z292" s="647"/>
      <c r="AA292" s="647"/>
      <c r="AC292" s="653"/>
      <c r="AD292" s="646"/>
    </row>
    <row r="293" spans="1:30" s="452" customFormat="1" hidden="1" x14ac:dyDescent="0.2">
      <c r="A293" s="644"/>
      <c r="B293" s="644"/>
      <c r="C293" s="651"/>
      <c r="D293" s="645"/>
      <c r="E293" s="647"/>
      <c r="F293" s="646"/>
      <c r="M293" s="450"/>
      <c r="N293" s="645"/>
      <c r="O293" s="647"/>
      <c r="P293" s="647"/>
      <c r="Q293" s="647"/>
      <c r="V293" s="647"/>
      <c r="W293" s="647"/>
      <c r="X293" s="647"/>
      <c r="Y293" s="647"/>
      <c r="Z293" s="647"/>
      <c r="AA293" s="647"/>
      <c r="AC293" s="653"/>
      <c r="AD293" s="646"/>
    </row>
    <row r="294" spans="1:30" s="452" customFormat="1" hidden="1" x14ac:dyDescent="0.2">
      <c r="A294" s="644"/>
      <c r="B294" s="644"/>
      <c r="C294" s="651"/>
      <c r="D294" s="645"/>
      <c r="E294" s="647"/>
      <c r="F294" s="646"/>
      <c r="M294" s="450"/>
      <c r="N294" s="645"/>
      <c r="O294" s="647"/>
      <c r="P294" s="647"/>
      <c r="Q294" s="647"/>
      <c r="V294" s="647"/>
      <c r="W294" s="647"/>
      <c r="X294" s="647"/>
      <c r="Y294" s="647"/>
      <c r="Z294" s="647"/>
      <c r="AA294" s="647"/>
      <c r="AC294" s="653"/>
      <c r="AD294" s="646"/>
    </row>
    <row r="295" spans="1:30" s="452" customFormat="1" hidden="1" x14ac:dyDescent="0.2">
      <c r="A295" s="644"/>
      <c r="B295" s="644"/>
      <c r="C295" s="651"/>
      <c r="D295" s="645"/>
      <c r="E295" s="647"/>
      <c r="F295" s="646"/>
      <c r="M295" s="450"/>
      <c r="N295" s="645"/>
      <c r="O295" s="647"/>
      <c r="P295" s="647"/>
      <c r="Q295" s="647"/>
      <c r="V295" s="647"/>
      <c r="W295" s="647"/>
      <c r="X295" s="647"/>
      <c r="Y295" s="647"/>
      <c r="Z295" s="647"/>
      <c r="AA295" s="647"/>
      <c r="AC295" s="653"/>
      <c r="AD295" s="646"/>
    </row>
    <row r="296" spans="1:30" s="452" customFormat="1" hidden="1" x14ac:dyDescent="0.2">
      <c r="A296" s="644"/>
      <c r="B296" s="644"/>
      <c r="C296" s="651"/>
      <c r="D296" s="645"/>
      <c r="E296" s="647"/>
      <c r="F296" s="646"/>
      <c r="M296" s="450"/>
      <c r="N296" s="645"/>
      <c r="O296" s="647"/>
      <c r="P296" s="647"/>
      <c r="Q296" s="647"/>
      <c r="V296" s="647"/>
      <c r="W296" s="647"/>
      <c r="X296" s="647"/>
      <c r="Y296" s="647"/>
      <c r="Z296" s="647"/>
      <c r="AA296" s="647"/>
      <c r="AC296" s="653"/>
      <c r="AD296" s="646"/>
    </row>
    <row r="297" spans="1:30" s="452" customFormat="1" hidden="1" x14ac:dyDescent="0.2">
      <c r="A297" s="644"/>
      <c r="B297" s="644"/>
      <c r="C297" s="651"/>
      <c r="D297" s="645"/>
      <c r="E297" s="647"/>
      <c r="F297" s="646"/>
      <c r="M297" s="450"/>
      <c r="N297" s="645"/>
      <c r="O297" s="647"/>
      <c r="P297" s="647"/>
      <c r="Q297" s="647"/>
      <c r="V297" s="647"/>
      <c r="W297" s="647"/>
      <c r="X297" s="647"/>
      <c r="Y297" s="647"/>
      <c r="Z297" s="647"/>
      <c r="AA297" s="647"/>
      <c r="AC297" s="653"/>
      <c r="AD297" s="646"/>
    </row>
    <row r="298" spans="1:30" s="452" customFormat="1" hidden="1" x14ac:dyDescent="0.2">
      <c r="A298" s="644"/>
      <c r="B298" s="644"/>
      <c r="C298" s="651"/>
      <c r="D298" s="645"/>
      <c r="E298" s="647"/>
      <c r="F298" s="646"/>
      <c r="M298" s="450"/>
      <c r="N298" s="645"/>
      <c r="O298" s="647"/>
      <c r="P298" s="647"/>
      <c r="Q298" s="647"/>
      <c r="V298" s="647"/>
      <c r="W298" s="647"/>
      <c r="X298" s="647"/>
      <c r="Y298" s="647"/>
      <c r="Z298" s="647"/>
      <c r="AA298" s="647"/>
      <c r="AC298" s="653"/>
      <c r="AD298" s="646"/>
    </row>
    <row r="299" spans="1:30" s="452" customFormat="1" hidden="1" x14ac:dyDescent="0.2">
      <c r="A299" s="644"/>
      <c r="B299" s="644"/>
      <c r="C299" s="651"/>
      <c r="D299" s="645"/>
      <c r="E299" s="647"/>
      <c r="F299" s="646"/>
      <c r="M299" s="450"/>
      <c r="N299" s="645"/>
      <c r="O299" s="647"/>
      <c r="P299" s="647"/>
      <c r="Q299" s="647"/>
      <c r="V299" s="647"/>
      <c r="W299" s="647"/>
      <c r="X299" s="647"/>
      <c r="Y299" s="647"/>
      <c r="Z299" s="647"/>
      <c r="AA299" s="647"/>
      <c r="AC299" s="653"/>
      <c r="AD299" s="646"/>
    </row>
    <row r="300" spans="1:30" s="452" customFormat="1" hidden="1" x14ac:dyDescent="0.2">
      <c r="A300" s="644"/>
      <c r="B300" s="644"/>
      <c r="C300" s="651"/>
      <c r="D300" s="645"/>
      <c r="E300" s="647"/>
      <c r="F300" s="646"/>
      <c r="M300" s="450"/>
      <c r="N300" s="645"/>
      <c r="O300" s="647"/>
      <c r="P300" s="647"/>
      <c r="Q300" s="647"/>
      <c r="V300" s="647"/>
      <c r="W300" s="647"/>
      <c r="X300" s="647"/>
      <c r="Y300" s="647"/>
      <c r="Z300" s="647"/>
      <c r="AA300" s="647"/>
      <c r="AC300" s="653"/>
      <c r="AD300" s="646"/>
    </row>
    <row r="301" spans="1:30" s="452" customFormat="1" hidden="1" x14ac:dyDescent="0.2">
      <c r="A301" s="644"/>
      <c r="B301" s="644"/>
      <c r="C301" s="651"/>
      <c r="D301" s="645"/>
      <c r="E301" s="647"/>
      <c r="F301" s="646"/>
      <c r="M301" s="450"/>
      <c r="N301" s="645"/>
      <c r="O301" s="647"/>
      <c r="P301" s="647"/>
      <c r="Q301" s="647"/>
      <c r="V301" s="647"/>
      <c r="W301" s="647"/>
      <c r="X301" s="647"/>
      <c r="Y301" s="647"/>
      <c r="Z301" s="647"/>
      <c r="AA301" s="647"/>
      <c r="AC301" s="653"/>
      <c r="AD301" s="646"/>
    </row>
    <row r="302" spans="1:30" s="452" customFormat="1" hidden="1" x14ac:dyDescent="0.2">
      <c r="A302" s="644"/>
      <c r="B302" s="644"/>
      <c r="C302" s="651"/>
      <c r="D302" s="645"/>
      <c r="E302" s="647"/>
      <c r="F302" s="646"/>
      <c r="M302" s="450"/>
      <c r="N302" s="645"/>
      <c r="O302" s="647"/>
      <c r="P302" s="647"/>
      <c r="Q302" s="647"/>
      <c r="V302" s="647"/>
      <c r="W302" s="647"/>
      <c r="X302" s="647"/>
      <c r="Y302" s="647"/>
      <c r="Z302" s="647"/>
      <c r="AA302" s="647"/>
      <c r="AC302" s="653"/>
      <c r="AD302" s="646"/>
    </row>
    <row r="303" spans="1:30" s="452" customFormat="1" hidden="1" x14ac:dyDescent="0.2">
      <c r="A303" s="644"/>
      <c r="B303" s="644"/>
      <c r="C303" s="651"/>
      <c r="D303" s="645"/>
      <c r="E303" s="647"/>
      <c r="F303" s="646"/>
      <c r="M303" s="450"/>
      <c r="N303" s="645"/>
      <c r="O303" s="647"/>
      <c r="P303" s="647"/>
      <c r="Q303" s="647"/>
      <c r="V303" s="647"/>
      <c r="W303" s="647"/>
      <c r="X303" s="647"/>
      <c r="Y303" s="647"/>
      <c r="Z303" s="647"/>
      <c r="AA303" s="647"/>
      <c r="AC303" s="653"/>
      <c r="AD303" s="646"/>
    </row>
    <row r="304" spans="1:30" s="452" customFormat="1" hidden="1" x14ac:dyDescent="0.2">
      <c r="A304" s="644"/>
      <c r="B304" s="644"/>
      <c r="C304" s="651"/>
      <c r="D304" s="645"/>
      <c r="E304" s="647"/>
      <c r="F304" s="646"/>
      <c r="M304" s="450"/>
      <c r="N304" s="645"/>
      <c r="O304" s="647"/>
      <c r="P304" s="647"/>
      <c r="Q304" s="647"/>
      <c r="V304" s="647"/>
      <c r="W304" s="647"/>
      <c r="X304" s="647"/>
      <c r="Y304" s="647"/>
      <c r="Z304" s="647"/>
      <c r="AA304" s="647"/>
      <c r="AC304" s="653"/>
      <c r="AD304" s="646"/>
    </row>
    <row r="305" spans="1:30" s="452" customFormat="1" hidden="1" x14ac:dyDescent="0.2">
      <c r="A305" s="644"/>
      <c r="B305" s="644"/>
      <c r="C305" s="651"/>
      <c r="D305" s="645"/>
      <c r="E305" s="647"/>
      <c r="F305" s="646"/>
      <c r="M305" s="450"/>
      <c r="N305" s="645"/>
      <c r="O305" s="647"/>
      <c r="P305" s="647"/>
      <c r="Q305" s="647"/>
      <c r="V305" s="647"/>
      <c r="W305" s="647"/>
      <c r="X305" s="647"/>
      <c r="Y305" s="647"/>
      <c r="Z305" s="647"/>
      <c r="AA305" s="647"/>
      <c r="AC305" s="653"/>
      <c r="AD305" s="646"/>
    </row>
    <row r="306" spans="1:30" s="452" customFormat="1" hidden="1" x14ac:dyDescent="0.2">
      <c r="A306" s="644"/>
      <c r="B306" s="644"/>
      <c r="C306" s="651"/>
      <c r="D306" s="645"/>
      <c r="E306" s="647"/>
      <c r="F306" s="646"/>
      <c r="M306" s="450"/>
      <c r="N306" s="645"/>
      <c r="O306" s="647"/>
      <c r="P306" s="647"/>
      <c r="Q306" s="647"/>
      <c r="V306" s="647"/>
      <c r="W306" s="647"/>
      <c r="X306" s="647"/>
      <c r="Y306" s="647"/>
      <c r="Z306" s="647"/>
      <c r="AA306" s="647"/>
      <c r="AC306" s="653"/>
      <c r="AD306" s="646"/>
    </row>
    <row r="307" spans="1:30" s="452" customFormat="1" hidden="1" x14ac:dyDescent="0.2">
      <c r="A307" s="644"/>
      <c r="B307" s="644"/>
      <c r="C307" s="651"/>
      <c r="D307" s="645"/>
      <c r="E307" s="647"/>
      <c r="F307" s="646"/>
      <c r="M307" s="450"/>
      <c r="N307" s="645"/>
      <c r="O307" s="647"/>
      <c r="P307" s="647"/>
      <c r="Q307" s="647"/>
      <c r="V307" s="647"/>
      <c r="W307" s="647"/>
      <c r="X307" s="647"/>
      <c r="Y307" s="647"/>
      <c r="Z307" s="647"/>
      <c r="AA307" s="647"/>
      <c r="AC307" s="653"/>
      <c r="AD307" s="646"/>
    </row>
    <row r="308" spans="1:30" s="452" customFormat="1" hidden="1" x14ac:dyDescent="0.2">
      <c r="A308" s="644"/>
      <c r="B308" s="644"/>
      <c r="C308" s="651"/>
      <c r="D308" s="645"/>
      <c r="E308" s="647"/>
      <c r="F308" s="646"/>
      <c r="M308" s="450"/>
      <c r="N308" s="645"/>
      <c r="O308" s="647"/>
      <c r="P308" s="647"/>
      <c r="Q308" s="647"/>
      <c r="V308" s="647"/>
      <c r="W308" s="647"/>
      <c r="X308" s="647"/>
      <c r="Y308" s="647"/>
      <c r="Z308" s="647"/>
      <c r="AA308" s="647"/>
      <c r="AC308" s="653"/>
      <c r="AD308" s="646"/>
    </row>
    <row r="309" spans="1:30" s="452" customFormat="1" hidden="1" x14ac:dyDescent="0.2">
      <c r="A309" s="644"/>
      <c r="B309" s="644"/>
      <c r="C309" s="651"/>
      <c r="D309" s="645"/>
      <c r="E309" s="647"/>
      <c r="F309" s="646"/>
      <c r="M309" s="450"/>
      <c r="N309" s="645"/>
      <c r="O309" s="647"/>
      <c r="P309" s="647"/>
      <c r="Q309" s="647"/>
      <c r="V309" s="647"/>
      <c r="W309" s="647"/>
      <c r="X309" s="647"/>
      <c r="Y309" s="647"/>
      <c r="Z309" s="647"/>
      <c r="AA309" s="647"/>
      <c r="AC309" s="653"/>
      <c r="AD309" s="646"/>
    </row>
    <row r="310" spans="1:30" s="452" customFormat="1" hidden="1" x14ac:dyDescent="0.2">
      <c r="A310" s="644"/>
      <c r="B310" s="644"/>
      <c r="C310" s="651"/>
      <c r="D310" s="645"/>
      <c r="E310" s="647"/>
      <c r="F310" s="646"/>
      <c r="M310" s="450"/>
      <c r="N310" s="645"/>
      <c r="O310" s="647"/>
      <c r="P310" s="647"/>
      <c r="Q310" s="647"/>
      <c r="V310" s="647"/>
      <c r="W310" s="647"/>
      <c r="X310" s="647"/>
      <c r="Y310" s="647"/>
      <c r="Z310" s="647"/>
      <c r="AA310" s="647"/>
      <c r="AC310" s="653"/>
      <c r="AD310" s="646"/>
    </row>
    <row r="311" spans="1:30" s="452" customFormat="1" hidden="1" x14ac:dyDescent="0.2">
      <c r="A311" s="644"/>
      <c r="B311" s="644"/>
      <c r="C311" s="651"/>
      <c r="D311" s="645"/>
      <c r="E311" s="647"/>
      <c r="F311" s="646"/>
      <c r="M311" s="450"/>
      <c r="N311" s="645"/>
      <c r="O311" s="647"/>
      <c r="P311" s="647"/>
      <c r="Q311" s="647"/>
      <c r="V311" s="647"/>
      <c r="W311" s="647"/>
      <c r="X311" s="647"/>
      <c r="Y311" s="647"/>
      <c r="Z311" s="647"/>
      <c r="AA311" s="647"/>
      <c r="AC311" s="653"/>
      <c r="AD311" s="646"/>
    </row>
    <row r="312" spans="1:30" s="452" customFormat="1" hidden="1" x14ac:dyDescent="0.2">
      <c r="A312" s="644"/>
      <c r="B312" s="644"/>
      <c r="C312" s="651"/>
      <c r="D312" s="645"/>
      <c r="E312" s="647"/>
      <c r="F312" s="646"/>
      <c r="M312" s="450"/>
      <c r="N312" s="645"/>
      <c r="O312" s="647"/>
      <c r="P312" s="647"/>
      <c r="Q312" s="647"/>
      <c r="V312" s="647"/>
      <c r="W312" s="647"/>
      <c r="X312" s="647"/>
      <c r="Y312" s="647"/>
      <c r="Z312" s="647"/>
      <c r="AA312" s="647"/>
      <c r="AC312" s="653"/>
      <c r="AD312" s="646"/>
    </row>
    <row r="313" spans="1:30" s="452" customFormat="1" hidden="1" x14ac:dyDescent="0.2">
      <c r="A313" s="644"/>
      <c r="B313" s="644"/>
      <c r="C313" s="651"/>
      <c r="D313" s="645"/>
      <c r="E313" s="647"/>
      <c r="F313" s="646"/>
      <c r="M313" s="450"/>
      <c r="N313" s="645"/>
      <c r="O313" s="647"/>
      <c r="P313" s="647"/>
      <c r="Q313" s="647"/>
      <c r="V313" s="647"/>
      <c r="W313" s="647"/>
      <c r="X313" s="647"/>
      <c r="Y313" s="647"/>
      <c r="Z313" s="647"/>
      <c r="AA313" s="647"/>
      <c r="AC313" s="653"/>
      <c r="AD313" s="646"/>
    </row>
    <row r="314" spans="1:30" s="452" customFormat="1" hidden="1" x14ac:dyDescent="0.2">
      <c r="A314" s="644"/>
      <c r="B314" s="644"/>
      <c r="C314" s="651"/>
      <c r="D314" s="645"/>
      <c r="E314" s="647"/>
      <c r="F314" s="646"/>
      <c r="M314" s="450"/>
      <c r="N314" s="645"/>
      <c r="O314" s="647"/>
      <c r="P314" s="647"/>
      <c r="Q314" s="647"/>
      <c r="V314" s="647"/>
      <c r="W314" s="647"/>
      <c r="X314" s="647"/>
      <c r="Y314" s="647"/>
      <c r="Z314" s="647"/>
      <c r="AA314" s="647"/>
      <c r="AC314" s="653"/>
      <c r="AD314" s="646"/>
    </row>
    <row r="315" spans="1:30" s="452" customFormat="1" hidden="1" x14ac:dyDescent="0.2">
      <c r="A315" s="644"/>
      <c r="B315" s="644"/>
      <c r="C315" s="651"/>
      <c r="D315" s="645"/>
      <c r="E315" s="647"/>
      <c r="F315" s="646"/>
      <c r="M315" s="450"/>
      <c r="N315" s="645"/>
      <c r="O315" s="647"/>
      <c r="P315" s="647"/>
      <c r="Q315" s="647"/>
      <c r="V315" s="647"/>
      <c r="W315" s="647"/>
      <c r="X315" s="647"/>
      <c r="Y315" s="647"/>
      <c r="Z315" s="647"/>
      <c r="AA315" s="647"/>
      <c r="AC315" s="653"/>
      <c r="AD315" s="646"/>
    </row>
    <row r="316" spans="1:30" s="452" customFormat="1" hidden="1" x14ac:dyDescent="0.2">
      <c r="A316" s="644"/>
      <c r="B316" s="644"/>
      <c r="C316" s="651"/>
      <c r="D316" s="645"/>
      <c r="E316" s="647"/>
      <c r="F316" s="646"/>
      <c r="M316" s="450"/>
      <c r="N316" s="645"/>
      <c r="O316" s="647"/>
      <c r="P316" s="647"/>
      <c r="Q316" s="647"/>
      <c r="V316" s="647"/>
      <c r="W316" s="647"/>
      <c r="X316" s="647"/>
      <c r="Y316" s="647"/>
      <c r="Z316" s="647"/>
      <c r="AA316" s="647"/>
      <c r="AC316" s="653"/>
      <c r="AD316" s="646"/>
    </row>
    <row r="317" spans="1:30" s="452" customFormat="1" hidden="1" x14ac:dyDescent="0.2">
      <c r="A317" s="644"/>
      <c r="B317" s="644"/>
      <c r="C317" s="651"/>
      <c r="D317" s="645"/>
      <c r="E317" s="647"/>
      <c r="F317" s="646"/>
      <c r="M317" s="450"/>
      <c r="N317" s="645"/>
      <c r="O317" s="647"/>
      <c r="P317" s="647"/>
      <c r="Q317" s="647"/>
      <c r="V317" s="647"/>
      <c r="W317" s="647"/>
      <c r="X317" s="647"/>
      <c r="Y317" s="647"/>
      <c r="Z317" s="647"/>
      <c r="AA317" s="647"/>
      <c r="AC317" s="653"/>
      <c r="AD317" s="646"/>
    </row>
    <row r="318" spans="1:30" s="452" customFormat="1" hidden="1" x14ac:dyDescent="0.2">
      <c r="A318" s="644"/>
      <c r="B318" s="644"/>
      <c r="C318" s="651"/>
      <c r="D318" s="645"/>
      <c r="E318" s="647"/>
      <c r="F318" s="646"/>
      <c r="M318" s="450"/>
      <c r="N318" s="645"/>
      <c r="O318" s="647"/>
      <c r="P318" s="647"/>
      <c r="Q318" s="647"/>
      <c r="V318" s="647"/>
      <c r="W318" s="647"/>
      <c r="X318" s="647"/>
      <c r="Y318" s="647"/>
      <c r="Z318" s="647"/>
      <c r="AA318" s="647"/>
      <c r="AC318" s="653"/>
      <c r="AD318" s="646"/>
    </row>
    <row r="319" spans="1:30" s="452" customFormat="1" hidden="1" x14ac:dyDescent="0.2">
      <c r="A319" s="644"/>
      <c r="B319" s="644"/>
      <c r="C319" s="651"/>
      <c r="D319" s="645"/>
      <c r="E319" s="647"/>
      <c r="F319" s="646"/>
      <c r="M319" s="450"/>
      <c r="N319" s="645"/>
      <c r="O319" s="647"/>
      <c r="P319" s="647"/>
      <c r="Q319" s="647"/>
      <c r="V319" s="647"/>
      <c r="W319" s="647"/>
      <c r="X319" s="647"/>
      <c r="Y319" s="647"/>
      <c r="Z319" s="647"/>
      <c r="AA319" s="647"/>
      <c r="AC319" s="653"/>
      <c r="AD319" s="646"/>
    </row>
    <row r="320" spans="1:30" s="452" customFormat="1" hidden="1" x14ac:dyDescent="0.2">
      <c r="A320" s="644"/>
      <c r="B320" s="644"/>
      <c r="C320" s="651"/>
      <c r="D320" s="645"/>
      <c r="E320" s="647"/>
      <c r="F320" s="646"/>
      <c r="M320" s="450"/>
      <c r="N320" s="645"/>
      <c r="O320" s="647"/>
      <c r="P320" s="647"/>
      <c r="Q320" s="647"/>
      <c r="V320" s="647"/>
      <c r="W320" s="647"/>
      <c r="X320" s="647"/>
      <c r="Y320" s="647"/>
      <c r="Z320" s="647"/>
      <c r="AA320" s="647"/>
      <c r="AC320" s="653"/>
      <c r="AD320" s="646"/>
    </row>
    <row r="321" spans="1:30" s="452" customFormat="1" hidden="1" x14ac:dyDescent="0.2">
      <c r="A321" s="644"/>
      <c r="B321" s="644"/>
      <c r="C321" s="651"/>
      <c r="D321" s="645"/>
      <c r="E321" s="647"/>
      <c r="F321" s="646"/>
      <c r="M321" s="450"/>
      <c r="N321" s="645"/>
      <c r="O321" s="647"/>
      <c r="P321" s="647"/>
      <c r="Q321" s="647"/>
      <c r="V321" s="647"/>
      <c r="W321" s="647"/>
      <c r="X321" s="647"/>
      <c r="Y321" s="647"/>
      <c r="Z321" s="647"/>
      <c r="AA321" s="647"/>
      <c r="AC321" s="653"/>
      <c r="AD321" s="646"/>
    </row>
    <row r="322" spans="1:30" s="452" customFormat="1" hidden="1" x14ac:dyDescent="0.2">
      <c r="A322" s="644"/>
      <c r="B322" s="644"/>
      <c r="C322" s="651"/>
      <c r="D322" s="645"/>
      <c r="E322" s="647"/>
      <c r="F322" s="646"/>
      <c r="M322" s="450"/>
      <c r="N322" s="645"/>
      <c r="O322" s="647"/>
      <c r="P322" s="647"/>
      <c r="Q322" s="647"/>
      <c r="V322" s="647"/>
      <c r="W322" s="647"/>
      <c r="X322" s="647"/>
      <c r="Y322" s="647"/>
      <c r="Z322" s="647"/>
      <c r="AA322" s="647"/>
      <c r="AC322" s="653"/>
      <c r="AD322" s="646"/>
    </row>
    <row r="323" spans="1:30" s="452" customFormat="1" hidden="1" x14ac:dyDescent="0.2">
      <c r="A323" s="644"/>
      <c r="B323" s="644"/>
      <c r="C323" s="651"/>
      <c r="D323" s="645"/>
      <c r="E323" s="647"/>
      <c r="F323" s="646"/>
      <c r="M323" s="450"/>
      <c r="N323" s="645"/>
      <c r="O323" s="647"/>
      <c r="P323" s="647"/>
      <c r="Q323" s="647"/>
      <c r="V323" s="647"/>
      <c r="W323" s="647"/>
      <c r="X323" s="647"/>
      <c r="Y323" s="647"/>
      <c r="Z323" s="647"/>
      <c r="AA323" s="647"/>
      <c r="AC323" s="653"/>
      <c r="AD323" s="646"/>
    </row>
    <row r="324" spans="1:30" s="452" customFormat="1" hidden="1" x14ac:dyDescent="0.2">
      <c r="A324" s="644"/>
      <c r="B324" s="644"/>
      <c r="C324" s="651"/>
      <c r="D324" s="645"/>
      <c r="E324" s="647"/>
      <c r="F324" s="646"/>
      <c r="M324" s="450"/>
      <c r="N324" s="645"/>
      <c r="O324" s="647"/>
      <c r="P324" s="647"/>
      <c r="Q324" s="647"/>
      <c r="V324" s="647"/>
      <c r="W324" s="647"/>
      <c r="X324" s="647"/>
      <c r="Y324" s="647"/>
      <c r="Z324" s="647"/>
      <c r="AA324" s="647"/>
      <c r="AC324" s="653"/>
      <c r="AD324" s="646"/>
    </row>
    <row r="325" spans="1:30" s="452" customFormat="1" hidden="1" x14ac:dyDescent="0.2">
      <c r="A325" s="644"/>
      <c r="B325" s="644"/>
      <c r="C325" s="651"/>
      <c r="D325" s="645"/>
      <c r="E325" s="647"/>
      <c r="F325" s="646"/>
      <c r="M325" s="450"/>
      <c r="N325" s="645"/>
      <c r="O325" s="647"/>
      <c r="P325" s="647"/>
      <c r="Q325" s="647"/>
      <c r="V325" s="647"/>
      <c r="W325" s="647"/>
      <c r="X325" s="647"/>
      <c r="Y325" s="647"/>
      <c r="Z325" s="647"/>
      <c r="AA325" s="647"/>
      <c r="AC325" s="653"/>
      <c r="AD325" s="646"/>
    </row>
    <row r="326" spans="1:30" s="452" customFormat="1" hidden="1" x14ac:dyDescent="0.2">
      <c r="A326" s="644"/>
      <c r="B326" s="644"/>
      <c r="C326" s="651"/>
      <c r="D326" s="645"/>
      <c r="E326" s="647"/>
      <c r="F326" s="646"/>
      <c r="M326" s="450"/>
      <c r="N326" s="645"/>
      <c r="O326" s="647"/>
      <c r="P326" s="647"/>
      <c r="Q326" s="647"/>
      <c r="V326" s="647"/>
      <c r="W326" s="647"/>
      <c r="X326" s="647"/>
      <c r="Y326" s="647"/>
      <c r="Z326" s="647"/>
      <c r="AA326" s="647"/>
      <c r="AC326" s="653"/>
      <c r="AD326" s="646"/>
    </row>
    <row r="327" spans="1:30" s="452" customFormat="1" hidden="1" x14ac:dyDescent="0.2">
      <c r="A327" s="644"/>
      <c r="B327" s="644"/>
      <c r="C327" s="651"/>
      <c r="D327" s="645"/>
      <c r="E327" s="647"/>
      <c r="F327" s="646"/>
      <c r="M327" s="450"/>
      <c r="N327" s="645"/>
      <c r="O327" s="647"/>
      <c r="P327" s="647"/>
      <c r="Q327" s="647"/>
      <c r="V327" s="647"/>
      <c r="W327" s="647"/>
      <c r="X327" s="647"/>
      <c r="Y327" s="647"/>
      <c r="Z327" s="647"/>
      <c r="AA327" s="647"/>
      <c r="AC327" s="653"/>
      <c r="AD327" s="646"/>
    </row>
    <row r="328" spans="1:30" s="452" customFormat="1" hidden="1" x14ac:dyDescent="0.2">
      <c r="A328" s="644"/>
      <c r="B328" s="644"/>
      <c r="C328" s="651"/>
      <c r="D328" s="645"/>
      <c r="E328" s="647"/>
      <c r="F328" s="646"/>
      <c r="M328" s="450"/>
      <c r="N328" s="645"/>
      <c r="O328" s="647"/>
      <c r="P328" s="647"/>
      <c r="Q328" s="647"/>
      <c r="V328" s="647"/>
      <c r="W328" s="647"/>
      <c r="X328" s="647"/>
      <c r="Y328" s="647"/>
      <c r="Z328" s="647"/>
      <c r="AA328" s="647"/>
      <c r="AC328" s="653"/>
      <c r="AD328" s="646"/>
    </row>
    <row r="329" spans="1:30" s="452" customFormat="1" hidden="1" x14ac:dyDescent="0.2">
      <c r="A329" s="644"/>
      <c r="B329" s="644"/>
      <c r="C329" s="651"/>
      <c r="D329" s="645"/>
      <c r="E329" s="647"/>
      <c r="F329" s="646"/>
      <c r="M329" s="450"/>
      <c r="N329" s="645"/>
      <c r="O329" s="647"/>
      <c r="P329" s="647"/>
      <c r="Q329" s="647"/>
      <c r="V329" s="647"/>
      <c r="W329" s="647"/>
      <c r="X329" s="647"/>
      <c r="Y329" s="647"/>
      <c r="Z329" s="647"/>
      <c r="AA329" s="647"/>
      <c r="AC329" s="653"/>
      <c r="AD329" s="646"/>
    </row>
    <row r="330" spans="1:30" s="452" customFormat="1" hidden="1" x14ac:dyDescent="0.2">
      <c r="A330" s="644"/>
      <c r="B330" s="644"/>
      <c r="C330" s="651"/>
      <c r="D330" s="645"/>
      <c r="E330" s="647"/>
      <c r="F330" s="646"/>
      <c r="M330" s="450"/>
      <c r="N330" s="645"/>
      <c r="O330" s="647"/>
      <c r="P330" s="647"/>
      <c r="Q330" s="647"/>
      <c r="V330" s="647"/>
      <c r="W330" s="647"/>
      <c r="X330" s="647"/>
      <c r="Y330" s="647"/>
      <c r="Z330" s="647"/>
      <c r="AA330" s="647"/>
      <c r="AC330" s="653"/>
      <c r="AD330" s="646"/>
    </row>
    <row r="331" spans="1:30" s="452" customFormat="1" hidden="1" x14ac:dyDescent="0.2">
      <c r="A331" s="644"/>
      <c r="B331" s="644"/>
      <c r="C331" s="651"/>
      <c r="D331" s="645"/>
      <c r="E331" s="647"/>
      <c r="F331" s="646"/>
      <c r="M331" s="450"/>
      <c r="N331" s="645"/>
      <c r="O331" s="647"/>
      <c r="P331" s="647"/>
      <c r="Q331" s="647"/>
      <c r="V331" s="647"/>
      <c r="W331" s="647"/>
      <c r="X331" s="647"/>
      <c r="Y331" s="647"/>
      <c r="Z331" s="647"/>
      <c r="AA331" s="647"/>
      <c r="AC331" s="653"/>
      <c r="AD331" s="646"/>
    </row>
    <row r="332" spans="1:30" s="452" customFormat="1" hidden="1" x14ac:dyDescent="0.2">
      <c r="A332" s="644"/>
      <c r="B332" s="644"/>
      <c r="C332" s="651"/>
      <c r="D332" s="645"/>
      <c r="E332" s="647"/>
      <c r="F332" s="646"/>
      <c r="M332" s="450"/>
      <c r="N332" s="645"/>
      <c r="O332" s="647"/>
      <c r="P332" s="647"/>
      <c r="Q332" s="647"/>
      <c r="V332" s="647"/>
      <c r="W332" s="647"/>
      <c r="X332" s="647"/>
      <c r="Y332" s="647"/>
      <c r="Z332" s="647"/>
      <c r="AA332" s="647"/>
      <c r="AC332" s="653"/>
      <c r="AD332" s="646"/>
    </row>
    <row r="333" spans="1:30" s="452" customFormat="1" hidden="1" x14ac:dyDescent="0.2">
      <c r="A333" s="644"/>
      <c r="B333" s="644"/>
      <c r="C333" s="651"/>
      <c r="D333" s="645"/>
      <c r="E333" s="647"/>
      <c r="F333" s="646"/>
      <c r="M333" s="450"/>
      <c r="N333" s="645"/>
      <c r="O333" s="647"/>
      <c r="P333" s="647"/>
      <c r="Q333" s="647"/>
      <c r="V333" s="647"/>
      <c r="W333" s="647"/>
      <c r="X333" s="647"/>
      <c r="Y333" s="647"/>
      <c r="Z333" s="647"/>
      <c r="AA333" s="647"/>
      <c r="AC333" s="653"/>
      <c r="AD333" s="646"/>
    </row>
    <row r="334" spans="1:30" s="452" customFormat="1" hidden="1" x14ac:dyDescent="0.2">
      <c r="A334" s="644"/>
      <c r="B334" s="644"/>
      <c r="C334" s="651"/>
      <c r="D334" s="645"/>
      <c r="E334" s="647"/>
      <c r="F334" s="646"/>
      <c r="M334" s="450"/>
      <c r="N334" s="645"/>
      <c r="O334" s="647"/>
      <c r="P334" s="647"/>
      <c r="Q334" s="647"/>
      <c r="V334" s="647"/>
      <c r="W334" s="647"/>
      <c r="X334" s="647"/>
      <c r="Y334" s="647"/>
      <c r="Z334" s="647"/>
      <c r="AA334" s="647"/>
      <c r="AC334" s="653"/>
      <c r="AD334" s="646"/>
    </row>
    <row r="335" spans="1:30" s="452" customFormat="1" hidden="1" x14ac:dyDescent="0.2">
      <c r="A335" s="644"/>
      <c r="B335" s="644"/>
      <c r="C335" s="651"/>
      <c r="D335" s="645"/>
      <c r="E335" s="647"/>
      <c r="F335" s="646"/>
      <c r="M335" s="450"/>
      <c r="N335" s="645"/>
      <c r="O335" s="647"/>
      <c r="P335" s="647"/>
      <c r="Q335" s="647"/>
      <c r="V335" s="647"/>
      <c r="W335" s="647"/>
      <c r="X335" s="647"/>
      <c r="Y335" s="647"/>
      <c r="Z335" s="647"/>
      <c r="AA335" s="647"/>
      <c r="AC335" s="653"/>
      <c r="AD335" s="646"/>
    </row>
    <row r="336" spans="1:30" s="452" customFormat="1" hidden="1" x14ac:dyDescent="0.2">
      <c r="A336" s="644"/>
      <c r="B336" s="644"/>
      <c r="C336" s="651"/>
      <c r="D336" s="645"/>
      <c r="E336" s="647"/>
      <c r="F336" s="646"/>
      <c r="M336" s="450"/>
      <c r="N336" s="645"/>
      <c r="O336" s="647"/>
      <c r="P336" s="647"/>
      <c r="Q336" s="647"/>
      <c r="V336" s="647"/>
      <c r="W336" s="647"/>
      <c r="X336" s="647"/>
      <c r="Y336" s="647"/>
      <c r="Z336" s="647"/>
      <c r="AA336" s="647"/>
      <c r="AC336" s="653"/>
      <c r="AD336" s="646"/>
    </row>
    <row r="337" spans="1:30" s="452" customFormat="1" hidden="1" x14ac:dyDescent="0.2">
      <c r="A337" s="644"/>
      <c r="B337" s="644"/>
      <c r="C337" s="651"/>
      <c r="D337" s="645"/>
      <c r="E337" s="647"/>
      <c r="F337" s="646"/>
      <c r="M337" s="450"/>
      <c r="N337" s="645"/>
      <c r="O337" s="647"/>
      <c r="P337" s="647"/>
      <c r="Q337" s="647"/>
      <c r="V337" s="647"/>
      <c r="W337" s="647"/>
      <c r="X337" s="647"/>
      <c r="Y337" s="647"/>
      <c r="Z337" s="647"/>
      <c r="AA337" s="647"/>
      <c r="AC337" s="653"/>
      <c r="AD337" s="646"/>
    </row>
    <row r="338" spans="1:30" s="452" customFormat="1" hidden="1" x14ac:dyDescent="0.2">
      <c r="A338" s="644"/>
      <c r="B338" s="644"/>
      <c r="C338" s="651"/>
      <c r="D338" s="645"/>
      <c r="E338" s="647"/>
      <c r="F338" s="646"/>
      <c r="M338" s="450"/>
      <c r="N338" s="645"/>
      <c r="O338" s="647"/>
      <c r="P338" s="647"/>
      <c r="Q338" s="647"/>
      <c r="V338" s="647"/>
      <c r="W338" s="647"/>
      <c r="X338" s="647"/>
      <c r="Y338" s="647"/>
      <c r="Z338" s="647"/>
      <c r="AA338" s="647"/>
      <c r="AC338" s="653"/>
      <c r="AD338" s="646"/>
    </row>
    <row r="339" spans="1:30" s="452" customFormat="1" hidden="1" x14ac:dyDescent="0.2">
      <c r="A339" s="644"/>
      <c r="B339" s="644"/>
      <c r="C339" s="651"/>
      <c r="D339" s="645"/>
      <c r="E339" s="647"/>
      <c r="F339" s="646"/>
      <c r="M339" s="450"/>
      <c r="N339" s="645"/>
      <c r="O339" s="647"/>
      <c r="P339" s="647"/>
      <c r="Q339" s="647"/>
      <c r="V339" s="647"/>
      <c r="W339" s="647"/>
      <c r="X339" s="647"/>
      <c r="Y339" s="647"/>
      <c r="Z339" s="647"/>
      <c r="AA339" s="647"/>
      <c r="AC339" s="653"/>
      <c r="AD339" s="646"/>
    </row>
    <row r="340" spans="1:30" s="452" customFormat="1" hidden="1" x14ac:dyDescent="0.2">
      <c r="A340" s="644"/>
      <c r="B340" s="644"/>
      <c r="C340" s="651"/>
      <c r="D340" s="645"/>
      <c r="E340" s="647"/>
      <c r="F340" s="646"/>
      <c r="M340" s="450"/>
      <c r="N340" s="645"/>
      <c r="O340" s="647"/>
      <c r="P340" s="647"/>
      <c r="Q340" s="647"/>
      <c r="V340" s="647"/>
      <c r="W340" s="647"/>
      <c r="X340" s="647"/>
      <c r="Y340" s="647"/>
      <c r="Z340" s="647"/>
      <c r="AA340" s="647"/>
      <c r="AC340" s="653"/>
      <c r="AD340" s="646"/>
    </row>
    <row r="341" spans="1:30" s="452" customFormat="1" hidden="1" x14ac:dyDescent="0.2">
      <c r="A341" s="644"/>
      <c r="B341" s="644"/>
      <c r="C341" s="651"/>
      <c r="D341" s="645"/>
      <c r="E341" s="647"/>
      <c r="F341" s="646"/>
      <c r="M341" s="450"/>
      <c r="N341" s="645"/>
      <c r="O341" s="647"/>
      <c r="P341" s="647"/>
      <c r="Q341" s="647"/>
      <c r="V341" s="647"/>
      <c r="W341" s="647"/>
      <c r="X341" s="647"/>
      <c r="Y341" s="647"/>
      <c r="Z341" s="647"/>
      <c r="AA341" s="647"/>
      <c r="AC341" s="653"/>
      <c r="AD341" s="646"/>
    </row>
    <row r="342" spans="1:30" s="452" customFormat="1" hidden="1" x14ac:dyDescent="0.2">
      <c r="A342" s="644"/>
      <c r="B342" s="644"/>
      <c r="C342" s="651"/>
      <c r="D342" s="645"/>
      <c r="E342" s="647"/>
      <c r="F342" s="646"/>
      <c r="M342" s="450"/>
      <c r="N342" s="645"/>
      <c r="O342" s="647"/>
      <c r="P342" s="647"/>
      <c r="Q342" s="647"/>
      <c r="V342" s="647"/>
      <c r="W342" s="647"/>
      <c r="X342" s="647"/>
      <c r="Y342" s="647"/>
      <c r="Z342" s="647"/>
      <c r="AA342" s="647"/>
      <c r="AC342" s="653"/>
      <c r="AD342" s="646"/>
    </row>
    <row r="343" spans="1:30" s="452" customFormat="1" hidden="1" x14ac:dyDescent="0.2">
      <c r="A343" s="644"/>
      <c r="B343" s="644"/>
      <c r="C343" s="651"/>
      <c r="D343" s="645"/>
      <c r="E343" s="647"/>
      <c r="F343" s="646"/>
      <c r="M343" s="450"/>
      <c r="N343" s="645"/>
      <c r="O343" s="647"/>
      <c r="P343" s="647"/>
      <c r="Q343" s="647"/>
      <c r="V343" s="647"/>
      <c r="W343" s="647"/>
      <c r="X343" s="647"/>
      <c r="Y343" s="647"/>
      <c r="Z343" s="647"/>
      <c r="AA343" s="647"/>
      <c r="AC343" s="653"/>
      <c r="AD343" s="646"/>
    </row>
    <row r="344" spans="1:30" s="452" customFormat="1" hidden="1" x14ac:dyDescent="0.2">
      <c r="A344" s="644"/>
      <c r="B344" s="644"/>
      <c r="C344" s="651"/>
      <c r="D344" s="645"/>
      <c r="E344" s="647"/>
      <c r="F344" s="646"/>
      <c r="M344" s="450"/>
      <c r="N344" s="645"/>
      <c r="O344" s="647"/>
      <c r="P344" s="647"/>
      <c r="Q344" s="647"/>
      <c r="V344" s="647"/>
      <c r="W344" s="647"/>
      <c r="X344" s="647"/>
      <c r="Y344" s="647"/>
      <c r="Z344" s="647"/>
      <c r="AA344" s="647"/>
      <c r="AC344" s="653"/>
      <c r="AD344" s="646"/>
    </row>
    <row r="345" spans="1:30" s="452" customFormat="1" hidden="1" x14ac:dyDescent="0.2">
      <c r="A345" s="644"/>
      <c r="B345" s="644"/>
      <c r="C345" s="651"/>
      <c r="D345" s="645"/>
      <c r="E345" s="647"/>
      <c r="F345" s="646"/>
      <c r="M345" s="450"/>
      <c r="N345" s="645"/>
      <c r="O345" s="647"/>
      <c r="P345" s="647"/>
      <c r="Q345" s="647"/>
      <c r="V345" s="647"/>
      <c r="W345" s="647"/>
      <c r="X345" s="647"/>
      <c r="Y345" s="647"/>
      <c r="Z345" s="647"/>
      <c r="AA345" s="647"/>
      <c r="AC345" s="653"/>
      <c r="AD345" s="646"/>
    </row>
    <row r="346" spans="1:30" s="452" customFormat="1" hidden="1" x14ac:dyDescent="0.2">
      <c r="A346" s="644"/>
      <c r="B346" s="644"/>
      <c r="C346" s="651"/>
      <c r="D346" s="645"/>
      <c r="E346" s="647"/>
      <c r="F346" s="646"/>
      <c r="M346" s="450"/>
      <c r="N346" s="645"/>
      <c r="O346" s="647"/>
      <c r="P346" s="647"/>
      <c r="Q346" s="647"/>
      <c r="V346" s="647"/>
      <c r="W346" s="647"/>
      <c r="X346" s="647"/>
      <c r="Y346" s="647"/>
      <c r="Z346" s="647"/>
      <c r="AA346" s="647"/>
      <c r="AC346" s="653"/>
      <c r="AD346" s="646"/>
    </row>
    <row r="347" spans="1:30" s="452" customFormat="1" hidden="1" x14ac:dyDescent="0.2">
      <c r="A347" s="644"/>
      <c r="B347" s="644"/>
      <c r="C347" s="651"/>
      <c r="D347" s="645"/>
      <c r="E347" s="647"/>
      <c r="F347" s="646"/>
      <c r="M347" s="450"/>
      <c r="N347" s="645"/>
      <c r="O347" s="647"/>
      <c r="P347" s="647"/>
      <c r="Q347" s="647"/>
      <c r="V347" s="647"/>
      <c r="W347" s="647"/>
      <c r="X347" s="647"/>
      <c r="Y347" s="647"/>
      <c r="Z347" s="647"/>
      <c r="AA347" s="647"/>
      <c r="AC347" s="653"/>
      <c r="AD347" s="646"/>
    </row>
    <row r="348" spans="1:30" s="452" customFormat="1" hidden="1" x14ac:dyDescent="0.2">
      <c r="A348" s="644"/>
      <c r="B348" s="644"/>
      <c r="C348" s="651"/>
      <c r="D348" s="645"/>
      <c r="E348" s="647"/>
      <c r="F348" s="646"/>
      <c r="M348" s="450"/>
      <c r="N348" s="645"/>
      <c r="O348" s="647"/>
      <c r="P348" s="647"/>
      <c r="Q348" s="647"/>
      <c r="V348" s="647"/>
      <c r="W348" s="647"/>
      <c r="X348" s="647"/>
      <c r="Y348" s="647"/>
      <c r="Z348" s="647"/>
      <c r="AA348" s="647"/>
      <c r="AC348" s="653"/>
      <c r="AD348" s="646"/>
    </row>
    <row r="349" spans="1:30" s="452" customFormat="1" hidden="1" x14ac:dyDescent="0.2">
      <c r="A349" s="644"/>
      <c r="B349" s="644"/>
      <c r="C349" s="651"/>
      <c r="D349" s="645"/>
      <c r="E349" s="647"/>
      <c r="F349" s="646"/>
      <c r="M349" s="450"/>
      <c r="N349" s="645"/>
      <c r="O349" s="647"/>
      <c r="P349" s="647"/>
      <c r="Q349" s="647"/>
      <c r="V349" s="647"/>
      <c r="W349" s="647"/>
      <c r="X349" s="647"/>
      <c r="Y349" s="647"/>
      <c r="Z349" s="647"/>
      <c r="AA349" s="647"/>
      <c r="AC349" s="653"/>
      <c r="AD349" s="646"/>
    </row>
    <row r="350" spans="1:30" s="452" customFormat="1" hidden="1" x14ac:dyDescent="0.2">
      <c r="A350" s="644"/>
      <c r="B350" s="644"/>
      <c r="C350" s="651"/>
      <c r="D350" s="645"/>
      <c r="E350" s="647"/>
      <c r="F350" s="646"/>
      <c r="M350" s="450"/>
      <c r="N350" s="645"/>
      <c r="O350" s="647"/>
      <c r="P350" s="647"/>
      <c r="Q350" s="647"/>
      <c r="V350" s="647"/>
      <c r="W350" s="647"/>
      <c r="X350" s="647"/>
      <c r="Y350" s="647"/>
      <c r="Z350" s="647"/>
      <c r="AA350" s="647"/>
      <c r="AC350" s="653"/>
      <c r="AD350" s="646"/>
    </row>
    <row r="351" spans="1:30" s="452" customFormat="1" hidden="1" x14ac:dyDescent="0.2">
      <c r="A351" s="644"/>
      <c r="B351" s="644"/>
      <c r="C351" s="651"/>
      <c r="D351" s="645"/>
      <c r="E351" s="647"/>
      <c r="F351" s="646"/>
      <c r="M351" s="450"/>
      <c r="N351" s="645"/>
      <c r="O351" s="647"/>
      <c r="P351" s="647"/>
      <c r="Q351" s="647"/>
      <c r="V351" s="647"/>
      <c r="W351" s="647"/>
      <c r="X351" s="647"/>
      <c r="Y351" s="647"/>
      <c r="Z351" s="647"/>
      <c r="AA351" s="647"/>
      <c r="AC351" s="653"/>
      <c r="AD351" s="646"/>
    </row>
    <row r="352" spans="1:30" s="452" customFormat="1" hidden="1" x14ac:dyDescent="0.2">
      <c r="A352" s="644"/>
      <c r="B352" s="644"/>
      <c r="C352" s="651"/>
      <c r="D352" s="645"/>
      <c r="E352" s="647"/>
      <c r="F352" s="646"/>
      <c r="M352" s="450"/>
      <c r="N352" s="645"/>
      <c r="O352" s="647"/>
      <c r="P352" s="647"/>
      <c r="Q352" s="647"/>
      <c r="V352" s="647"/>
      <c r="W352" s="647"/>
      <c r="X352" s="647"/>
      <c r="Y352" s="647"/>
      <c r="Z352" s="647"/>
      <c r="AA352" s="647"/>
      <c r="AC352" s="653"/>
      <c r="AD352" s="646"/>
    </row>
    <row r="353" spans="1:30" s="452" customFormat="1" hidden="1" x14ac:dyDescent="0.2">
      <c r="A353" s="644"/>
      <c r="B353" s="644"/>
      <c r="C353" s="651"/>
      <c r="D353" s="645"/>
      <c r="E353" s="647"/>
      <c r="F353" s="646"/>
      <c r="M353" s="450"/>
      <c r="N353" s="645"/>
      <c r="O353" s="647"/>
      <c r="P353" s="647"/>
      <c r="Q353" s="647"/>
      <c r="V353" s="647"/>
      <c r="W353" s="647"/>
      <c r="X353" s="647"/>
      <c r="Y353" s="647"/>
      <c r="Z353" s="647"/>
      <c r="AA353" s="647"/>
      <c r="AC353" s="653"/>
      <c r="AD353" s="646"/>
    </row>
    <row r="354" spans="1:30" s="452" customFormat="1" hidden="1" x14ac:dyDescent="0.2">
      <c r="A354" s="644"/>
      <c r="B354" s="644"/>
      <c r="C354" s="651"/>
      <c r="D354" s="645"/>
      <c r="E354" s="647"/>
      <c r="F354" s="646"/>
      <c r="M354" s="450"/>
      <c r="N354" s="645"/>
      <c r="O354" s="647"/>
      <c r="P354" s="647"/>
      <c r="Q354" s="647"/>
      <c r="V354" s="647"/>
      <c r="W354" s="647"/>
      <c r="X354" s="647"/>
      <c r="Y354" s="647"/>
      <c r="Z354" s="647"/>
      <c r="AA354" s="647"/>
      <c r="AC354" s="653"/>
      <c r="AD354" s="646"/>
    </row>
    <row r="355" spans="1:30" s="452" customFormat="1" hidden="1" x14ac:dyDescent="0.2">
      <c r="A355" s="644"/>
      <c r="B355" s="644"/>
      <c r="C355" s="651"/>
      <c r="D355" s="645"/>
      <c r="E355" s="647"/>
      <c r="F355" s="646"/>
      <c r="M355" s="450"/>
      <c r="N355" s="645"/>
      <c r="O355" s="647"/>
      <c r="P355" s="647"/>
      <c r="Q355" s="647"/>
      <c r="V355" s="647"/>
      <c r="W355" s="647"/>
      <c r="X355" s="647"/>
      <c r="Y355" s="647"/>
      <c r="Z355" s="647"/>
      <c r="AA355" s="647"/>
      <c r="AC355" s="653"/>
      <c r="AD355" s="646"/>
    </row>
    <row r="356" spans="1:30" s="452" customFormat="1" hidden="1" x14ac:dyDescent="0.2">
      <c r="A356" s="644"/>
      <c r="B356" s="644"/>
      <c r="C356" s="651"/>
      <c r="D356" s="645"/>
      <c r="E356" s="647"/>
      <c r="F356" s="646"/>
      <c r="M356" s="450"/>
      <c r="N356" s="645"/>
      <c r="O356" s="647"/>
      <c r="P356" s="647"/>
      <c r="Q356" s="647"/>
      <c r="V356" s="647"/>
      <c r="W356" s="647"/>
      <c r="X356" s="647"/>
      <c r="Y356" s="647"/>
      <c r="Z356" s="647"/>
      <c r="AA356" s="647"/>
      <c r="AC356" s="653"/>
      <c r="AD356" s="646"/>
    </row>
    <row r="357" spans="1:30" s="452" customFormat="1" hidden="1" x14ac:dyDescent="0.2">
      <c r="A357" s="644"/>
      <c r="B357" s="644"/>
      <c r="C357" s="651"/>
      <c r="D357" s="645"/>
      <c r="E357" s="647"/>
      <c r="F357" s="646"/>
      <c r="M357" s="450"/>
      <c r="N357" s="645"/>
      <c r="O357" s="647"/>
      <c r="P357" s="647"/>
      <c r="Q357" s="647"/>
      <c r="V357" s="647"/>
      <c r="W357" s="647"/>
      <c r="X357" s="647"/>
      <c r="Y357" s="647"/>
      <c r="Z357" s="647"/>
      <c r="AA357" s="647"/>
      <c r="AC357" s="653"/>
      <c r="AD357" s="646"/>
    </row>
    <row r="358" spans="1:30" s="452" customFormat="1" hidden="1" x14ac:dyDescent="0.2">
      <c r="A358" s="644"/>
      <c r="B358" s="644"/>
      <c r="C358" s="651"/>
      <c r="D358" s="645"/>
      <c r="E358" s="647"/>
      <c r="F358" s="646"/>
      <c r="M358" s="450"/>
      <c r="N358" s="645"/>
      <c r="O358" s="647"/>
      <c r="P358" s="647"/>
      <c r="Q358" s="647"/>
      <c r="V358" s="647"/>
      <c r="W358" s="647"/>
      <c r="X358" s="647"/>
      <c r="Y358" s="647"/>
      <c r="Z358" s="647"/>
      <c r="AA358" s="647"/>
      <c r="AC358" s="653"/>
      <c r="AD358" s="646"/>
    </row>
    <row r="359" spans="1:30" s="452" customFormat="1" hidden="1" x14ac:dyDescent="0.2">
      <c r="A359" s="644"/>
      <c r="B359" s="644"/>
      <c r="C359" s="651"/>
      <c r="D359" s="645"/>
      <c r="E359" s="647"/>
      <c r="F359" s="646"/>
      <c r="M359" s="450"/>
      <c r="N359" s="645"/>
      <c r="O359" s="647"/>
      <c r="P359" s="647"/>
      <c r="Q359" s="647"/>
      <c r="V359" s="647"/>
      <c r="W359" s="647"/>
      <c r="X359" s="647"/>
      <c r="Y359" s="647"/>
      <c r="Z359" s="647"/>
      <c r="AA359" s="647"/>
      <c r="AC359" s="653"/>
      <c r="AD359" s="646"/>
    </row>
    <row r="360" spans="1:30" s="452" customFormat="1" hidden="1" x14ac:dyDescent="0.2">
      <c r="A360" s="644"/>
      <c r="B360" s="644"/>
      <c r="C360" s="651"/>
      <c r="D360" s="645"/>
      <c r="E360" s="647"/>
      <c r="F360" s="646"/>
      <c r="M360" s="450"/>
      <c r="N360" s="645"/>
      <c r="O360" s="647"/>
      <c r="P360" s="647"/>
      <c r="Q360" s="647"/>
      <c r="V360" s="647"/>
      <c r="W360" s="647"/>
      <c r="X360" s="647"/>
      <c r="Y360" s="647"/>
      <c r="Z360" s="647"/>
      <c r="AA360" s="647"/>
      <c r="AC360" s="653"/>
      <c r="AD360" s="646"/>
    </row>
    <row r="361" spans="1:30" s="452" customFormat="1" hidden="1" x14ac:dyDescent="0.2">
      <c r="A361" s="644"/>
      <c r="B361" s="644"/>
      <c r="C361" s="651"/>
      <c r="D361" s="645"/>
      <c r="E361" s="647"/>
      <c r="F361" s="646"/>
      <c r="M361" s="450"/>
      <c r="N361" s="645"/>
      <c r="O361" s="647"/>
      <c r="P361" s="647"/>
      <c r="Q361" s="647"/>
      <c r="V361" s="647"/>
      <c r="W361" s="647"/>
      <c r="X361" s="647"/>
      <c r="Y361" s="647"/>
      <c r="Z361" s="647"/>
      <c r="AA361" s="647"/>
      <c r="AC361" s="653"/>
      <c r="AD361" s="646"/>
    </row>
    <row r="362" spans="1:30" s="452" customFormat="1" hidden="1" x14ac:dyDescent="0.2">
      <c r="A362" s="644"/>
      <c r="B362" s="644"/>
      <c r="C362" s="651"/>
      <c r="D362" s="645"/>
      <c r="E362" s="647"/>
      <c r="F362" s="646"/>
      <c r="M362" s="450"/>
      <c r="N362" s="645"/>
      <c r="O362" s="647"/>
      <c r="P362" s="647"/>
      <c r="Q362" s="647"/>
      <c r="V362" s="647"/>
      <c r="W362" s="647"/>
      <c r="X362" s="647"/>
      <c r="Y362" s="647"/>
      <c r="Z362" s="647"/>
      <c r="AA362" s="647"/>
      <c r="AC362" s="653"/>
      <c r="AD362" s="646"/>
    </row>
    <row r="363" spans="1:30" s="452" customFormat="1" hidden="1" x14ac:dyDescent="0.2">
      <c r="A363" s="644"/>
      <c r="B363" s="644"/>
      <c r="C363" s="651"/>
      <c r="D363" s="645"/>
      <c r="E363" s="647"/>
      <c r="F363" s="646"/>
      <c r="M363" s="450"/>
      <c r="N363" s="645"/>
      <c r="O363" s="647"/>
      <c r="P363" s="647"/>
      <c r="Q363" s="647"/>
      <c r="V363" s="647"/>
      <c r="W363" s="647"/>
      <c r="X363" s="647"/>
      <c r="Y363" s="647"/>
      <c r="Z363" s="647"/>
      <c r="AA363" s="647"/>
      <c r="AC363" s="653"/>
      <c r="AD363" s="646"/>
    </row>
    <row r="364" spans="1:30" s="452" customFormat="1" hidden="1" x14ac:dyDescent="0.2">
      <c r="A364" s="644"/>
      <c r="B364" s="644"/>
      <c r="C364" s="651"/>
      <c r="D364" s="645"/>
      <c r="E364" s="647"/>
      <c r="F364" s="646"/>
      <c r="M364" s="450"/>
      <c r="N364" s="645"/>
      <c r="O364" s="647"/>
      <c r="P364" s="647"/>
      <c r="Q364" s="647"/>
      <c r="V364" s="647"/>
      <c r="W364" s="647"/>
      <c r="X364" s="647"/>
      <c r="Y364" s="647"/>
      <c r="Z364" s="647"/>
      <c r="AA364" s="647"/>
      <c r="AC364" s="653"/>
      <c r="AD364" s="646"/>
    </row>
    <row r="365" spans="1:30" s="452" customFormat="1" hidden="1" x14ac:dyDescent="0.2">
      <c r="A365" s="644"/>
      <c r="B365" s="644"/>
      <c r="C365" s="651"/>
      <c r="D365" s="645"/>
      <c r="E365" s="647"/>
      <c r="F365" s="646"/>
      <c r="M365" s="450"/>
      <c r="N365" s="645"/>
      <c r="O365" s="647"/>
      <c r="P365" s="647"/>
      <c r="Q365" s="647"/>
      <c r="V365" s="647"/>
      <c r="W365" s="647"/>
      <c r="X365" s="647"/>
      <c r="Y365" s="647"/>
      <c r="Z365" s="647"/>
      <c r="AA365" s="647"/>
      <c r="AC365" s="653"/>
      <c r="AD365" s="646"/>
    </row>
    <row r="366" spans="1:30" s="452" customFormat="1" hidden="1" x14ac:dyDescent="0.2">
      <c r="A366" s="644"/>
      <c r="B366" s="644"/>
      <c r="C366" s="651"/>
      <c r="D366" s="645"/>
      <c r="E366" s="647"/>
      <c r="F366" s="646"/>
      <c r="M366" s="450"/>
      <c r="N366" s="645"/>
      <c r="O366" s="647"/>
      <c r="P366" s="647"/>
      <c r="Q366" s="647"/>
      <c r="V366" s="647"/>
      <c r="W366" s="647"/>
      <c r="X366" s="647"/>
      <c r="Y366" s="647"/>
      <c r="Z366" s="647"/>
      <c r="AA366" s="647"/>
      <c r="AC366" s="653"/>
      <c r="AD366" s="646"/>
    </row>
    <row r="367" spans="1:30" s="452" customFormat="1" hidden="1" x14ac:dyDescent="0.2">
      <c r="A367" s="644"/>
      <c r="B367" s="644"/>
      <c r="C367" s="651"/>
      <c r="D367" s="645"/>
      <c r="E367" s="647"/>
      <c r="F367" s="646"/>
      <c r="M367" s="450"/>
      <c r="N367" s="645"/>
      <c r="O367" s="647"/>
      <c r="P367" s="647"/>
      <c r="Q367" s="647"/>
      <c r="V367" s="647"/>
      <c r="W367" s="647"/>
      <c r="X367" s="647"/>
      <c r="Y367" s="647"/>
      <c r="Z367" s="647"/>
      <c r="AA367" s="647"/>
      <c r="AC367" s="653"/>
      <c r="AD367" s="646"/>
    </row>
    <row r="368" spans="1:30" s="452" customFormat="1" hidden="1" x14ac:dyDescent="0.2">
      <c r="A368" s="644"/>
      <c r="B368" s="644"/>
      <c r="C368" s="651"/>
      <c r="D368" s="645"/>
      <c r="E368" s="647"/>
      <c r="F368" s="646"/>
      <c r="M368" s="450"/>
      <c r="N368" s="645"/>
      <c r="O368" s="647"/>
      <c r="P368" s="647"/>
      <c r="Q368" s="647"/>
      <c r="V368" s="647"/>
      <c r="W368" s="647"/>
      <c r="X368" s="647"/>
      <c r="Y368" s="647"/>
      <c r="Z368" s="647"/>
      <c r="AA368" s="647"/>
      <c r="AC368" s="653"/>
      <c r="AD368" s="646"/>
    </row>
    <row r="369" spans="1:30" s="452" customFormat="1" hidden="1" x14ac:dyDescent="0.2">
      <c r="A369" s="644"/>
      <c r="B369" s="644"/>
      <c r="C369" s="651"/>
      <c r="D369" s="645"/>
      <c r="E369" s="647"/>
      <c r="F369" s="646"/>
      <c r="M369" s="450"/>
      <c r="N369" s="645"/>
      <c r="O369" s="647"/>
      <c r="P369" s="647"/>
      <c r="Q369" s="647"/>
      <c r="V369" s="647"/>
      <c r="W369" s="647"/>
      <c r="X369" s="647"/>
      <c r="Y369" s="647"/>
      <c r="Z369" s="647"/>
      <c r="AA369" s="647"/>
      <c r="AC369" s="653"/>
      <c r="AD369" s="646"/>
    </row>
    <row r="370" spans="1:30" s="452" customFormat="1" hidden="1" x14ac:dyDescent="0.2">
      <c r="A370" s="644"/>
      <c r="B370" s="644"/>
      <c r="C370" s="651"/>
      <c r="D370" s="645"/>
      <c r="E370" s="647"/>
      <c r="F370" s="646"/>
      <c r="M370" s="450"/>
      <c r="N370" s="645"/>
      <c r="O370" s="647"/>
      <c r="P370" s="647"/>
      <c r="Q370" s="647"/>
      <c r="V370" s="647"/>
      <c r="W370" s="647"/>
      <c r="X370" s="647"/>
      <c r="Y370" s="647"/>
      <c r="Z370" s="647"/>
      <c r="AA370" s="647"/>
      <c r="AC370" s="653"/>
      <c r="AD370" s="646"/>
    </row>
    <row r="371" spans="1:30" s="452" customFormat="1" hidden="1" x14ac:dyDescent="0.2">
      <c r="A371" s="644"/>
      <c r="B371" s="644"/>
      <c r="C371" s="651"/>
      <c r="D371" s="645"/>
      <c r="E371" s="647"/>
      <c r="F371" s="646"/>
      <c r="M371" s="450"/>
      <c r="N371" s="645"/>
      <c r="O371" s="647"/>
      <c r="P371" s="647"/>
      <c r="Q371" s="647"/>
      <c r="V371" s="647"/>
      <c r="W371" s="647"/>
      <c r="X371" s="647"/>
      <c r="Y371" s="647"/>
      <c r="Z371" s="647"/>
      <c r="AA371" s="647"/>
      <c r="AC371" s="653"/>
      <c r="AD371" s="646"/>
    </row>
    <row r="372" spans="1:30" s="452" customFormat="1" hidden="1" x14ac:dyDescent="0.2">
      <c r="A372" s="644"/>
      <c r="B372" s="644"/>
      <c r="C372" s="651"/>
      <c r="D372" s="645"/>
      <c r="E372" s="647"/>
      <c r="F372" s="646"/>
      <c r="M372" s="450"/>
      <c r="N372" s="645"/>
      <c r="O372" s="647"/>
      <c r="P372" s="647"/>
      <c r="Q372" s="647"/>
      <c r="V372" s="647"/>
      <c r="W372" s="647"/>
      <c r="X372" s="647"/>
      <c r="Y372" s="647"/>
      <c r="Z372" s="647"/>
      <c r="AA372" s="647"/>
      <c r="AC372" s="653"/>
      <c r="AD372" s="646"/>
    </row>
    <row r="373" spans="1:30" s="452" customFormat="1" hidden="1" x14ac:dyDescent="0.2">
      <c r="A373" s="644"/>
      <c r="B373" s="644"/>
      <c r="C373" s="651"/>
      <c r="D373" s="645"/>
      <c r="E373" s="647"/>
      <c r="F373" s="646"/>
      <c r="M373" s="450"/>
      <c r="N373" s="645"/>
      <c r="O373" s="647"/>
      <c r="P373" s="647"/>
      <c r="Q373" s="647"/>
      <c r="V373" s="647"/>
      <c r="W373" s="647"/>
      <c r="X373" s="647"/>
      <c r="Y373" s="647"/>
      <c r="Z373" s="647"/>
      <c r="AA373" s="647"/>
      <c r="AC373" s="653"/>
      <c r="AD373" s="646"/>
    </row>
    <row r="374" spans="1:30" s="452" customFormat="1" hidden="1" x14ac:dyDescent="0.2">
      <c r="A374" s="644"/>
      <c r="B374" s="644"/>
      <c r="C374" s="651"/>
      <c r="D374" s="645"/>
      <c r="E374" s="647"/>
      <c r="F374" s="646"/>
      <c r="M374" s="450"/>
      <c r="N374" s="645"/>
      <c r="O374" s="647"/>
      <c r="P374" s="647"/>
      <c r="Q374" s="647"/>
      <c r="V374" s="647"/>
      <c r="W374" s="647"/>
      <c r="X374" s="647"/>
      <c r="Y374" s="647"/>
      <c r="Z374" s="647"/>
      <c r="AA374" s="647"/>
      <c r="AC374" s="653"/>
      <c r="AD374" s="646"/>
    </row>
    <row r="375" spans="1:30" s="452" customFormat="1" hidden="1" x14ac:dyDescent="0.2">
      <c r="A375" s="644"/>
      <c r="B375" s="644"/>
      <c r="C375" s="651"/>
      <c r="D375" s="645"/>
      <c r="E375" s="647"/>
      <c r="F375" s="646"/>
      <c r="M375" s="450"/>
      <c r="N375" s="645"/>
      <c r="O375" s="647"/>
      <c r="P375" s="647"/>
      <c r="Q375" s="647"/>
      <c r="V375" s="647"/>
      <c r="W375" s="647"/>
      <c r="X375" s="647"/>
      <c r="Y375" s="647"/>
      <c r="Z375" s="647"/>
      <c r="AA375" s="647"/>
      <c r="AC375" s="653"/>
      <c r="AD375" s="646"/>
    </row>
    <row r="376" spans="1:30" s="452" customFormat="1" hidden="1" x14ac:dyDescent="0.2">
      <c r="A376" s="644"/>
      <c r="B376" s="644"/>
      <c r="C376" s="651"/>
      <c r="D376" s="645"/>
      <c r="E376" s="647"/>
      <c r="F376" s="646"/>
      <c r="M376" s="450"/>
      <c r="N376" s="645"/>
      <c r="O376" s="647"/>
      <c r="P376" s="647"/>
      <c r="Q376" s="647"/>
      <c r="V376" s="647"/>
      <c r="W376" s="647"/>
      <c r="X376" s="647"/>
      <c r="Y376" s="647"/>
      <c r="Z376" s="647"/>
      <c r="AA376" s="647"/>
      <c r="AC376" s="653"/>
      <c r="AD376" s="646"/>
    </row>
    <row r="377" spans="1:30" s="452" customFormat="1" hidden="1" x14ac:dyDescent="0.2">
      <c r="A377" s="644"/>
      <c r="B377" s="644"/>
      <c r="C377" s="651"/>
      <c r="D377" s="645"/>
      <c r="E377" s="647"/>
      <c r="F377" s="646"/>
      <c r="M377" s="450"/>
      <c r="N377" s="645"/>
      <c r="O377" s="647"/>
      <c r="P377" s="647"/>
      <c r="Q377" s="647"/>
      <c r="V377" s="647"/>
      <c r="W377" s="647"/>
      <c r="X377" s="647"/>
      <c r="Y377" s="647"/>
      <c r="Z377" s="647"/>
      <c r="AA377" s="647"/>
      <c r="AC377" s="653"/>
      <c r="AD377" s="646"/>
    </row>
    <row r="378" spans="1:30" s="452" customFormat="1" hidden="1" x14ac:dyDescent="0.2">
      <c r="A378" s="644"/>
      <c r="B378" s="644"/>
      <c r="C378" s="651"/>
      <c r="D378" s="645"/>
      <c r="E378" s="647"/>
      <c r="F378" s="646"/>
      <c r="M378" s="450"/>
      <c r="N378" s="645"/>
      <c r="O378" s="647"/>
      <c r="P378" s="647"/>
      <c r="Q378" s="647"/>
      <c r="V378" s="647"/>
      <c r="W378" s="647"/>
      <c r="X378" s="647"/>
      <c r="Y378" s="647"/>
      <c r="Z378" s="647"/>
      <c r="AA378" s="647"/>
      <c r="AC378" s="653"/>
      <c r="AD378" s="646"/>
    </row>
    <row r="379" spans="1:30" s="452" customFormat="1" hidden="1" x14ac:dyDescent="0.2">
      <c r="A379" s="644"/>
      <c r="B379" s="644"/>
      <c r="C379" s="651"/>
      <c r="D379" s="645"/>
      <c r="E379" s="647"/>
      <c r="F379" s="646"/>
      <c r="M379" s="450"/>
      <c r="N379" s="645"/>
      <c r="O379" s="647"/>
      <c r="P379" s="647"/>
      <c r="Q379" s="647"/>
      <c r="V379" s="647"/>
      <c r="W379" s="647"/>
      <c r="X379" s="647"/>
      <c r="Y379" s="647"/>
      <c r="Z379" s="647"/>
      <c r="AA379" s="647"/>
      <c r="AC379" s="653"/>
      <c r="AD379" s="646"/>
    </row>
    <row r="380" spans="1:30" s="452" customFormat="1" hidden="1" x14ac:dyDescent="0.2">
      <c r="A380" s="644"/>
      <c r="B380" s="644"/>
      <c r="C380" s="651"/>
      <c r="D380" s="645"/>
      <c r="E380" s="647"/>
      <c r="F380" s="646"/>
      <c r="M380" s="450"/>
      <c r="N380" s="645"/>
      <c r="O380" s="647"/>
      <c r="P380" s="647"/>
      <c r="Q380" s="647"/>
      <c r="V380" s="647"/>
      <c r="W380" s="647"/>
      <c r="X380" s="647"/>
      <c r="Y380" s="647"/>
      <c r="Z380" s="647"/>
      <c r="AA380" s="647"/>
      <c r="AC380" s="653"/>
      <c r="AD380" s="646"/>
    </row>
    <row r="381" spans="1:30" s="452" customFormat="1" hidden="1" x14ac:dyDescent="0.2">
      <c r="A381" s="644"/>
      <c r="B381" s="644"/>
      <c r="C381" s="651"/>
      <c r="D381" s="645"/>
      <c r="E381" s="647"/>
      <c r="F381" s="646"/>
      <c r="M381" s="450"/>
      <c r="N381" s="645"/>
      <c r="O381" s="647"/>
      <c r="P381" s="647"/>
      <c r="Q381" s="647"/>
      <c r="V381" s="647"/>
      <c r="W381" s="647"/>
      <c r="X381" s="647"/>
      <c r="Y381" s="647"/>
      <c r="Z381" s="647"/>
      <c r="AA381" s="647"/>
      <c r="AC381" s="653"/>
      <c r="AD381" s="646"/>
    </row>
    <row r="382" spans="1:30" s="452" customFormat="1" hidden="1" x14ac:dyDescent="0.2">
      <c r="A382" s="644"/>
      <c r="B382" s="644"/>
      <c r="C382" s="651"/>
      <c r="D382" s="645"/>
      <c r="E382" s="647"/>
      <c r="F382" s="646"/>
      <c r="M382" s="450"/>
      <c r="N382" s="645"/>
      <c r="O382" s="647"/>
      <c r="P382" s="647"/>
      <c r="Q382" s="647"/>
      <c r="V382" s="647"/>
      <c r="W382" s="647"/>
      <c r="X382" s="647"/>
      <c r="Y382" s="647"/>
      <c r="Z382" s="647"/>
      <c r="AA382" s="647"/>
      <c r="AC382" s="653"/>
      <c r="AD382" s="646"/>
    </row>
    <row r="383" spans="1:30" s="452" customFormat="1" hidden="1" x14ac:dyDescent="0.2">
      <c r="A383" s="644"/>
      <c r="B383" s="644"/>
      <c r="C383" s="651"/>
      <c r="D383" s="645"/>
      <c r="E383" s="647"/>
      <c r="F383" s="646"/>
      <c r="M383" s="450"/>
      <c r="N383" s="645"/>
      <c r="O383" s="647"/>
      <c r="P383" s="647"/>
      <c r="Q383" s="647"/>
      <c r="V383" s="647"/>
      <c r="W383" s="647"/>
      <c r="X383" s="647"/>
      <c r="Y383" s="647"/>
      <c r="Z383" s="647"/>
      <c r="AA383" s="647"/>
      <c r="AC383" s="653"/>
      <c r="AD383" s="646"/>
    </row>
    <row r="384" spans="1:30" s="452" customFormat="1" hidden="1" x14ac:dyDescent="0.2">
      <c r="A384" s="644"/>
      <c r="B384" s="644"/>
      <c r="C384" s="651"/>
      <c r="D384" s="645"/>
      <c r="E384" s="647"/>
      <c r="F384" s="646"/>
      <c r="M384" s="450"/>
      <c r="N384" s="645"/>
      <c r="O384" s="647"/>
      <c r="P384" s="647"/>
      <c r="Q384" s="647"/>
      <c r="V384" s="647"/>
      <c r="W384" s="647"/>
      <c r="X384" s="647"/>
      <c r="Y384" s="647"/>
      <c r="Z384" s="647"/>
      <c r="AA384" s="647"/>
      <c r="AC384" s="653"/>
      <c r="AD384" s="646"/>
    </row>
    <row r="385" spans="1:30" s="452" customFormat="1" hidden="1" x14ac:dyDescent="0.2">
      <c r="A385" s="644"/>
      <c r="B385" s="644"/>
      <c r="C385" s="651"/>
      <c r="D385" s="645"/>
      <c r="E385" s="647"/>
      <c r="F385" s="646"/>
      <c r="M385" s="450"/>
      <c r="N385" s="645"/>
      <c r="O385" s="647"/>
      <c r="P385" s="647"/>
      <c r="Q385" s="647"/>
      <c r="V385" s="647"/>
      <c r="W385" s="647"/>
      <c r="X385" s="647"/>
      <c r="Y385" s="647"/>
      <c r="Z385" s="647"/>
      <c r="AA385" s="647"/>
      <c r="AC385" s="653"/>
      <c r="AD385" s="646"/>
    </row>
    <row r="386" spans="1:30" s="452" customFormat="1" hidden="1" x14ac:dyDescent="0.2">
      <c r="A386" s="644"/>
      <c r="B386" s="644"/>
      <c r="C386" s="651"/>
      <c r="D386" s="645"/>
      <c r="E386" s="647"/>
      <c r="F386" s="646"/>
      <c r="M386" s="450"/>
      <c r="N386" s="645"/>
      <c r="O386" s="647"/>
      <c r="P386" s="647"/>
      <c r="Q386" s="647"/>
      <c r="V386" s="647"/>
      <c r="W386" s="647"/>
      <c r="X386" s="647"/>
      <c r="Y386" s="647"/>
      <c r="Z386" s="647"/>
      <c r="AA386" s="647"/>
      <c r="AC386" s="653"/>
      <c r="AD386" s="646"/>
    </row>
    <row r="387" spans="1:30" s="452" customFormat="1" hidden="1" x14ac:dyDescent="0.2">
      <c r="A387" s="644"/>
      <c r="B387" s="644"/>
      <c r="C387" s="651"/>
      <c r="D387" s="645"/>
      <c r="E387" s="647"/>
      <c r="F387" s="646"/>
      <c r="M387" s="450"/>
      <c r="N387" s="645"/>
      <c r="O387" s="647"/>
      <c r="P387" s="647"/>
      <c r="Q387" s="647"/>
      <c r="V387" s="647"/>
      <c r="W387" s="647"/>
      <c r="X387" s="647"/>
      <c r="Y387" s="647"/>
      <c r="Z387" s="647"/>
      <c r="AA387" s="647"/>
      <c r="AC387" s="653"/>
      <c r="AD387" s="646"/>
    </row>
    <row r="388" spans="1:30" s="452" customFormat="1" hidden="1" x14ac:dyDescent="0.2">
      <c r="A388" s="644"/>
      <c r="B388" s="644"/>
      <c r="C388" s="651"/>
      <c r="D388" s="645"/>
      <c r="E388" s="647"/>
      <c r="F388" s="646"/>
      <c r="M388" s="450"/>
      <c r="N388" s="645"/>
      <c r="O388" s="647"/>
      <c r="P388" s="647"/>
      <c r="Q388" s="647"/>
      <c r="V388" s="647"/>
      <c r="W388" s="647"/>
      <c r="X388" s="647"/>
      <c r="Y388" s="647"/>
      <c r="Z388" s="647"/>
      <c r="AA388" s="647"/>
      <c r="AC388" s="653"/>
      <c r="AD388" s="646"/>
    </row>
    <row r="389" spans="1:30" s="452" customFormat="1" hidden="1" x14ac:dyDescent="0.2">
      <c r="A389" s="644"/>
      <c r="B389" s="644"/>
      <c r="C389" s="651"/>
      <c r="D389" s="645"/>
      <c r="E389" s="647"/>
      <c r="F389" s="646"/>
      <c r="M389" s="450"/>
      <c r="N389" s="645"/>
      <c r="O389" s="647"/>
      <c r="P389" s="647"/>
      <c r="Q389" s="647"/>
      <c r="V389" s="647"/>
      <c r="W389" s="647"/>
      <c r="X389" s="647"/>
      <c r="Y389" s="647"/>
      <c r="Z389" s="647"/>
      <c r="AA389" s="647"/>
      <c r="AC389" s="653"/>
      <c r="AD389" s="646"/>
    </row>
    <row r="390" spans="1:30" s="452" customFormat="1" hidden="1" x14ac:dyDescent="0.2">
      <c r="A390" s="644"/>
      <c r="B390" s="644"/>
      <c r="C390" s="651"/>
      <c r="D390" s="645"/>
      <c r="E390" s="647"/>
      <c r="F390" s="646"/>
      <c r="M390" s="450"/>
      <c r="N390" s="645"/>
      <c r="O390" s="647"/>
      <c r="P390" s="647"/>
      <c r="Q390" s="647"/>
      <c r="V390" s="647"/>
      <c r="W390" s="647"/>
      <c r="X390" s="647"/>
      <c r="Y390" s="647"/>
      <c r="Z390" s="647"/>
      <c r="AA390" s="647"/>
      <c r="AC390" s="653"/>
      <c r="AD390" s="646"/>
    </row>
    <row r="391" spans="1:30" s="452" customFormat="1" hidden="1" x14ac:dyDescent="0.2">
      <c r="A391" s="644"/>
      <c r="B391" s="644"/>
      <c r="C391" s="651"/>
      <c r="D391" s="645"/>
      <c r="E391" s="647"/>
      <c r="F391" s="646"/>
      <c r="M391" s="450"/>
      <c r="N391" s="645"/>
      <c r="O391" s="647"/>
      <c r="P391" s="647"/>
      <c r="Q391" s="647"/>
      <c r="V391" s="647"/>
      <c r="W391" s="647"/>
      <c r="X391" s="647"/>
      <c r="Y391" s="647"/>
      <c r="Z391" s="647"/>
      <c r="AA391" s="647"/>
      <c r="AC391" s="653"/>
      <c r="AD391" s="646"/>
    </row>
    <row r="392" spans="1:30" s="452" customFormat="1" hidden="1" x14ac:dyDescent="0.2">
      <c r="A392" s="644"/>
      <c r="B392" s="644"/>
      <c r="C392" s="651"/>
      <c r="D392" s="645"/>
      <c r="E392" s="647"/>
      <c r="F392" s="646"/>
      <c r="M392" s="450"/>
      <c r="N392" s="645"/>
      <c r="O392" s="647"/>
      <c r="P392" s="647"/>
      <c r="Q392" s="647"/>
      <c r="V392" s="647"/>
      <c r="W392" s="647"/>
      <c r="X392" s="647"/>
      <c r="Y392" s="647"/>
      <c r="Z392" s="647"/>
      <c r="AA392" s="647"/>
      <c r="AC392" s="653"/>
      <c r="AD392" s="646"/>
    </row>
    <row r="393" spans="1:30" s="452" customFormat="1" hidden="1" x14ac:dyDescent="0.2">
      <c r="A393" s="644"/>
      <c r="B393" s="644"/>
      <c r="C393" s="651"/>
      <c r="D393" s="645"/>
      <c r="E393" s="647"/>
      <c r="F393" s="646"/>
      <c r="M393" s="450"/>
      <c r="N393" s="645"/>
      <c r="O393" s="647"/>
      <c r="P393" s="647"/>
      <c r="Q393" s="647"/>
      <c r="V393" s="647"/>
      <c r="W393" s="647"/>
      <c r="X393" s="647"/>
      <c r="Y393" s="647"/>
      <c r="Z393" s="647"/>
      <c r="AA393" s="647"/>
      <c r="AC393" s="653"/>
      <c r="AD393" s="646"/>
    </row>
    <row r="394" spans="1:30" s="452" customFormat="1" hidden="1" x14ac:dyDescent="0.2">
      <c r="A394" s="644"/>
      <c r="B394" s="644"/>
      <c r="C394" s="651"/>
      <c r="D394" s="645"/>
      <c r="E394" s="647"/>
      <c r="F394" s="646"/>
      <c r="M394" s="450"/>
      <c r="N394" s="645"/>
      <c r="O394" s="647"/>
      <c r="P394" s="647"/>
      <c r="Q394" s="647"/>
      <c r="V394" s="647"/>
      <c r="W394" s="647"/>
      <c r="X394" s="647"/>
      <c r="Y394" s="647"/>
      <c r="Z394" s="647"/>
      <c r="AA394" s="647"/>
      <c r="AC394" s="653"/>
      <c r="AD394" s="646"/>
    </row>
    <row r="395" spans="1:30" s="452" customFormat="1" hidden="1" x14ac:dyDescent="0.2">
      <c r="A395" s="644"/>
      <c r="B395" s="644"/>
      <c r="C395" s="651"/>
      <c r="D395" s="645"/>
      <c r="E395" s="647"/>
      <c r="F395" s="646"/>
      <c r="M395" s="450"/>
      <c r="N395" s="645"/>
      <c r="O395" s="647"/>
      <c r="P395" s="647"/>
      <c r="Q395" s="647"/>
      <c r="V395" s="647"/>
      <c r="W395" s="647"/>
      <c r="X395" s="647"/>
      <c r="Y395" s="647"/>
      <c r="Z395" s="647"/>
      <c r="AA395" s="647"/>
      <c r="AC395" s="653"/>
      <c r="AD395" s="646"/>
    </row>
    <row r="396" spans="1:30" s="452" customFormat="1" hidden="1" x14ac:dyDescent="0.2">
      <c r="A396" s="644"/>
      <c r="B396" s="644"/>
      <c r="C396" s="651"/>
      <c r="D396" s="645"/>
      <c r="E396" s="647"/>
      <c r="F396" s="646"/>
      <c r="M396" s="450"/>
      <c r="N396" s="645"/>
      <c r="O396" s="647"/>
      <c r="P396" s="647"/>
      <c r="Q396" s="647"/>
      <c r="V396" s="647"/>
      <c r="W396" s="647"/>
      <c r="X396" s="647"/>
      <c r="Y396" s="647"/>
      <c r="Z396" s="647"/>
      <c r="AA396" s="647"/>
      <c r="AC396" s="653"/>
      <c r="AD396" s="646"/>
    </row>
    <row r="397" spans="1:30" s="452" customFormat="1" hidden="1" x14ac:dyDescent="0.2">
      <c r="A397" s="644"/>
      <c r="B397" s="644"/>
      <c r="C397" s="651"/>
      <c r="D397" s="645"/>
      <c r="E397" s="647"/>
      <c r="F397" s="646"/>
      <c r="M397" s="450"/>
      <c r="N397" s="645"/>
      <c r="O397" s="647"/>
      <c r="P397" s="647"/>
      <c r="Q397" s="647"/>
      <c r="V397" s="647"/>
      <c r="W397" s="647"/>
      <c r="X397" s="647"/>
      <c r="Y397" s="647"/>
      <c r="Z397" s="647"/>
      <c r="AA397" s="647"/>
      <c r="AC397" s="653"/>
      <c r="AD397" s="646"/>
    </row>
    <row r="398" spans="1:30" s="452" customFormat="1" hidden="1" x14ac:dyDescent="0.2">
      <c r="A398" s="644"/>
      <c r="B398" s="644"/>
      <c r="C398" s="651"/>
      <c r="D398" s="645"/>
      <c r="E398" s="647"/>
      <c r="F398" s="646"/>
      <c r="M398" s="450"/>
      <c r="N398" s="645"/>
      <c r="O398" s="647"/>
      <c r="P398" s="647"/>
      <c r="Q398" s="647"/>
      <c r="V398" s="647"/>
      <c r="W398" s="647"/>
      <c r="X398" s="647"/>
      <c r="Y398" s="647"/>
      <c r="Z398" s="647"/>
      <c r="AA398" s="647"/>
      <c r="AC398" s="653"/>
      <c r="AD398" s="646"/>
    </row>
    <row r="399" spans="1:30" s="452" customFormat="1" hidden="1" x14ac:dyDescent="0.2">
      <c r="A399" s="644"/>
      <c r="B399" s="644"/>
      <c r="C399" s="651"/>
      <c r="D399" s="645"/>
      <c r="E399" s="647"/>
      <c r="F399" s="646"/>
      <c r="M399" s="450"/>
      <c r="N399" s="645"/>
      <c r="O399" s="647"/>
      <c r="P399" s="647"/>
      <c r="Q399" s="647"/>
      <c r="V399" s="647"/>
      <c r="W399" s="647"/>
      <c r="X399" s="647"/>
      <c r="Y399" s="647"/>
      <c r="Z399" s="647"/>
      <c r="AA399" s="647"/>
      <c r="AC399" s="653"/>
      <c r="AD399" s="646"/>
    </row>
    <row r="400" spans="1:30" s="452" customFormat="1" hidden="1" x14ac:dyDescent="0.2">
      <c r="A400" s="644"/>
      <c r="B400" s="644"/>
      <c r="C400" s="651"/>
      <c r="D400" s="645"/>
      <c r="E400" s="647"/>
      <c r="F400" s="646"/>
      <c r="M400" s="450"/>
      <c r="N400" s="645"/>
      <c r="O400" s="647"/>
      <c r="P400" s="647"/>
      <c r="Q400" s="647"/>
      <c r="V400" s="647"/>
      <c r="W400" s="647"/>
      <c r="X400" s="647"/>
      <c r="Y400" s="647"/>
      <c r="Z400" s="647"/>
      <c r="AA400" s="647"/>
      <c r="AC400" s="653"/>
      <c r="AD400" s="646"/>
    </row>
    <row r="401" spans="1:30" s="452" customFormat="1" hidden="1" x14ac:dyDescent="0.2">
      <c r="A401" s="644"/>
      <c r="B401" s="644"/>
      <c r="C401" s="651"/>
      <c r="D401" s="645"/>
      <c r="E401" s="647"/>
      <c r="F401" s="646"/>
      <c r="M401" s="450"/>
      <c r="N401" s="645"/>
      <c r="O401" s="647"/>
      <c r="P401" s="647"/>
      <c r="Q401" s="647"/>
      <c r="V401" s="647"/>
      <c r="W401" s="647"/>
      <c r="X401" s="647"/>
      <c r="Y401" s="647"/>
      <c r="Z401" s="647"/>
      <c r="AA401" s="647"/>
      <c r="AC401" s="653"/>
      <c r="AD401" s="646"/>
    </row>
    <row r="402" spans="1:30" s="452" customFormat="1" hidden="1" x14ac:dyDescent="0.2">
      <c r="A402" s="644"/>
      <c r="B402" s="644"/>
      <c r="C402" s="651"/>
      <c r="D402" s="645"/>
      <c r="E402" s="647"/>
      <c r="F402" s="646"/>
      <c r="M402" s="450"/>
      <c r="N402" s="645"/>
      <c r="O402" s="647"/>
      <c r="P402" s="647"/>
      <c r="Q402" s="647"/>
      <c r="V402" s="647"/>
      <c r="W402" s="647"/>
      <c r="X402" s="647"/>
      <c r="Y402" s="647"/>
      <c r="Z402" s="647"/>
      <c r="AA402" s="647"/>
      <c r="AC402" s="653"/>
      <c r="AD402" s="646"/>
    </row>
    <row r="403" spans="1:30" s="452" customFormat="1" hidden="1" x14ac:dyDescent="0.2">
      <c r="A403" s="644"/>
      <c r="B403" s="644"/>
      <c r="C403" s="651"/>
      <c r="D403" s="645"/>
      <c r="E403" s="647"/>
      <c r="F403" s="646"/>
      <c r="M403" s="450"/>
      <c r="N403" s="645"/>
      <c r="O403" s="647"/>
      <c r="P403" s="647"/>
      <c r="Q403" s="647"/>
      <c r="V403" s="647"/>
      <c r="W403" s="647"/>
      <c r="X403" s="647"/>
      <c r="Y403" s="647"/>
      <c r="Z403" s="647"/>
      <c r="AA403" s="647"/>
      <c r="AC403" s="653"/>
      <c r="AD403" s="646"/>
    </row>
    <row r="404" spans="1:30" s="452" customFormat="1" hidden="1" x14ac:dyDescent="0.2">
      <c r="A404" s="644"/>
      <c r="B404" s="644"/>
      <c r="C404" s="651"/>
      <c r="D404" s="645"/>
      <c r="E404" s="647"/>
      <c r="F404" s="646"/>
      <c r="M404" s="450"/>
      <c r="N404" s="645"/>
      <c r="O404" s="647"/>
      <c r="P404" s="647"/>
      <c r="Q404" s="647"/>
      <c r="V404" s="647"/>
      <c r="W404" s="647"/>
      <c r="X404" s="647"/>
      <c r="Y404" s="647"/>
      <c r="Z404" s="647"/>
      <c r="AA404" s="647"/>
      <c r="AC404" s="653"/>
      <c r="AD404" s="646"/>
    </row>
    <row r="405" spans="1:30" s="452" customFormat="1" hidden="1" x14ac:dyDescent="0.2">
      <c r="A405" s="644"/>
      <c r="B405" s="644"/>
      <c r="C405" s="651"/>
      <c r="D405" s="645"/>
      <c r="E405" s="647"/>
      <c r="F405" s="646"/>
      <c r="M405" s="450"/>
      <c r="N405" s="645"/>
      <c r="O405" s="647"/>
      <c r="P405" s="647"/>
      <c r="Q405" s="647"/>
      <c r="V405" s="647"/>
      <c r="W405" s="647"/>
      <c r="X405" s="647"/>
      <c r="Y405" s="647"/>
      <c r="Z405" s="647"/>
      <c r="AA405" s="647"/>
      <c r="AC405" s="653"/>
      <c r="AD405" s="646"/>
    </row>
    <row r="406" spans="1:30" s="452" customFormat="1" hidden="1" x14ac:dyDescent="0.2">
      <c r="A406" s="644"/>
      <c r="B406" s="644"/>
      <c r="C406" s="651"/>
      <c r="D406" s="645"/>
      <c r="E406" s="647"/>
      <c r="F406" s="646"/>
      <c r="M406" s="450"/>
      <c r="N406" s="645"/>
      <c r="O406" s="647"/>
      <c r="P406" s="647"/>
      <c r="Q406" s="647"/>
      <c r="V406" s="647"/>
      <c r="W406" s="647"/>
      <c r="X406" s="647"/>
      <c r="Y406" s="647"/>
      <c r="Z406" s="647"/>
      <c r="AA406" s="647"/>
      <c r="AC406" s="653"/>
      <c r="AD406" s="646"/>
    </row>
    <row r="407" spans="1:30" s="452" customFormat="1" hidden="1" x14ac:dyDescent="0.2">
      <c r="A407" s="644"/>
      <c r="B407" s="644"/>
      <c r="C407" s="651"/>
      <c r="D407" s="645"/>
      <c r="E407" s="647"/>
      <c r="F407" s="646"/>
      <c r="M407" s="450"/>
      <c r="N407" s="645"/>
      <c r="O407" s="647"/>
      <c r="P407" s="647"/>
      <c r="Q407" s="647"/>
      <c r="V407" s="647"/>
      <c r="W407" s="647"/>
      <c r="X407" s="647"/>
      <c r="Y407" s="647"/>
      <c r="Z407" s="647"/>
      <c r="AA407" s="647"/>
      <c r="AC407" s="653"/>
      <c r="AD407" s="646"/>
    </row>
    <row r="408" spans="1:30" s="452" customFormat="1" hidden="1" x14ac:dyDescent="0.2">
      <c r="A408" s="644"/>
      <c r="B408" s="644"/>
      <c r="C408" s="651"/>
      <c r="D408" s="645"/>
      <c r="E408" s="647"/>
      <c r="F408" s="646"/>
      <c r="M408" s="450"/>
      <c r="N408" s="645"/>
      <c r="O408" s="647"/>
      <c r="P408" s="647"/>
      <c r="Q408" s="647"/>
      <c r="V408" s="647"/>
      <c r="W408" s="647"/>
      <c r="X408" s="647"/>
      <c r="Y408" s="647"/>
      <c r="Z408" s="647"/>
      <c r="AA408" s="647"/>
      <c r="AC408" s="653"/>
      <c r="AD408" s="646"/>
    </row>
    <row r="409" spans="1:30" s="452" customFormat="1" hidden="1" x14ac:dyDescent="0.2">
      <c r="A409" s="644"/>
      <c r="B409" s="644"/>
      <c r="C409" s="651"/>
      <c r="D409" s="645"/>
      <c r="E409" s="647"/>
      <c r="F409" s="646"/>
      <c r="M409" s="450"/>
      <c r="N409" s="645"/>
      <c r="O409" s="647"/>
      <c r="P409" s="647"/>
      <c r="Q409" s="647"/>
      <c r="V409" s="647"/>
      <c r="W409" s="647"/>
      <c r="X409" s="647"/>
      <c r="Y409" s="647"/>
      <c r="Z409" s="647"/>
      <c r="AA409" s="647"/>
      <c r="AC409" s="653"/>
      <c r="AD409" s="646"/>
    </row>
    <row r="410" spans="1:30" s="452" customFormat="1" hidden="1" x14ac:dyDescent="0.2">
      <c r="A410" s="644"/>
      <c r="B410" s="644"/>
      <c r="C410" s="651"/>
      <c r="D410" s="645"/>
      <c r="E410" s="647"/>
      <c r="F410" s="646"/>
      <c r="M410" s="450"/>
      <c r="N410" s="645"/>
      <c r="O410" s="647"/>
      <c r="P410" s="647"/>
      <c r="Q410" s="647"/>
      <c r="V410" s="647"/>
      <c r="W410" s="647"/>
      <c r="X410" s="647"/>
      <c r="Y410" s="647"/>
      <c r="Z410" s="647"/>
      <c r="AA410" s="647"/>
      <c r="AC410" s="653"/>
      <c r="AD410" s="646"/>
    </row>
    <row r="411" spans="1:30" s="452" customFormat="1" hidden="1" x14ac:dyDescent="0.2">
      <c r="A411" s="644"/>
      <c r="B411" s="644"/>
      <c r="C411" s="651"/>
      <c r="D411" s="645"/>
      <c r="E411" s="647"/>
      <c r="F411" s="646"/>
      <c r="M411" s="450"/>
      <c r="N411" s="645"/>
      <c r="O411" s="647"/>
      <c r="P411" s="647"/>
      <c r="Q411" s="647"/>
      <c r="V411" s="647"/>
      <c r="W411" s="647"/>
      <c r="X411" s="647"/>
      <c r="Y411" s="647"/>
      <c r="Z411" s="647"/>
      <c r="AA411" s="647"/>
      <c r="AC411" s="653"/>
      <c r="AD411" s="646"/>
    </row>
    <row r="412" spans="1:30" s="452" customFormat="1" hidden="1" x14ac:dyDescent="0.2">
      <c r="A412" s="644"/>
      <c r="B412" s="644"/>
      <c r="C412" s="651"/>
      <c r="D412" s="645"/>
      <c r="E412" s="647"/>
      <c r="F412" s="646"/>
      <c r="M412" s="450"/>
      <c r="N412" s="645"/>
      <c r="O412" s="647"/>
      <c r="P412" s="647"/>
      <c r="Q412" s="647"/>
      <c r="V412" s="647"/>
      <c r="W412" s="647"/>
      <c r="X412" s="647"/>
      <c r="Y412" s="647"/>
      <c r="Z412" s="647"/>
      <c r="AA412" s="647"/>
      <c r="AC412" s="653"/>
      <c r="AD412" s="646"/>
    </row>
    <row r="413" spans="1:30" s="452" customFormat="1" hidden="1" x14ac:dyDescent="0.2">
      <c r="A413" s="644"/>
      <c r="B413" s="644"/>
      <c r="C413" s="651"/>
      <c r="D413" s="645"/>
      <c r="E413" s="647"/>
      <c r="F413" s="646"/>
      <c r="M413" s="450"/>
      <c r="N413" s="645"/>
      <c r="O413" s="647"/>
      <c r="P413" s="647"/>
      <c r="Q413" s="647"/>
      <c r="V413" s="647"/>
      <c r="W413" s="647"/>
      <c r="X413" s="647"/>
      <c r="Y413" s="647"/>
      <c r="Z413" s="647"/>
      <c r="AA413" s="647"/>
      <c r="AC413" s="653"/>
      <c r="AD413" s="646"/>
    </row>
    <row r="414" spans="1:30" s="452" customFormat="1" hidden="1" x14ac:dyDescent="0.2">
      <c r="A414" s="644"/>
      <c r="B414" s="644"/>
      <c r="C414" s="651"/>
      <c r="D414" s="645"/>
      <c r="E414" s="647"/>
      <c r="F414" s="646"/>
      <c r="M414" s="450"/>
      <c r="N414" s="645"/>
      <c r="O414" s="647"/>
      <c r="P414" s="647"/>
      <c r="Q414" s="647"/>
      <c r="V414" s="647"/>
      <c r="W414" s="647"/>
      <c r="X414" s="647"/>
      <c r="Y414" s="647"/>
      <c r="Z414" s="647"/>
      <c r="AA414" s="647"/>
      <c r="AC414" s="653"/>
      <c r="AD414" s="646"/>
    </row>
    <row r="415" spans="1:30" s="452" customFormat="1" hidden="1" x14ac:dyDescent="0.2">
      <c r="A415" s="644"/>
      <c r="B415" s="644"/>
      <c r="C415" s="651"/>
      <c r="D415" s="645"/>
      <c r="E415" s="647"/>
      <c r="F415" s="646"/>
      <c r="M415" s="450"/>
      <c r="N415" s="645"/>
      <c r="O415" s="647"/>
      <c r="P415" s="647"/>
      <c r="Q415" s="647"/>
      <c r="V415" s="647"/>
      <c r="W415" s="647"/>
      <c r="X415" s="647"/>
      <c r="Y415" s="647"/>
      <c r="Z415" s="647"/>
      <c r="AA415" s="647"/>
      <c r="AC415" s="653"/>
      <c r="AD415" s="646"/>
    </row>
    <row r="416" spans="1:30" s="452" customFormat="1" hidden="1" x14ac:dyDescent="0.2">
      <c r="A416" s="644"/>
      <c r="B416" s="644"/>
      <c r="C416" s="651"/>
      <c r="D416" s="645"/>
      <c r="E416" s="647"/>
      <c r="F416" s="646"/>
      <c r="M416" s="450"/>
      <c r="N416" s="645"/>
      <c r="O416" s="647"/>
      <c r="P416" s="647"/>
      <c r="Q416" s="647"/>
      <c r="V416" s="647"/>
      <c r="W416" s="647"/>
      <c r="X416" s="647"/>
      <c r="Y416" s="647"/>
      <c r="Z416" s="647"/>
      <c r="AA416" s="647"/>
      <c r="AC416" s="653"/>
      <c r="AD416" s="646"/>
    </row>
    <row r="417" spans="1:30" s="452" customFormat="1" hidden="1" x14ac:dyDescent="0.2">
      <c r="A417" s="644"/>
      <c r="B417" s="644"/>
      <c r="C417" s="651"/>
      <c r="D417" s="645"/>
      <c r="E417" s="647"/>
      <c r="F417" s="646"/>
      <c r="M417" s="450"/>
      <c r="N417" s="645"/>
      <c r="O417" s="647"/>
      <c r="P417" s="647"/>
      <c r="Q417" s="647"/>
      <c r="V417" s="647"/>
      <c r="W417" s="647"/>
      <c r="X417" s="647"/>
      <c r="Y417" s="647"/>
      <c r="Z417" s="647"/>
      <c r="AA417" s="647"/>
      <c r="AC417" s="653"/>
      <c r="AD417" s="646"/>
    </row>
    <row r="418" spans="1:30" s="452" customFormat="1" hidden="1" x14ac:dyDescent="0.2">
      <c r="A418" s="644"/>
      <c r="B418" s="644"/>
      <c r="C418" s="651"/>
      <c r="D418" s="645"/>
      <c r="E418" s="647"/>
      <c r="F418" s="646"/>
      <c r="M418" s="450"/>
      <c r="N418" s="645"/>
      <c r="O418" s="647"/>
      <c r="P418" s="647"/>
      <c r="Q418" s="647"/>
      <c r="V418" s="647"/>
      <c r="W418" s="647"/>
      <c r="X418" s="647"/>
      <c r="Y418" s="647"/>
      <c r="Z418" s="647"/>
      <c r="AA418" s="647"/>
      <c r="AC418" s="653"/>
      <c r="AD418" s="646"/>
    </row>
    <row r="419" spans="1:30" s="452" customFormat="1" hidden="1" x14ac:dyDescent="0.2">
      <c r="A419" s="644"/>
      <c r="B419" s="644"/>
      <c r="C419" s="651"/>
      <c r="D419" s="645"/>
      <c r="E419" s="647"/>
      <c r="F419" s="646"/>
      <c r="M419" s="450"/>
      <c r="N419" s="645"/>
      <c r="O419" s="647"/>
      <c r="P419" s="647"/>
      <c r="Q419" s="647"/>
      <c r="V419" s="647"/>
      <c r="W419" s="647"/>
      <c r="X419" s="647"/>
      <c r="Y419" s="647"/>
      <c r="Z419" s="647"/>
      <c r="AA419" s="647"/>
      <c r="AC419" s="653"/>
      <c r="AD419" s="646"/>
    </row>
    <row r="420" spans="1:30" s="452" customFormat="1" hidden="1" x14ac:dyDescent="0.2">
      <c r="A420" s="644"/>
      <c r="B420" s="644"/>
      <c r="C420" s="651"/>
      <c r="D420" s="645"/>
      <c r="E420" s="647"/>
      <c r="F420" s="646"/>
      <c r="M420" s="450"/>
      <c r="N420" s="645"/>
      <c r="O420" s="647"/>
      <c r="P420" s="647"/>
      <c r="Q420" s="647"/>
      <c r="V420" s="647"/>
      <c r="W420" s="647"/>
      <c r="X420" s="647"/>
      <c r="Y420" s="647"/>
      <c r="Z420" s="647"/>
      <c r="AA420" s="647"/>
      <c r="AC420" s="653"/>
      <c r="AD420" s="646"/>
    </row>
    <row r="421" spans="1:30" s="452" customFormat="1" hidden="1" x14ac:dyDescent="0.2">
      <c r="A421" s="644"/>
      <c r="B421" s="644"/>
      <c r="C421" s="651"/>
      <c r="D421" s="645"/>
      <c r="E421" s="647"/>
      <c r="F421" s="646"/>
      <c r="M421" s="450"/>
      <c r="N421" s="645"/>
      <c r="O421" s="647"/>
      <c r="P421" s="647"/>
      <c r="Q421" s="647"/>
      <c r="V421" s="647"/>
      <c r="W421" s="647"/>
      <c r="X421" s="647"/>
      <c r="Y421" s="647"/>
      <c r="Z421" s="647"/>
      <c r="AA421" s="647"/>
      <c r="AC421" s="653"/>
      <c r="AD421" s="646"/>
    </row>
    <row r="422" spans="1:30" s="452" customFormat="1" hidden="1" x14ac:dyDescent="0.25">
      <c r="A422" s="644"/>
      <c r="B422" s="644"/>
      <c r="C422" s="651"/>
      <c r="D422" s="645"/>
      <c r="E422" s="647"/>
      <c r="F422" s="646"/>
      <c r="N422" s="645"/>
      <c r="O422" s="647"/>
      <c r="P422" s="647"/>
      <c r="Q422" s="647"/>
      <c r="V422" s="647"/>
      <c r="W422" s="647"/>
      <c r="X422" s="647"/>
      <c r="Y422" s="647"/>
      <c r="Z422" s="647"/>
      <c r="AA422" s="647"/>
      <c r="AC422" s="653"/>
      <c r="AD422" s="646"/>
    </row>
    <row r="423" spans="1:30" s="452" customFormat="1" hidden="1" x14ac:dyDescent="0.25">
      <c r="A423" s="644"/>
      <c r="B423" s="644"/>
      <c r="C423" s="651"/>
      <c r="D423" s="645"/>
      <c r="E423" s="647"/>
      <c r="F423" s="646"/>
      <c r="N423" s="645"/>
      <c r="O423" s="647"/>
      <c r="P423" s="647"/>
      <c r="Q423" s="647"/>
      <c r="V423" s="647"/>
      <c r="W423" s="647"/>
      <c r="X423" s="647"/>
      <c r="Y423" s="647"/>
      <c r="Z423" s="647"/>
      <c r="AA423" s="647"/>
      <c r="AC423" s="653"/>
      <c r="AD423" s="646"/>
    </row>
    <row r="424" spans="1:30" s="452" customFormat="1" hidden="1" x14ac:dyDescent="0.25">
      <c r="A424" s="644"/>
      <c r="B424" s="644"/>
      <c r="C424" s="651"/>
      <c r="D424" s="645"/>
      <c r="E424" s="647"/>
      <c r="F424" s="646"/>
      <c r="N424" s="645"/>
      <c r="O424" s="647"/>
      <c r="P424" s="647"/>
      <c r="Q424" s="647"/>
      <c r="V424" s="647"/>
      <c r="W424" s="647"/>
      <c r="X424" s="647"/>
      <c r="Y424" s="647"/>
      <c r="Z424" s="647"/>
      <c r="AA424" s="647"/>
      <c r="AC424" s="653"/>
      <c r="AD424" s="646"/>
    </row>
    <row r="425" spans="1:30" s="452" customFormat="1" hidden="1" x14ac:dyDescent="0.25">
      <c r="A425" s="644"/>
      <c r="B425" s="644"/>
      <c r="C425" s="651"/>
      <c r="D425" s="645"/>
      <c r="E425" s="647"/>
      <c r="F425" s="646"/>
      <c r="N425" s="645"/>
      <c r="O425" s="647"/>
      <c r="P425" s="647"/>
      <c r="Q425" s="647"/>
      <c r="V425" s="647"/>
      <c r="W425" s="647"/>
      <c r="X425" s="647"/>
      <c r="Y425" s="647"/>
      <c r="Z425" s="647"/>
      <c r="AA425" s="647"/>
      <c r="AC425" s="653"/>
      <c r="AD425" s="646"/>
    </row>
    <row r="426" spans="1:30" s="452" customFormat="1" hidden="1" x14ac:dyDescent="0.25">
      <c r="A426" s="644"/>
      <c r="B426" s="644"/>
      <c r="C426" s="651"/>
      <c r="D426" s="645"/>
      <c r="E426" s="647"/>
      <c r="F426" s="646"/>
      <c r="N426" s="645"/>
      <c r="O426" s="647"/>
      <c r="P426" s="647"/>
      <c r="Q426" s="647"/>
      <c r="V426" s="647"/>
      <c r="W426" s="647"/>
      <c r="X426" s="647"/>
      <c r="Y426" s="647"/>
      <c r="Z426" s="647"/>
      <c r="AA426" s="647"/>
      <c r="AC426" s="653"/>
      <c r="AD426" s="646"/>
    </row>
    <row r="427" spans="1:30" s="452" customFormat="1" hidden="1" x14ac:dyDescent="0.25">
      <c r="A427" s="644"/>
      <c r="B427" s="644"/>
      <c r="C427" s="651"/>
      <c r="D427" s="645"/>
      <c r="E427" s="647"/>
      <c r="F427" s="646"/>
      <c r="N427" s="645"/>
      <c r="O427" s="647"/>
      <c r="P427" s="647"/>
      <c r="Q427" s="647"/>
      <c r="V427" s="647"/>
      <c r="W427" s="647"/>
      <c r="X427" s="647"/>
      <c r="Y427" s="647"/>
      <c r="Z427" s="647"/>
      <c r="AA427" s="647"/>
      <c r="AC427" s="653"/>
      <c r="AD427" s="646"/>
    </row>
    <row r="428" spans="1:30" s="452" customFormat="1" hidden="1" x14ac:dyDescent="0.25">
      <c r="A428" s="644"/>
      <c r="B428" s="644"/>
      <c r="C428" s="651"/>
      <c r="D428" s="645"/>
      <c r="E428" s="647"/>
      <c r="F428" s="646"/>
      <c r="N428" s="645"/>
      <c r="O428" s="647"/>
      <c r="P428" s="647"/>
      <c r="Q428" s="647"/>
      <c r="V428" s="647"/>
      <c r="W428" s="647"/>
      <c r="X428" s="647"/>
      <c r="Y428" s="647"/>
      <c r="Z428" s="647"/>
      <c r="AA428" s="647"/>
      <c r="AC428" s="653"/>
      <c r="AD428" s="646"/>
    </row>
    <row r="429" spans="1:30" s="452" customFormat="1" hidden="1" x14ac:dyDescent="0.25">
      <c r="A429" s="644"/>
      <c r="B429" s="644"/>
      <c r="C429" s="651"/>
      <c r="D429" s="645"/>
      <c r="E429" s="647"/>
      <c r="F429" s="646"/>
      <c r="N429" s="645"/>
      <c r="O429" s="647"/>
      <c r="P429" s="647"/>
      <c r="Q429" s="647"/>
      <c r="V429" s="647"/>
      <c r="W429" s="647"/>
      <c r="X429" s="647"/>
      <c r="Y429" s="647"/>
      <c r="Z429" s="647"/>
      <c r="AA429" s="647"/>
      <c r="AC429" s="653"/>
      <c r="AD429" s="646"/>
    </row>
    <row r="430" spans="1:30" s="452" customFormat="1" hidden="1" x14ac:dyDescent="0.25">
      <c r="A430" s="644"/>
      <c r="B430" s="644"/>
      <c r="C430" s="651"/>
      <c r="D430" s="645"/>
      <c r="E430" s="647"/>
      <c r="F430" s="646"/>
      <c r="N430" s="645"/>
      <c r="O430" s="647"/>
      <c r="P430" s="647"/>
      <c r="Q430" s="647"/>
      <c r="V430" s="647"/>
      <c r="W430" s="647"/>
      <c r="X430" s="647"/>
      <c r="Y430" s="647"/>
      <c r="Z430" s="647"/>
      <c r="AA430" s="647"/>
      <c r="AC430" s="653"/>
      <c r="AD430" s="646"/>
    </row>
    <row r="431" spans="1:30" s="452" customFormat="1" hidden="1" x14ac:dyDescent="0.25">
      <c r="A431" s="644"/>
      <c r="B431" s="644"/>
      <c r="C431" s="651"/>
      <c r="D431" s="645"/>
      <c r="E431" s="647"/>
      <c r="F431" s="646"/>
      <c r="N431" s="645"/>
      <c r="O431" s="647"/>
      <c r="P431" s="647"/>
      <c r="Q431" s="647"/>
      <c r="V431" s="647"/>
      <c r="W431" s="647"/>
      <c r="X431" s="647"/>
      <c r="Y431" s="647"/>
      <c r="Z431" s="647"/>
      <c r="AA431" s="647"/>
      <c r="AC431" s="653"/>
      <c r="AD431" s="646"/>
    </row>
    <row r="432" spans="1:30" s="452" customFormat="1" hidden="1" x14ac:dyDescent="0.25">
      <c r="A432" s="644"/>
      <c r="B432" s="644"/>
      <c r="C432" s="651"/>
      <c r="D432" s="645"/>
      <c r="E432" s="647"/>
      <c r="F432" s="646"/>
      <c r="N432" s="645"/>
      <c r="O432" s="647"/>
      <c r="P432" s="647"/>
      <c r="Q432" s="647"/>
      <c r="V432" s="647"/>
      <c r="W432" s="647"/>
      <c r="X432" s="647"/>
      <c r="Y432" s="647"/>
      <c r="Z432" s="647"/>
      <c r="AA432" s="647"/>
      <c r="AC432" s="653"/>
      <c r="AD432" s="646"/>
    </row>
    <row r="433" spans="1:30" s="452" customFormat="1" hidden="1" x14ac:dyDescent="0.25">
      <c r="A433" s="644"/>
      <c r="B433" s="644"/>
      <c r="C433" s="651"/>
      <c r="D433" s="645"/>
      <c r="E433" s="647"/>
      <c r="F433" s="646"/>
      <c r="N433" s="645"/>
      <c r="O433" s="647"/>
      <c r="P433" s="647"/>
      <c r="Q433" s="647"/>
      <c r="V433" s="647"/>
      <c r="W433" s="647"/>
      <c r="X433" s="647"/>
      <c r="Y433" s="647"/>
      <c r="Z433" s="647"/>
      <c r="AA433" s="647"/>
      <c r="AC433" s="653"/>
      <c r="AD433" s="646"/>
    </row>
    <row r="434" spans="1:30" hidden="1" x14ac:dyDescent="0.2">
      <c r="A434" s="644"/>
      <c r="B434" s="644"/>
      <c r="C434" s="651"/>
      <c r="D434" s="645"/>
      <c r="E434" s="647"/>
      <c r="F434" s="646"/>
      <c r="G434" s="450"/>
      <c r="H434" s="452"/>
      <c r="I434" s="452"/>
      <c r="J434" s="452"/>
      <c r="K434" s="452"/>
      <c r="N434" s="645"/>
      <c r="O434" s="647"/>
      <c r="P434" s="647"/>
      <c r="Q434" s="647"/>
      <c r="R434" s="452"/>
      <c r="S434" s="452"/>
      <c r="T434" s="452"/>
      <c r="U434" s="452"/>
      <c r="V434" s="647"/>
      <c r="W434" s="647"/>
      <c r="X434" s="647"/>
      <c r="Y434" s="647"/>
      <c r="Z434" s="647"/>
      <c r="AA434" s="647"/>
      <c r="AB434" s="452"/>
      <c r="AC434" s="653"/>
      <c r="AD434" s="646"/>
    </row>
    <row r="435" spans="1:30" hidden="1" x14ac:dyDescent="0.2">
      <c r="A435" s="644"/>
      <c r="B435" s="644"/>
      <c r="C435" s="651"/>
      <c r="D435" s="645"/>
      <c r="E435" s="647"/>
      <c r="F435" s="646"/>
      <c r="G435" s="450"/>
      <c r="H435" s="452"/>
      <c r="I435" s="452"/>
      <c r="J435" s="452"/>
      <c r="K435" s="452"/>
      <c r="N435" s="645"/>
      <c r="O435" s="647"/>
      <c r="P435" s="647"/>
      <c r="Q435" s="647"/>
      <c r="R435" s="452"/>
      <c r="S435" s="452"/>
      <c r="T435" s="452"/>
      <c r="U435" s="452"/>
      <c r="V435" s="647"/>
      <c r="W435" s="647"/>
      <c r="X435" s="647"/>
      <c r="Y435" s="647"/>
      <c r="Z435" s="647"/>
      <c r="AA435" s="647"/>
      <c r="AB435" s="452"/>
      <c r="AC435" s="653"/>
      <c r="AD435" s="646"/>
    </row>
    <row r="436" spans="1:30" hidden="1" x14ac:dyDescent="0.2">
      <c r="A436" s="644"/>
      <c r="B436" s="644"/>
      <c r="C436" s="651"/>
      <c r="D436" s="645"/>
      <c r="E436" s="647"/>
      <c r="F436" s="646"/>
      <c r="G436" s="450"/>
      <c r="H436" s="452"/>
      <c r="I436" s="452"/>
      <c r="J436" s="452"/>
      <c r="K436" s="452"/>
      <c r="N436" s="645"/>
      <c r="O436" s="647"/>
      <c r="P436" s="647"/>
      <c r="Q436" s="647"/>
      <c r="R436" s="452"/>
      <c r="S436" s="452"/>
      <c r="T436" s="452"/>
      <c r="U436" s="452"/>
      <c r="V436" s="647"/>
      <c r="W436" s="647"/>
      <c r="X436" s="647"/>
      <c r="Y436" s="647"/>
      <c r="Z436" s="647"/>
      <c r="AA436" s="647"/>
      <c r="AB436" s="452"/>
      <c r="AC436" s="653"/>
      <c r="AD436" s="646"/>
    </row>
    <row r="437" spans="1:30" hidden="1" x14ac:dyDescent="0.2">
      <c r="A437" s="644"/>
      <c r="B437" s="644"/>
      <c r="C437" s="651"/>
      <c r="D437" s="645"/>
      <c r="E437" s="647"/>
      <c r="F437" s="646"/>
      <c r="G437" s="450"/>
      <c r="H437" s="452"/>
      <c r="I437" s="452"/>
      <c r="J437" s="452"/>
      <c r="K437" s="452"/>
      <c r="N437" s="645"/>
      <c r="O437" s="647"/>
      <c r="P437" s="647"/>
      <c r="Q437" s="647"/>
      <c r="R437" s="452"/>
      <c r="S437" s="452"/>
      <c r="T437" s="452"/>
      <c r="U437" s="452"/>
      <c r="V437" s="647"/>
      <c r="W437" s="647"/>
      <c r="X437" s="647"/>
      <c r="Y437" s="647"/>
      <c r="Z437" s="647"/>
      <c r="AA437" s="647"/>
      <c r="AB437" s="452"/>
      <c r="AC437" s="653"/>
      <c r="AD437" s="646"/>
    </row>
    <row r="438" spans="1:30" hidden="1" x14ac:dyDescent="0.2">
      <c r="A438" s="644"/>
      <c r="B438" s="644"/>
      <c r="C438" s="651"/>
      <c r="D438" s="645"/>
      <c r="E438" s="647"/>
      <c r="F438" s="646"/>
      <c r="G438" s="450"/>
      <c r="H438" s="452"/>
      <c r="I438" s="452"/>
      <c r="J438" s="452"/>
      <c r="K438" s="452"/>
      <c r="N438" s="645"/>
      <c r="O438" s="647"/>
      <c r="P438" s="647"/>
      <c r="Q438" s="647"/>
      <c r="R438" s="452"/>
      <c r="S438" s="452"/>
      <c r="T438" s="452"/>
      <c r="U438" s="452"/>
      <c r="V438" s="647"/>
      <c r="W438" s="647"/>
      <c r="X438" s="647"/>
      <c r="Y438" s="647"/>
      <c r="Z438" s="647"/>
      <c r="AA438" s="647"/>
      <c r="AB438" s="452"/>
      <c r="AC438" s="653"/>
      <c r="AD438" s="646"/>
    </row>
    <row r="439" spans="1:30" hidden="1" x14ac:dyDescent="0.2">
      <c r="A439" s="644"/>
      <c r="B439" s="644"/>
      <c r="C439" s="651"/>
      <c r="D439" s="645"/>
      <c r="E439" s="647"/>
      <c r="F439" s="646"/>
      <c r="G439" s="450"/>
      <c r="H439" s="452"/>
      <c r="I439" s="452"/>
      <c r="J439" s="452"/>
      <c r="K439" s="452"/>
      <c r="N439" s="645"/>
      <c r="O439" s="647"/>
      <c r="P439" s="647"/>
      <c r="Q439" s="647"/>
      <c r="R439" s="452"/>
      <c r="S439" s="452"/>
      <c r="T439" s="452"/>
      <c r="U439" s="452"/>
      <c r="V439" s="647"/>
      <c r="W439" s="647"/>
      <c r="X439" s="647"/>
      <c r="Y439" s="647"/>
      <c r="Z439" s="647"/>
      <c r="AA439" s="647"/>
      <c r="AB439" s="452"/>
      <c r="AC439" s="653"/>
      <c r="AD439" s="646"/>
    </row>
    <row r="440" spans="1:30" hidden="1" x14ac:dyDescent="0.2">
      <c r="A440" s="644"/>
      <c r="B440" s="644"/>
      <c r="C440" s="651"/>
      <c r="D440" s="645"/>
      <c r="E440" s="647"/>
      <c r="F440" s="646"/>
      <c r="G440" s="450"/>
      <c r="H440" s="452"/>
      <c r="I440" s="452"/>
      <c r="J440" s="452"/>
      <c r="K440" s="452"/>
      <c r="N440" s="645"/>
      <c r="O440" s="647"/>
      <c r="P440" s="647"/>
      <c r="Q440" s="647"/>
      <c r="R440" s="452"/>
      <c r="S440" s="452"/>
      <c r="T440" s="452"/>
      <c r="U440" s="452"/>
      <c r="V440" s="647"/>
      <c r="W440" s="647"/>
      <c r="X440" s="647"/>
      <c r="Y440" s="647"/>
      <c r="Z440" s="647"/>
      <c r="AA440" s="647"/>
      <c r="AB440" s="452"/>
      <c r="AC440" s="653"/>
      <c r="AD440" s="646"/>
    </row>
    <row r="441" spans="1:30" hidden="1" x14ac:dyDescent="0.2">
      <c r="A441" s="644"/>
      <c r="B441" s="644"/>
      <c r="C441" s="651"/>
      <c r="D441" s="645"/>
      <c r="E441" s="647"/>
      <c r="F441" s="646"/>
      <c r="G441" s="450"/>
      <c r="H441" s="452"/>
      <c r="I441" s="452"/>
      <c r="J441" s="452"/>
      <c r="K441" s="452"/>
      <c r="N441" s="645"/>
      <c r="O441" s="647"/>
      <c r="P441" s="647"/>
      <c r="Q441" s="647"/>
      <c r="R441" s="452"/>
      <c r="S441" s="452"/>
      <c r="T441" s="452"/>
      <c r="U441" s="452"/>
      <c r="V441" s="647"/>
      <c r="W441" s="647"/>
      <c r="X441" s="647"/>
      <c r="Y441" s="647"/>
      <c r="Z441" s="647"/>
      <c r="AA441" s="647"/>
      <c r="AB441" s="452"/>
      <c r="AC441" s="653"/>
      <c r="AD441" s="646"/>
    </row>
    <row r="442" spans="1:30" hidden="1" x14ac:dyDescent="0.2">
      <c r="A442" s="644"/>
      <c r="B442" s="644"/>
      <c r="C442" s="651"/>
      <c r="D442" s="645"/>
      <c r="E442" s="647"/>
      <c r="F442" s="646"/>
      <c r="G442" s="450"/>
      <c r="H442" s="452"/>
      <c r="I442" s="452"/>
      <c r="J442" s="452"/>
      <c r="K442" s="452"/>
      <c r="N442" s="645"/>
      <c r="O442" s="647"/>
      <c r="P442" s="647"/>
      <c r="Q442" s="647"/>
      <c r="R442" s="452"/>
      <c r="S442" s="452"/>
      <c r="T442" s="452"/>
      <c r="U442" s="452"/>
      <c r="V442" s="647"/>
      <c r="W442" s="647"/>
      <c r="X442" s="647"/>
      <c r="Y442" s="647"/>
      <c r="Z442" s="647"/>
      <c r="AA442" s="647"/>
      <c r="AB442" s="452"/>
      <c r="AC442" s="653"/>
      <c r="AD442" s="646"/>
    </row>
    <row r="443" spans="1:30" hidden="1" x14ac:dyDescent="0.2">
      <c r="A443" s="644"/>
      <c r="B443" s="644"/>
      <c r="C443" s="651"/>
      <c r="D443" s="645"/>
      <c r="E443" s="647"/>
      <c r="F443" s="646"/>
      <c r="G443" s="450"/>
      <c r="H443" s="452"/>
      <c r="I443" s="452"/>
      <c r="J443" s="452"/>
      <c r="K443" s="452"/>
      <c r="N443" s="645"/>
      <c r="O443" s="647"/>
      <c r="P443" s="647"/>
      <c r="Q443" s="647"/>
      <c r="R443" s="452"/>
      <c r="S443" s="452"/>
      <c r="T443" s="452"/>
      <c r="U443" s="452"/>
      <c r="V443" s="647"/>
      <c r="W443" s="647"/>
      <c r="X443" s="647"/>
      <c r="Y443" s="647"/>
      <c r="Z443" s="647"/>
      <c r="AA443" s="647"/>
      <c r="AB443" s="452"/>
      <c r="AC443" s="653"/>
      <c r="AD443" s="646"/>
    </row>
    <row r="444" spans="1:30" hidden="1" x14ac:dyDescent="0.2">
      <c r="A444" s="644"/>
      <c r="B444" s="644"/>
      <c r="C444" s="651"/>
      <c r="D444" s="645"/>
      <c r="E444" s="647"/>
      <c r="F444" s="646"/>
      <c r="G444" s="450"/>
      <c r="H444" s="452"/>
      <c r="I444" s="452"/>
      <c r="J444" s="452"/>
      <c r="K444" s="452"/>
      <c r="N444" s="645"/>
      <c r="O444" s="647"/>
      <c r="P444" s="647"/>
      <c r="Q444" s="647"/>
      <c r="R444" s="452"/>
      <c r="S444" s="452"/>
      <c r="T444" s="452"/>
      <c r="U444" s="452"/>
      <c r="V444" s="647"/>
      <c r="W444" s="647"/>
      <c r="X444" s="647"/>
      <c r="Y444" s="647"/>
      <c r="Z444" s="647"/>
      <c r="AA444" s="647"/>
      <c r="AB444" s="452"/>
      <c r="AC444" s="653"/>
      <c r="AD444" s="646"/>
    </row>
    <row r="445" spans="1:30" hidden="1" x14ac:dyDescent="0.2">
      <c r="A445" s="644"/>
      <c r="B445" s="644"/>
      <c r="C445" s="651"/>
      <c r="D445" s="645"/>
      <c r="E445" s="647"/>
      <c r="F445" s="646"/>
      <c r="G445" s="450"/>
      <c r="H445" s="452"/>
      <c r="I445" s="452"/>
      <c r="J445" s="452"/>
      <c r="K445" s="452"/>
      <c r="N445" s="645"/>
      <c r="O445" s="647"/>
      <c r="P445" s="647"/>
      <c r="Q445" s="647"/>
      <c r="R445" s="452"/>
      <c r="S445" s="452"/>
      <c r="T445" s="452"/>
      <c r="U445" s="452"/>
      <c r="V445" s="647"/>
      <c r="W445" s="647"/>
      <c r="X445" s="647"/>
      <c r="Y445" s="647"/>
      <c r="Z445" s="647"/>
      <c r="AA445" s="647"/>
      <c r="AB445" s="452"/>
      <c r="AC445" s="653"/>
      <c r="AD445" s="646"/>
    </row>
    <row r="446" spans="1:30" hidden="1" x14ac:dyDescent="0.2">
      <c r="A446" s="644"/>
      <c r="B446" s="644"/>
      <c r="C446" s="651"/>
      <c r="D446" s="645"/>
      <c r="E446" s="647"/>
      <c r="F446" s="646"/>
      <c r="G446" s="450"/>
      <c r="H446" s="452"/>
      <c r="I446" s="452"/>
      <c r="J446" s="452"/>
      <c r="K446" s="452"/>
      <c r="N446" s="645"/>
      <c r="O446" s="647"/>
      <c r="P446" s="647"/>
      <c r="Q446" s="647"/>
      <c r="R446" s="452"/>
      <c r="S446" s="452"/>
      <c r="T446" s="452"/>
      <c r="U446" s="452"/>
      <c r="V446" s="647"/>
      <c r="W446" s="647"/>
      <c r="X446" s="647"/>
      <c r="Y446" s="647"/>
      <c r="Z446" s="647"/>
      <c r="AA446" s="647"/>
      <c r="AB446" s="452"/>
      <c r="AC446" s="653"/>
      <c r="AD446" s="646"/>
    </row>
    <row r="447" spans="1:30" hidden="1" x14ac:dyDescent="0.2">
      <c r="A447" s="644"/>
      <c r="B447" s="644"/>
      <c r="C447" s="651"/>
      <c r="D447" s="645"/>
      <c r="E447" s="647"/>
      <c r="F447" s="646"/>
      <c r="G447" s="450"/>
      <c r="H447" s="452"/>
      <c r="I447" s="452"/>
      <c r="J447" s="452"/>
      <c r="K447" s="452"/>
      <c r="N447" s="645"/>
      <c r="O447" s="647"/>
      <c r="P447" s="647"/>
      <c r="Q447" s="647"/>
      <c r="R447" s="452"/>
      <c r="S447" s="452"/>
      <c r="T447" s="452"/>
      <c r="U447" s="452"/>
      <c r="V447" s="647"/>
      <c r="W447" s="647"/>
      <c r="X447" s="647"/>
      <c r="Y447" s="647"/>
      <c r="Z447" s="647"/>
      <c r="AA447" s="647"/>
      <c r="AB447" s="452"/>
      <c r="AC447" s="653"/>
      <c r="AD447" s="646"/>
    </row>
    <row r="448" spans="1:30" hidden="1" x14ac:dyDescent="0.2">
      <c r="A448" s="644"/>
      <c r="B448" s="644"/>
      <c r="C448" s="651"/>
      <c r="D448" s="645"/>
      <c r="E448" s="647"/>
      <c r="F448" s="646"/>
      <c r="G448" s="450"/>
      <c r="H448" s="452"/>
      <c r="I448" s="452"/>
      <c r="J448" s="452"/>
      <c r="K448" s="452"/>
      <c r="N448" s="645"/>
      <c r="O448" s="647"/>
      <c r="P448" s="647"/>
      <c r="Q448" s="647"/>
      <c r="R448" s="452"/>
      <c r="S448" s="452"/>
      <c r="T448" s="452"/>
      <c r="U448" s="452"/>
      <c r="V448" s="647"/>
      <c r="W448" s="647"/>
      <c r="X448" s="647"/>
      <c r="Y448" s="647"/>
      <c r="Z448" s="647"/>
      <c r="AA448" s="647"/>
      <c r="AB448" s="452"/>
      <c r="AC448" s="653"/>
      <c r="AD448" s="646"/>
    </row>
    <row r="449" spans="1:30" hidden="1" x14ac:dyDescent="0.2">
      <c r="A449" s="644"/>
      <c r="B449" s="644"/>
      <c r="C449" s="651"/>
      <c r="D449" s="645"/>
      <c r="E449" s="647"/>
      <c r="F449" s="646"/>
      <c r="G449" s="450"/>
      <c r="H449" s="452"/>
      <c r="I449" s="452"/>
      <c r="J449" s="452"/>
      <c r="K449" s="452"/>
      <c r="N449" s="645"/>
      <c r="O449" s="647"/>
      <c r="P449" s="647"/>
      <c r="Q449" s="647"/>
      <c r="R449" s="452"/>
      <c r="S449" s="452"/>
      <c r="T449" s="452"/>
      <c r="U449" s="452"/>
      <c r="V449" s="647"/>
      <c r="W449" s="647"/>
      <c r="X449" s="647"/>
      <c r="Y449" s="647"/>
      <c r="Z449" s="647"/>
      <c r="AA449" s="647"/>
      <c r="AB449" s="452"/>
      <c r="AC449" s="653"/>
      <c r="AD449" s="646"/>
    </row>
    <row r="450" spans="1:30" hidden="1" x14ac:dyDescent="0.2">
      <c r="A450" s="644"/>
      <c r="B450" s="644"/>
      <c r="C450" s="651"/>
      <c r="D450" s="645"/>
      <c r="E450" s="647"/>
      <c r="F450" s="646"/>
      <c r="G450" s="450"/>
      <c r="H450" s="452"/>
      <c r="I450" s="452"/>
      <c r="J450" s="452"/>
      <c r="K450" s="452"/>
      <c r="N450" s="645"/>
      <c r="O450" s="647"/>
      <c r="P450" s="647"/>
      <c r="Q450" s="647"/>
      <c r="R450" s="452"/>
      <c r="S450" s="452"/>
      <c r="T450" s="452"/>
      <c r="U450" s="452"/>
      <c r="V450" s="647"/>
      <c r="W450" s="647"/>
      <c r="X450" s="647"/>
      <c r="Y450" s="647"/>
      <c r="Z450" s="647"/>
      <c r="AA450" s="647"/>
      <c r="AB450" s="452"/>
      <c r="AC450" s="653"/>
      <c r="AD450" s="646"/>
    </row>
    <row r="451" spans="1:30" hidden="1" x14ac:dyDescent="0.2">
      <c r="A451" s="644"/>
      <c r="B451" s="644"/>
      <c r="C451" s="651"/>
      <c r="D451" s="645"/>
      <c r="E451" s="647"/>
      <c r="F451" s="646"/>
      <c r="G451" s="450"/>
      <c r="H451" s="452"/>
      <c r="I451" s="452"/>
      <c r="J451" s="452"/>
      <c r="K451" s="452"/>
      <c r="N451" s="645"/>
      <c r="O451" s="647"/>
      <c r="P451" s="647"/>
      <c r="Q451" s="647"/>
      <c r="R451" s="452"/>
      <c r="S451" s="452"/>
      <c r="T451" s="452"/>
      <c r="U451" s="452"/>
      <c r="V451" s="647"/>
      <c r="W451" s="647"/>
      <c r="X451" s="647"/>
      <c r="Y451" s="647"/>
      <c r="Z451" s="647"/>
      <c r="AA451" s="647"/>
      <c r="AB451" s="452"/>
      <c r="AC451" s="653"/>
      <c r="AD451" s="646"/>
    </row>
    <row r="452" spans="1:30" hidden="1" x14ac:dyDescent="0.2">
      <c r="A452" s="644"/>
      <c r="B452" s="644"/>
      <c r="C452" s="651"/>
      <c r="D452" s="645"/>
      <c r="E452" s="647"/>
      <c r="F452" s="646"/>
      <c r="G452" s="450"/>
      <c r="H452" s="452"/>
      <c r="I452" s="452"/>
      <c r="J452" s="452"/>
      <c r="K452" s="452"/>
      <c r="N452" s="645"/>
      <c r="O452" s="647"/>
      <c r="P452" s="647"/>
      <c r="Q452" s="647"/>
      <c r="R452" s="452"/>
      <c r="S452" s="452"/>
      <c r="T452" s="452"/>
      <c r="U452" s="452"/>
      <c r="V452" s="647"/>
      <c r="W452" s="647"/>
      <c r="X452" s="647"/>
      <c r="Y452" s="647"/>
      <c r="Z452" s="647"/>
      <c r="AA452" s="647"/>
      <c r="AB452" s="452"/>
      <c r="AC452" s="653"/>
      <c r="AD452" s="646"/>
    </row>
    <row r="453" spans="1:30" hidden="1" x14ac:dyDescent="0.2">
      <c r="A453" s="644"/>
      <c r="B453" s="644"/>
      <c r="C453" s="651"/>
      <c r="D453" s="645"/>
      <c r="E453" s="647"/>
      <c r="F453" s="646"/>
      <c r="G453" s="450"/>
      <c r="H453" s="452"/>
      <c r="I453" s="452"/>
      <c r="J453" s="452"/>
      <c r="K453" s="452"/>
      <c r="N453" s="645"/>
      <c r="O453" s="647"/>
      <c r="P453" s="647"/>
      <c r="Q453" s="647"/>
      <c r="R453" s="452"/>
      <c r="S453" s="452"/>
      <c r="T453" s="452"/>
      <c r="U453" s="452"/>
      <c r="V453" s="647"/>
      <c r="W453" s="647"/>
      <c r="X453" s="647"/>
      <c r="Y453" s="647"/>
      <c r="Z453" s="647"/>
      <c r="AA453" s="647"/>
      <c r="AB453" s="452"/>
      <c r="AC453" s="653"/>
      <c r="AD453" s="646"/>
    </row>
    <row r="454" spans="1:30" hidden="1" x14ac:dyDescent="0.2">
      <c r="A454" s="644"/>
      <c r="B454" s="644"/>
      <c r="C454" s="651"/>
      <c r="D454" s="645"/>
      <c r="E454" s="647"/>
      <c r="F454" s="646"/>
      <c r="G454" s="450"/>
      <c r="H454" s="452"/>
      <c r="I454" s="452"/>
      <c r="J454" s="452"/>
      <c r="K454" s="452"/>
      <c r="N454" s="645"/>
      <c r="O454" s="647"/>
      <c r="P454" s="647"/>
      <c r="Q454" s="647"/>
      <c r="R454" s="452"/>
      <c r="S454" s="452"/>
      <c r="T454" s="452"/>
      <c r="U454" s="452"/>
      <c r="V454" s="647"/>
      <c r="W454" s="647"/>
      <c r="X454" s="647"/>
      <c r="Y454" s="647"/>
      <c r="Z454" s="647"/>
      <c r="AA454" s="647"/>
      <c r="AB454" s="452"/>
      <c r="AC454" s="653"/>
      <c r="AD454" s="646"/>
    </row>
    <row r="455" spans="1:30" hidden="1" x14ac:dyDescent="0.2">
      <c r="A455" s="644"/>
      <c r="B455" s="644"/>
      <c r="C455" s="651"/>
      <c r="D455" s="645"/>
      <c r="E455" s="647"/>
      <c r="F455" s="646"/>
      <c r="G455" s="450"/>
      <c r="H455" s="452"/>
      <c r="I455" s="452"/>
      <c r="J455" s="452"/>
      <c r="K455" s="452"/>
      <c r="N455" s="645"/>
      <c r="O455" s="647"/>
      <c r="P455" s="647"/>
      <c r="Q455" s="647"/>
      <c r="R455" s="452"/>
      <c r="S455" s="452"/>
      <c r="T455" s="452"/>
      <c r="U455" s="452"/>
      <c r="V455" s="647"/>
      <c r="W455" s="647"/>
      <c r="X455" s="647"/>
      <c r="Y455" s="647"/>
      <c r="Z455" s="647"/>
      <c r="AA455" s="647"/>
      <c r="AB455" s="452"/>
      <c r="AC455" s="653"/>
      <c r="AD455" s="646"/>
    </row>
    <row r="456" spans="1:30" hidden="1" x14ac:dyDescent="0.2">
      <c r="A456" s="644"/>
      <c r="B456" s="644"/>
      <c r="C456" s="651"/>
      <c r="D456" s="645"/>
      <c r="E456" s="647"/>
      <c r="F456" s="646"/>
      <c r="G456" s="450"/>
      <c r="H456" s="452"/>
      <c r="I456" s="452"/>
      <c r="J456" s="452"/>
      <c r="K456" s="452"/>
      <c r="N456" s="645"/>
      <c r="O456" s="647"/>
      <c r="P456" s="647"/>
      <c r="Q456" s="647"/>
      <c r="R456" s="452"/>
      <c r="S456" s="452"/>
      <c r="T456" s="452"/>
      <c r="U456" s="452"/>
      <c r="V456" s="647"/>
      <c r="W456" s="647"/>
      <c r="X456" s="647"/>
      <c r="Y456" s="647"/>
      <c r="Z456" s="647"/>
      <c r="AA456" s="647"/>
      <c r="AB456" s="452"/>
      <c r="AC456" s="653"/>
      <c r="AD456" s="646"/>
    </row>
    <row r="457" spans="1:30" hidden="1" x14ac:dyDescent="0.2">
      <c r="A457" s="644"/>
      <c r="B457" s="644"/>
      <c r="C457" s="651"/>
      <c r="D457" s="645"/>
      <c r="E457" s="647"/>
      <c r="F457" s="646"/>
      <c r="G457" s="450"/>
      <c r="H457" s="452"/>
      <c r="I457" s="452"/>
      <c r="J457" s="452"/>
      <c r="K457" s="452"/>
      <c r="N457" s="645"/>
      <c r="O457" s="647"/>
      <c r="P457" s="647"/>
      <c r="Q457" s="647"/>
      <c r="R457" s="452"/>
      <c r="S457" s="452"/>
      <c r="T457" s="452"/>
      <c r="U457" s="452"/>
      <c r="V457" s="647"/>
      <c r="W457" s="647"/>
      <c r="X457" s="647"/>
      <c r="Y457" s="647"/>
      <c r="Z457" s="647"/>
      <c r="AA457" s="647"/>
      <c r="AB457" s="452"/>
      <c r="AC457" s="653"/>
      <c r="AD457" s="646"/>
    </row>
    <row r="458" spans="1:30" hidden="1" x14ac:dyDescent="0.2">
      <c r="A458" s="644"/>
      <c r="B458" s="644"/>
      <c r="C458" s="651"/>
      <c r="D458" s="645"/>
      <c r="E458" s="647"/>
      <c r="F458" s="646"/>
      <c r="G458" s="450"/>
      <c r="H458" s="452"/>
      <c r="I458" s="452"/>
      <c r="J458" s="452"/>
      <c r="K458" s="452"/>
      <c r="N458" s="645"/>
      <c r="O458" s="647"/>
      <c r="P458" s="647"/>
      <c r="Q458" s="647"/>
      <c r="R458" s="452"/>
      <c r="S458" s="452"/>
      <c r="T458" s="452"/>
      <c r="U458" s="452"/>
      <c r="V458" s="647"/>
      <c r="W458" s="647"/>
      <c r="X458" s="647"/>
      <c r="Y458" s="647"/>
      <c r="Z458" s="647"/>
      <c r="AA458" s="647"/>
      <c r="AB458" s="452"/>
      <c r="AC458" s="653"/>
      <c r="AD458" s="646"/>
    </row>
    <row r="459" spans="1:30" hidden="1" x14ac:dyDescent="0.2">
      <c r="A459" s="644"/>
      <c r="B459" s="644"/>
      <c r="C459" s="651"/>
      <c r="D459" s="645"/>
      <c r="E459" s="647"/>
      <c r="F459" s="646"/>
      <c r="G459" s="450"/>
      <c r="H459" s="452"/>
      <c r="I459" s="452"/>
      <c r="J459" s="452"/>
      <c r="K459" s="452"/>
      <c r="N459" s="645"/>
      <c r="O459" s="647"/>
      <c r="P459" s="647"/>
      <c r="Q459" s="647"/>
      <c r="R459" s="452"/>
      <c r="S459" s="452"/>
      <c r="T459" s="452"/>
      <c r="U459" s="452"/>
      <c r="V459" s="647"/>
      <c r="W459" s="647"/>
      <c r="X459" s="647"/>
      <c r="Y459" s="647"/>
      <c r="Z459" s="647"/>
      <c r="AA459" s="647"/>
      <c r="AB459" s="452"/>
      <c r="AC459" s="653"/>
      <c r="AD459" s="646"/>
    </row>
    <row r="460" spans="1:30" hidden="1" x14ac:dyDescent="0.2">
      <c r="A460" s="644"/>
      <c r="B460" s="644"/>
      <c r="C460" s="651"/>
      <c r="D460" s="645"/>
      <c r="E460" s="647"/>
      <c r="F460" s="646"/>
      <c r="G460" s="450"/>
      <c r="H460" s="452"/>
      <c r="I460" s="452"/>
      <c r="J460" s="452"/>
      <c r="K460" s="452"/>
      <c r="N460" s="645"/>
      <c r="O460" s="647"/>
      <c r="P460" s="647"/>
      <c r="Q460" s="647"/>
      <c r="R460" s="452"/>
      <c r="S460" s="452"/>
      <c r="T460" s="452"/>
      <c r="U460" s="452"/>
      <c r="V460" s="647"/>
      <c r="W460" s="647"/>
      <c r="X460" s="647"/>
      <c r="Y460" s="647"/>
      <c r="Z460" s="647"/>
      <c r="AA460" s="647"/>
      <c r="AB460" s="452"/>
      <c r="AC460" s="653"/>
      <c r="AD460" s="646"/>
    </row>
    <row r="461" spans="1:30" hidden="1" x14ac:dyDescent="0.2">
      <c r="A461" s="644"/>
      <c r="B461" s="644"/>
      <c r="C461" s="651"/>
      <c r="D461" s="645"/>
      <c r="E461" s="647"/>
      <c r="F461" s="646"/>
      <c r="G461" s="450"/>
      <c r="H461" s="452"/>
      <c r="I461" s="452"/>
      <c r="J461" s="452"/>
      <c r="K461" s="452"/>
      <c r="N461" s="645"/>
      <c r="O461" s="647"/>
      <c r="P461" s="647"/>
      <c r="Q461" s="647"/>
      <c r="R461" s="452"/>
      <c r="S461" s="452"/>
      <c r="T461" s="452"/>
      <c r="U461" s="452"/>
      <c r="V461" s="647"/>
      <c r="W461" s="647"/>
      <c r="X461" s="647"/>
      <c r="Y461" s="647"/>
      <c r="Z461" s="647"/>
      <c r="AA461" s="647"/>
      <c r="AB461" s="452"/>
      <c r="AC461" s="653"/>
      <c r="AD461" s="646"/>
    </row>
    <row r="462" spans="1:30" hidden="1" x14ac:dyDescent="0.2">
      <c r="A462" s="644"/>
      <c r="B462" s="644"/>
      <c r="C462" s="651"/>
      <c r="D462" s="645"/>
      <c r="E462" s="647"/>
      <c r="F462" s="646"/>
      <c r="G462" s="450"/>
      <c r="H462" s="452"/>
      <c r="I462" s="452"/>
      <c r="J462" s="452"/>
      <c r="K462" s="452"/>
      <c r="N462" s="645"/>
      <c r="O462" s="647"/>
      <c r="P462" s="647"/>
      <c r="Q462" s="647"/>
      <c r="R462" s="452"/>
      <c r="S462" s="452"/>
      <c r="T462" s="452"/>
      <c r="U462" s="452"/>
      <c r="V462" s="647"/>
      <c r="W462" s="647"/>
      <c r="X462" s="647"/>
      <c r="Y462" s="647"/>
      <c r="Z462" s="647"/>
      <c r="AA462" s="647"/>
      <c r="AB462" s="452"/>
      <c r="AC462" s="653"/>
      <c r="AD462" s="646"/>
    </row>
    <row r="463" spans="1:30" hidden="1" x14ac:dyDescent="0.2">
      <c r="A463" s="644"/>
      <c r="B463" s="644"/>
      <c r="C463" s="651"/>
      <c r="D463" s="645"/>
      <c r="E463" s="647"/>
      <c r="F463" s="646"/>
      <c r="G463" s="450"/>
      <c r="H463" s="452"/>
      <c r="I463" s="452"/>
      <c r="J463" s="452"/>
      <c r="K463" s="452"/>
      <c r="N463" s="645"/>
      <c r="O463" s="647"/>
      <c r="P463" s="647"/>
      <c r="Q463" s="647"/>
      <c r="R463" s="452"/>
      <c r="S463" s="452"/>
      <c r="T463" s="452"/>
      <c r="U463" s="452"/>
      <c r="V463" s="647"/>
      <c r="W463" s="647"/>
      <c r="X463" s="647"/>
      <c r="Y463" s="647"/>
      <c r="Z463" s="647"/>
      <c r="AA463" s="647"/>
      <c r="AB463" s="452"/>
      <c r="AC463" s="653"/>
      <c r="AD463" s="646"/>
    </row>
    <row r="464" spans="1:30" hidden="1" x14ac:dyDescent="0.2">
      <c r="A464" s="644"/>
      <c r="B464" s="644"/>
      <c r="C464" s="651"/>
      <c r="D464" s="645"/>
      <c r="E464" s="647"/>
      <c r="F464" s="646"/>
      <c r="G464" s="450"/>
      <c r="H464" s="452"/>
      <c r="I464" s="452"/>
      <c r="J464" s="452"/>
      <c r="K464" s="452"/>
      <c r="N464" s="645"/>
      <c r="O464" s="647"/>
      <c r="P464" s="647"/>
      <c r="Q464" s="647"/>
      <c r="R464" s="452"/>
      <c r="S464" s="452"/>
      <c r="T464" s="452"/>
      <c r="U464" s="452"/>
      <c r="V464" s="647"/>
      <c r="W464" s="647"/>
      <c r="X464" s="647"/>
      <c r="Y464" s="647"/>
      <c r="Z464" s="647"/>
      <c r="AA464" s="647"/>
      <c r="AB464" s="452"/>
      <c r="AC464" s="653"/>
      <c r="AD464" s="646"/>
    </row>
    <row r="465" spans="1:30" hidden="1" x14ac:dyDescent="0.2">
      <c r="A465" s="644"/>
      <c r="B465" s="644"/>
      <c r="C465" s="651"/>
      <c r="D465" s="645"/>
      <c r="E465" s="647"/>
      <c r="F465" s="646"/>
      <c r="G465" s="450"/>
      <c r="H465" s="452"/>
      <c r="I465" s="452"/>
      <c r="J465" s="452"/>
      <c r="K465" s="452"/>
      <c r="N465" s="645"/>
      <c r="O465" s="647"/>
      <c r="P465" s="647"/>
      <c r="Q465" s="647"/>
      <c r="R465" s="452"/>
      <c r="S465" s="452"/>
      <c r="T465" s="452"/>
      <c r="U465" s="452"/>
      <c r="V465" s="647"/>
      <c r="W465" s="647"/>
      <c r="X465" s="647"/>
      <c r="Y465" s="647"/>
      <c r="Z465" s="647"/>
      <c r="AA465" s="647"/>
      <c r="AB465" s="452"/>
      <c r="AC465" s="653"/>
      <c r="AD465" s="646"/>
    </row>
    <row r="466" spans="1:30" hidden="1" x14ac:dyDescent="0.2">
      <c r="A466" s="644"/>
      <c r="B466" s="644"/>
      <c r="C466" s="651"/>
      <c r="D466" s="645"/>
      <c r="E466" s="647"/>
      <c r="F466" s="646"/>
      <c r="G466" s="450"/>
      <c r="H466" s="452"/>
      <c r="I466" s="452"/>
      <c r="J466" s="452"/>
      <c r="K466" s="452"/>
      <c r="N466" s="645"/>
      <c r="O466" s="647"/>
      <c r="P466" s="647"/>
      <c r="Q466" s="647"/>
      <c r="R466" s="452"/>
      <c r="S466" s="452"/>
      <c r="T466" s="452"/>
      <c r="U466" s="452"/>
      <c r="V466" s="647"/>
      <c r="W466" s="647"/>
      <c r="X466" s="647"/>
      <c r="Y466" s="647"/>
      <c r="Z466" s="647"/>
      <c r="AA466" s="647"/>
      <c r="AB466" s="452"/>
      <c r="AC466" s="653"/>
      <c r="AD466" s="646"/>
    </row>
    <row r="467" spans="1:30" hidden="1" x14ac:dyDescent="0.2">
      <c r="A467" s="644"/>
      <c r="B467" s="644"/>
      <c r="C467" s="651"/>
      <c r="D467" s="645"/>
      <c r="E467" s="647"/>
      <c r="F467" s="646"/>
      <c r="G467" s="450"/>
      <c r="H467" s="452"/>
      <c r="I467" s="452"/>
      <c r="J467" s="452"/>
      <c r="K467" s="452"/>
      <c r="N467" s="645"/>
      <c r="O467" s="647"/>
      <c r="P467" s="647"/>
      <c r="Q467" s="647"/>
      <c r="R467" s="452"/>
      <c r="S467" s="452"/>
      <c r="T467" s="452"/>
      <c r="U467" s="452"/>
      <c r="V467" s="647"/>
      <c r="W467" s="647"/>
      <c r="X467" s="647"/>
      <c r="Y467" s="647"/>
      <c r="Z467" s="647"/>
      <c r="AA467" s="647"/>
      <c r="AB467" s="452"/>
      <c r="AC467" s="653"/>
      <c r="AD467" s="646"/>
    </row>
    <row r="468" spans="1:30" hidden="1" x14ac:dyDescent="0.2">
      <c r="A468" s="644"/>
      <c r="B468" s="644"/>
      <c r="C468" s="651"/>
      <c r="D468" s="645"/>
      <c r="E468" s="647"/>
      <c r="F468" s="646"/>
      <c r="G468" s="450"/>
      <c r="H468" s="452"/>
      <c r="I468" s="452"/>
      <c r="J468" s="452"/>
      <c r="K468" s="452"/>
      <c r="N468" s="645"/>
      <c r="O468" s="647"/>
      <c r="P468" s="647"/>
      <c r="Q468" s="647"/>
      <c r="R468" s="452"/>
      <c r="S468" s="452"/>
      <c r="T468" s="452"/>
      <c r="U468" s="452"/>
      <c r="V468" s="647"/>
      <c r="W468" s="647"/>
      <c r="X468" s="647"/>
      <c r="Y468" s="647"/>
      <c r="Z468" s="647"/>
      <c r="AA468" s="647"/>
      <c r="AB468" s="452"/>
      <c r="AC468" s="653"/>
      <c r="AD468" s="646"/>
    </row>
    <row r="469" spans="1:30" hidden="1" x14ac:dyDescent="0.2">
      <c r="A469" s="644"/>
      <c r="B469" s="644"/>
      <c r="C469" s="651"/>
      <c r="D469" s="645"/>
      <c r="E469" s="647"/>
      <c r="F469" s="646"/>
      <c r="G469" s="450"/>
      <c r="H469" s="452"/>
      <c r="I469" s="452"/>
      <c r="J469" s="452"/>
      <c r="K469" s="452"/>
      <c r="N469" s="645"/>
      <c r="O469" s="647"/>
      <c r="P469" s="647"/>
      <c r="Q469" s="647"/>
      <c r="R469" s="452"/>
      <c r="S469" s="452"/>
      <c r="T469" s="452"/>
      <c r="U469" s="452"/>
      <c r="V469" s="647"/>
      <c r="W469" s="647"/>
      <c r="X469" s="647"/>
      <c r="Y469" s="647"/>
      <c r="Z469" s="647"/>
      <c r="AA469" s="647"/>
      <c r="AB469" s="452"/>
      <c r="AC469" s="653"/>
      <c r="AD469" s="646"/>
    </row>
    <row r="470" spans="1:30" hidden="1" x14ac:dyDescent="0.2">
      <c r="A470" s="644"/>
      <c r="B470" s="644"/>
      <c r="C470" s="651"/>
      <c r="D470" s="645"/>
      <c r="E470" s="647"/>
      <c r="F470" s="646"/>
      <c r="G470" s="450"/>
      <c r="H470" s="452"/>
      <c r="I470" s="452"/>
      <c r="J470" s="452"/>
      <c r="K470" s="452"/>
      <c r="N470" s="645"/>
      <c r="O470" s="647"/>
      <c r="P470" s="647"/>
      <c r="Q470" s="647"/>
      <c r="R470" s="452"/>
      <c r="S470" s="452"/>
      <c r="T470" s="452"/>
      <c r="U470" s="452"/>
      <c r="V470" s="647"/>
      <c r="W470" s="647"/>
      <c r="X470" s="647"/>
      <c r="Y470" s="647"/>
      <c r="Z470" s="647"/>
      <c r="AA470" s="647"/>
      <c r="AB470" s="452"/>
      <c r="AC470" s="653"/>
      <c r="AD470" s="646"/>
    </row>
    <row r="471" spans="1:30" hidden="1" x14ac:dyDescent="0.2">
      <c r="A471" s="644"/>
      <c r="B471" s="644"/>
      <c r="C471" s="651"/>
      <c r="D471" s="645"/>
      <c r="E471" s="647"/>
      <c r="F471" s="646"/>
      <c r="G471" s="450"/>
      <c r="H471" s="452"/>
      <c r="I471" s="452"/>
      <c r="J471" s="452"/>
      <c r="K471" s="452"/>
      <c r="N471" s="645"/>
      <c r="O471" s="647"/>
      <c r="P471" s="647"/>
      <c r="Q471" s="647"/>
      <c r="R471" s="452"/>
      <c r="S471" s="452"/>
      <c r="T471" s="452"/>
      <c r="U471" s="452"/>
      <c r="V471" s="647"/>
      <c r="W471" s="647"/>
      <c r="X471" s="647"/>
      <c r="Y471" s="647"/>
      <c r="Z471" s="647"/>
      <c r="AA471" s="647"/>
      <c r="AB471" s="452"/>
      <c r="AC471" s="653"/>
      <c r="AD471" s="646"/>
    </row>
    <row r="472" spans="1:30" hidden="1" x14ac:dyDescent="0.2">
      <c r="A472" s="644"/>
      <c r="B472" s="644"/>
      <c r="C472" s="651"/>
      <c r="D472" s="645"/>
      <c r="E472" s="647"/>
      <c r="F472" s="646"/>
      <c r="G472" s="450"/>
      <c r="H472" s="452"/>
      <c r="I472" s="452"/>
      <c r="J472" s="452"/>
      <c r="K472" s="452"/>
      <c r="N472" s="645"/>
      <c r="O472" s="647"/>
      <c r="P472" s="647"/>
      <c r="Q472" s="647"/>
      <c r="R472" s="452"/>
      <c r="S472" s="452"/>
      <c r="T472" s="452"/>
      <c r="U472" s="452"/>
      <c r="V472" s="647"/>
      <c r="W472" s="647"/>
      <c r="X472" s="647"/>
      <c r="Y472" s="647"/>
      <c r="Z472" s="647"/>
      <c r="AA472" s="647"/>
      <c r="AB472" s="452"/>
      <c r="AC472" s="653"/>
      <c r="AD472" s="646"/>
    </row>
    <row r="473" spans="1:30" hidden="1" x14ac:dyDescent="0.2">
      <c r="A473" s="644"/>
      <c r="B473" s="644"/>
      <c r="C473" s="651"/>
      <c r="D473" s="645"/>
      <c r="E473" s="647"/>
      <c r="F473" s="646"/>
      <c r="G473" s="450"/>
      <c r="H473" s="452"/>
      <c r="I473" s="452"/>
      <c r="J473" s="452"/>
      <c r="K473" s="452"/>
      <c r="N473" s="645"/>
      <c r="O473" s="647"/>
      <c r="P473" s="647"/>
      <c r="Q473" s="647"/>
      <c r="R473" s="452"/>
      <c r="S473" s="452"/>
      <c r="T473" s="452"/>
      <c r="U473" s="452"/>
      <c r="V473" s="647"/>
      <c r="W473" s="647"/>
      <c r="X473" s="647"/>
      <c r="Y473" s="647"/>
      <c r="Z473" s="647"/>
      <c r="AA473" s="647"/>
      <c r="AB473" s="452"/>
      <c r="AC473" s="653"/>
      <c r="AD473" s="646"/>
    </row>
    <row r="474" spans="1:30" hidden="1" x14ac:dyDescent="0.2">
      <c r="A474" s="644"/>
      <c r="B474" s="644"/>
      <c r="C474" s="651"/>
      <c r="D474" s="645"/>
      <c r="E474" s="647"/>
      <c r="F474" s="646"/>
      <c r="G474" s="450"/>
      <c r="H474" s="452"/>
      <c r="I474" s="452"/>
      <c r="J474" s="452"/>
      <c r="K474" s="452"/>
      <c r="N474" s="645"/>
      <c r="O474" s="647"/>
      <c r="P474" s="647"/>
      <c r="Q474" s="647"/>
      <c r="R474" s="452"/>
      <c r="S474" s="452"/>
      <c r="T474" s="452"/>
      <c r="U474" s="452"/>
      <c r="V474" s="647"/>
      <c r="W474" s="647"/>
      <c r="X474" s="647"/>
      <c r="Y474" s="647"/>
      <c r="Z474" s="647"/>
      <c r="AA474" s="647"/>
      <c r="AB474" s="452"/>
      <c r="AC474" s="653"/>
      <c r="AD474" s="646"/>
    </row>
    <row r="475" spans="1:30" hidden="1" x14ac:dyDescent="0.2">
      <c r="A475" s="644"/>
      <c r="B475" s="644"/>
      <c r="C475" s="651"/>
      <c r="D475" s="645"/>
      <c r="E475" s="647"/>
      <c r="F475" s="646"/>
      <c r="G475" s="450"/>
      <c r="H475" s="452"/>
      <c r="I475" s="452"/>
      <c r="J475" s="452"/>
      <c r="K475" s="452"/>
      <c r="N475" s="645"/>
      <c r="O475" s="647"/>
      <c r="P475" s="647"/>
      <c r="Q475" s="647"/>
      <c r="R475" s="452"/>
      <c r="S475" s="452"/>
      <c r="T475" s="452"/>
      <c r="U475" s="452"/>
      <c r="V475" s="647"/>
      <c r="W475" s="647"/>
      <c r="X475" s="647"/>
      <c r="Y475" s="647"/>
      <c r="Z475" s="647"/>
      <c r="AA475" s="647"/>
      <c r="AB475" s="452"/>
      <c r="AC475" s="653"/>
      <c r="AD475" s="646"/>
    </row>
    <row r="476" spans="1:30" hidden="1" x14ac:dyDescent="0.2">
      <c r="A476" s="644"/>
      <c r="B476" s="644"/>
      <c r="C476" s="651"/>
      <c r="D476" s="645"/>
      <c r="E476" s="647"/>
      <c r="F476" s="646"/>
      <c r="G476" s="450"/>
      <c r="H476" s="452"/>
      <c r="I476" s="452"/>
      <c r="J476" s="452"/>
      <c r="K476" s="452"/>
      <c r="N476" s="645"/>
      <c r="O476" s="647"/>
      <c r="P476" s="647"/>
      <c r="Q476" s="647"/>
      <c r="R476" s="452"/>
      <c r="S476" s="452"/>
      <c r="T476" s="452"/>
      <c r="U476" s="452"/>
      <c r="V476" s="647"/>
      <c r="W476" s="647"/>
      <c r="X476" s="647"/>
      <c r="Y476" s="647"/>
      <c r="Z476" s="647"/>
      <c r="AA476" s="647"/>
      <c r="AB476" s="452"/>
      <c r="AC476" s="653"/>
      <c r="AD476" s="646"/>
    </row>
    <row r="477" spans="1:30" hidden="1" x14ac:dyDescent="0.2">
      <c r="A477" s="644"/>
      <c r="B477" s="644"/>
      <c r="C477" s="651"/>
      <c r="D477" s="645"/>
      <c r="E477" s="647"/>
      <c r="F477" s="646"/>
      <c r="G477" s="450"/>
      <c r="H477" s="452"/>
      <c r="I477" s="452"/>
      <c r="J477" s="452"/>
      <c r="K477" s="452"/>
      <c r="N477" s="645"/>
      <c r="O477" s="647"/>
      <c r="P477" s="647"/>
      <c r="Q477" s="647"/>
      <c r="R477" s="452"/>
      <c r="S477" s="452"/>
      <c r="T477" s="452"/>
      <c r="U477" s="452"/>
      <c r="V477" s="647"/>
      <c r="W477" s="647"/>
      <c r="X477" s="647"/>
      <c r="Y477" s="647"/>
      <c r="Z477" s="647"/>
      <c r="AA477" s="647"/>
      <c r="AB477" s="452"/>
      <c r="AC477" s="653"/>
      <c r="AD477" s="646"/>
    </row>
    <row r="478" spans="1:30" hidden="1" x14ac:dyDescent="0.2">
      <c r="A478" s="644"/>
      <c r="B478" s="644"/>
      <c r="C478" s="651"/>
      <c r="D478" s="645"/>
      <c r="E478" s="647"/>
      <c r="F478" s="646"/>
      <c r="G478" s="450"/>
      <c r="H478" s="452"/>
      <c r="I478" s="452"/>
      <c r="J478" s="452"/>
      <c r="K478" s="452"/>
      <c r="N478" s="645"/>
      <c r="O478" s="647"/>
      <c r="P478" s="647"/>
      <c r="Q478" s="647"/>
      <c r="R478" s="452"/>
      <c r="S478" s="452"/>
      <c r="T478" s="452"/>
      <c r="U478" s="452"/>
      <c r="V478" s="647"/>
      <c r="W478" s="647"/>
      <c r="X478" s="647"/>
      <c r="Y478" s="647"/>
      <c r="Z478" s="647"/>
      <c r="AA478" s="647"/>
      <c r="AB478" s="452"/>
      <c r="AC478" s="653"/>
      <c r="AD478" s="646"/>
    </row>
    <row r="479" spans="1:30" hidden="1" x14ac:dyDescent="0.2">
      <c r="A479" s="644"/>
      <c r="B479" s="644"/>
      <c r="C479" s="651"/>
      <c r="D479" s="645"/>
      <c r="E479" s="647"/>
      <c r="F479" s="646"/>
      <c r="G479" s="450"/>
      <c r="H479" s="452"/>
      <c r="I479" s="452"/>
      <c r="J479" s="452"/>
      <c r="K479" s="452"/>
      <c r="N479" s="645"/>
      <c r="O479" s="647"/>
      <c r="P479" s="647"/>
      <c r="Q479" s="647"/>
      <c r="R479" s="452"/>
      <c r="S479" s="452"/>
      <c r="T479" s="452"/>
      <c r="U479" s="452"/>
      <c r="V479" s="647"/>
      <c r="W479" s="647"/>
      <c r="X479" s="647"/>
      <c r="Y479" s="647"/>
      <c r="Z479" s="647"/>
      <c r="AA479" s="647"/>
      <c r="AB479" s="452"/>
      <c r="AC479" s="653"/>
      <c r="AD479" s="646"/>
    </row>
    <row r="480" spans="1:30" hidden="1" x14ac:dyDescent="0.2">
      <c r="A480" s="644"/>
      <c r="B480" s="644"/>
      <c r="C480" s="651"/>
      <c r="D480" s="645"/>
      <c r="E480" s="647"/>
      <c r="F480" s="646"/>
      <c r="G480" s="450"/>
      <c r="H480" s="452"/>
      <c r="I480" s="452"/>
      <c r="J480" s="452"/>
      <c r="K480" s="452"/>
      <c r="N480" s="645"/>
      <c r="O480" s="647"/>
      <c r="P480" s="647"/>
      <c r="Q480" s="647"/>
      <c r="R480" s="452"/>
      <c r="S480" s="452"/>
      <c r="T480" s="452"/>
      <c r="U480" s="452"/>
      <c r="V480" s="647"/>
      <c r="W480" s="647"/>
      <c r="X480" s="647"/>
      <c r="Y480" s="647"/>
      <c r="Z480" s="647"/>
      <c r="AA480" s="647"/>
      <c r="AB480" s="452"/>
      <c r="AC480" s="653"/>
      <c r="AD480" s="646"/>
    </row>
    <row r="481" spans="1:30" hidden="1" x14ac:dyDescent="0.2">
      <c r="A481" s="644"/>
      <c r="B481" s="644"/>
      <c r="C481" s="651"/>
      <c r="D481" s="645"/>
      <c r="E481" s="647"/>
      <c r="F481" s="646"/>
      <c r="G481" s="450"/>
      <c r="H481" s="452"/>
      <c r="I481" s="452"/>
      <c r="J481" s="452"/>
      <c r="K481" s="452"/>
      <c r="N481" s="645"/>
      <c r="O481" s="647"/>
      <c r="P481" s="647"/>
      <c r="Q481" s="647"/>
      <c r="R481" s="452"/>
      <c r="S481" s="452"/>
      <c r="T481" s="452"/>
      <c r="U481" s="452"/>
      <c r="V481" s="647"/>
      <c r="W481" s="647"/>
      <c r="X481" s="647"/>
      <c r="Y481" s="647"/>
      <c r="Z481" s="647"/>
      <c r="AA481" s="647"/>
      <c r="AB481" s="452"/>
      <c r="AC481" s="653"/>
      <c r="AD481" s="646"/>
    </row>
    <row r="482" spans="1:30" hidden="1" x14ac:dyDescent="0.2">
      <c r="A482" s="644"/>
      <c r="B482" s="644"/>
      <c r="C482" s="651"/>
      <c r="D482" s="645"/>
      <c r="E482" s="647"/>
      <c r="F482" s="646"/>
      <c r="G482" s="450"/>
      <c r="H482" s="452"/>
      <c r="I482" s="452"/>
      <c r="J482" s="452"/>
      <c r="K482" s="452"/>
      <c r="N482" s="645"/>
      <c r="O482" s="647"/>
      <c r="P482" s="647"/>
      <c r="Q482" s="647"/>
      <c r="R482" s="452"/>
      <c r="S482" s="452"/>
      <c r="T482" s="452"/>
      <c r="U482" s="452"/>
      <c r="V482" s="647"/>
      <c r="W482" s="647"/>
      <c r="X482" s="647"/>
      <c r="Y482" s="647"/>
      <c r="Z482" s="647"/>
      <c r="AA482" s="647"/>
      <c r="AB482" s="452"/>
      <c r="AC482" s="653"/>
      <c r="AD482" s="646"/>
    </row>
    <row r="483" spans="1:30" hidden="1" x14ac:dyDescent="0.2">
      <c r="A483" s="644"/>
      <c r="B483" s="644"/>
      <c r="C483" s="651"/>
      <c r="D483" s="645"/>
      <c r="E483" s="647"/>
      <c r="F483" s="646"/>
      <c r="G483" s="450"/>
      <c r="H483" s="452"/>
      <c r="I483" s="452"/>
      <c r="J483" s="452"/>
      <c r="K483" s="452"/>
      <c r="N483" s="645"/>
      <c r="O483" s="647"/>
      <c r="P483" s="647"/>
      <c r="Q483" s="647"/>
      <c r="R483" s="452"/>
      <c r="S483" s="452"/>
      <c r="T483" s="452"/>
      <c r="U483" s="452"/>
      <c r="V483" s="647"/>
      <c r="W483" s="647"/>
      <c r="X483" s="647"/>
      <c r="Y483" s="647"/>
      <c r="Z483" s="647"/>
      <c r="AA483" s="647"/>
      <c r="AB483" s="452"/>
      <c r="AC483" s="653"/>
      <c r="AD483" s="646"/>
    </row>
    <row r="484" spans="1:30" hidden="1" x14ac:dyDescent="0.2">
      <c r="A484" s="644"/>
      <c r="B484" s="644"/>
      <c r="C484" s="651"/>
      <c r="D484" s="645"/>
      <c r="E484" s="647"/>
      <c r="F484" s="646"/>
      <c r="G484" s="450"/>
      <c r="H484" s="452"/>
      <c r="I484" s="452"/>
      <c r="J484" s="452"/>
      <c r="K484" s="452"/>
      <c r="N484" s="645"/>
      <c r="O484" s="647"/>
      <c r="P484" s="647"/>
      <c r="Q484" s="647"/>
      <c r="R484" s="452"/>
      <c r="S484" s="452"/>
      <c r="T484" s="452"/>
      <c r="U484" s="452"/>
      <c r="V484" s="647"/>
      <c r="W484" s="647"/>
      <c r="X484" s="647"/>
      <c r="Y484" s="647"/>
      <c r="Z484" s="647"/>
      <c r="AA484" s="647"/>
      <c r="AB484" s="452"/>
      <c r="AC484" s="653"/>
      <c r="AD484" s="646"/>
    </row>
    <row r="485" spans="1:30" hidden="1" x14ac:dyDescent="0.2">
      <c r="A485" s="644"/>
      <c r="B485" s="644"/>
      <c r="C485" s="651"/>
      <c r="D485" s="645"/>
      <c r="E485" s="647"/>
      <c r="F485" s="646"/>
      <c r="G485" s="450"/>
      <c r="H485" s="452"/>
      <c r="I485" s="452"/>
      <c r="J485" s="452"/>
      <c r="K485" s="452"/>
      <c r="N485" s="645"/>
      <c r="O485" s="647"/>
      <c r="P485" s="647"/>
      <c r="Q485" s="647"/>
      <c r="R485" s="452"/>
      <c r="S485" s="452"/>
      <c r="T485" s="452"/>
      <c r="U485" s="452"/>
      <c r="V485" s="647"/>
      <c r="W485" s="647"/>
      <c r="X485" s="647"/>
      <c r="Y485" s="647"/>
      <c r="Z485" s="647"/>
      <c r="AA485" s="647"/>
      <c r="AB485" s="452"/>
      <c r="AC485" s="653"/>
      <c r="AD485" s="646"/>
    </row>
  </sheetData>
  <mergeCells count="2">
    <mergeCell ref="A1:AD1"/>
    <mergeCell ref="A2:AD2"/>
  </mergeCells>
  <phoneticPr fontId="10" type="noConversion"/>
  <printOptions horizontalCentered="1"/>
  <pageMargins left="0.15748031496062992" right="0.19685039370078741" top="0.31496062992125984" bottom="0.51181102362204722" header="0.31496062992125984" footer="0.31496062992125984"/>
  <pageSetup paperSize="8" scale="50" orientation="landscape"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85BE-0E32-47F7-92F2-5B0D7D4909A4}">
  <sheetPr filterMode="1"/>
  <dimension ref="A1:H77"/>
  <sheetViews>
    <sheetView zoomScale="130" zoomScaleNormal="130" workbookViewId="0">
      <pane ySplit="2" topLeftCell="A38" activePane="bottomLeft" state="frozen"/>
      <selection pane="bottomLeft" activeCell="H63" sqref="H63"/>
    </sheetView>
  </sheetViews>
  <sheetFormatPr defaultRowHeight="15" x14ac:dyDescent="0.25"/>
  <cols>
    <col min="1" max="1" width="8.28515625" customWidth="1"/>
    <col min="2" max="3" width="21.85546875" bestFit="1" customWidth="1"/>
    <col min="4" max="4" width="13.7109375" customWidth="1"/>
    <col min="5" max="5" width="21.28515625" bestFit="1" customWidth="1"/>
    <col min="6" max="6" width="43.85546875" customWidth="1"/>
    <col min="7" max="7" width="20.140625" customWidth="1"/>
    <col min="8" max="8" width="15.5703125" customWidth="1"/>
  </cols>
  <sheetData>
    <row r="1" spans="1:8" ht="49.5" customHeight="1" x14ac:dyDescent="0.45">
      <c r="A1" s="124"/>
      <c r="B1" s="9"/>
      <c r="C1" s="691" t="s">
        <v>911</v>
      </c>
      <c r="D1" s="692"/>
      <c r="E1" s="692"/>
      <c r="F1" s="692"/>
      <c r="G1" s="692"/>
    </row>
    <row r="2" spans="1:8" ht="18.75" x14ac:dyDescent="0.3">
      <c r="A2" s="124" t="s">
        <v>24</v>
      </c>
      <c r="B2" s="633" t="s">
        <v>876</v>
      </c>
      <c r="C2" s="420" t="s">
        <v>877</v>
      </c>
      <c r="D2" s="420" t="s">
        <v>878</v>
      </c>
      <c r="E2" s="420" t="s">
        <v>0</v>
      </c>
      <c r="F2" s="420" t="s">
        <v>1707</v>
      </c>
      <c r="G2" s="420" t="s">
        <v>464</v>
      </c>
    </row>
    <row r="3" spans="1:8" hidden="1" x14ac:dyDescent="0.25">
      <c r="A3" s="124" t="s">
        <v>215</v>
      </c>
      <c r="B3" s="634" t="s">
        <v>900</v>
      </c>
      <c r="C3" s="556" t="s">
        <v>1134</v>
      </c>
      <c r="D3" s="556" t="s">
        <v>888</v>
      </c>
      <c r="E3" s="562" t="s">
        <v>310</v>
      </c>
      <c r="F3" s="558"/>
      <c r="G3" s="560"/>
    </row>
    <row r="4" spans="1:8" hidden="1" x14ac:dyDescent="0.25">
      <c r="A4" s="124" t="s">
        <v>215</v>
      </c>
      <c r="B4" s="634" t="s">
        <v>900</v>
      </c>
      <c r="C4" s="556" t="s">
        <v>139</v>
      </c>
      <c r="D4" s="556" t="s">
        <v>888</v>
      </c>
      <c r="E4" s="562" t="s">
        <v>901</v>
      </c>
      <c r="F4" s="558"/>
      <c r="G4" s="560"/>
    </row>
    <row r="5" spans="1:8" hidden="1" x14ac:dyDescent="0.25">
      <c r="A5" s="124" t="s">
        <v>215</v>
      </c>
      <c r="B5" s="634" t="s">
        <v>1725</v>
      </c>
      <c r="C5" s="556" t="s">
        <v>1907</v>
      </c>
      <c r="D5" s="556" t="s">
        <v>61</v>
      </c>
      <c r="E5" s="565" t="s">
        <v>1635</v>
      </c>
      <c r="F5" s="578">
        <v>5</v>
      </c>
      <c r="G5" s="569"/>
    </row>
    <row r="6" spans="1:8" x14ac:dyDescent="0.25">
      <c r="A6" s="124" t="s">
        <v>34</v>
      </c>
      <c r="B6" s="634" t="s">
        <v>1725</v>
      </c>
      <c r="C6" s="556" t="s">
        <v>467</v>
      </c>
      <c r="D6" s="556"/>
      <c r="E6" s="565"/>
      <c r="F6" s="570"/>
      <c r="G6" s="572"/>
    </row>
    <row r="7" spans="1:8" x14ac:dyDescent="0.25">
      <c r="A7" s="124" t="s">
        <v>34</v>
      </c>
      <c r="B7" s="634" t="s">
        <v>1725</v>
      </c>
      <c r="C7" s="556" t="s">
        <v>92</v>
      </c>
      <c r="D7" s="556" t="s">
        <v>888</v>
      </c>
      <c r="E7" s="565" t="s">
        <v>1943</v>
      </c>
      <c r="F7" s="638">
        <v>1</v>
      </c>
      <c r="G7" s="572"/>
    </row>
    <row r="8" spans="1:8" hidden="1" x14ac:dyDescent="0.25">
      <c r="A8" s="124" t="s">
        <v>215</v>
      </c>
      <c r="B8" s="634" t="s">
        <v>1725</v>
      </c>
      <c r="C8" s="556" t="s">
        <v>1646</v>
      </c>
      <c r="D8" s="556" t="s">
        <v>91</v>
      </c>
      <c r="E8" s="565" t="s">
        <v>1647</v>
      </c>
      <c r="F8" s="578">
        <v>3</v>
      </c>
      <c r="G8" s="572"/>
    </row>
    <row r="9" spans="1:8" x14ac:dyDescent="0.25">
      <c r="A9" s="124" t="s">
        <v>34</v>
      </c>
      <c r="B9" s="634" t="s">
        <v>1725</v>
      </c>
      <c r="C9" s="556" t="s">
        <v>1331</v>
      </c>
      <c r="D9" s="556"/>
      <c r="E9" s="565"/>
      <c r="F9" s="574"/>
      <c r="G9" s="572"/>
    </row>
    <row r="10" spans="1:8" hidden="1" x14ac:dyDescent="0.25">
      <c r="A10" s="124" t="s">
        <v>215</v>
      </c>
      <c r="B10" s="634" t="s">
        <v>1725</v>
      </c>
      <c r="C10" s="564" t="s">
        <v>504</v>
      </c>
      <c r="D10" s="556" t="s">
        <v>61</v>
      </c>
      <c r="E10" s="577" t="s">
        <v>1787</v>
      </c>
      <c r="F10" s="578">
        <v>2</v>
      </c>
      <c r="G10" s="569"/>
    </row>
    <row r="11" spans="1:8" x14ac:dyDescent="0.25">
      <c r="A11" s="124" t="s">
        <v>34</v>
      </c>
      <c r="B11" s="635" t="s">
        <v>1282</v>
      </c>
      <c r="C11" s="564" t="s">
        <v>1055</v>
      </c>
      <c r="D11" s="556" t="s">
        <v>61</v>
      </c>
      <c r="E11" s="565" t="s">
        <v>1638</v>
      </c>
      <c r="F11" s="574"/>
      <c r="G11" s="572"/>
    </row>
    <row r="12" spans="1:8" x14ac:dyDescent="0.25">
      <c r="A12" s="124" t="s">
        <v>34</v>
      </c>
      <c r="B12" s="635" t="s">
        <v>1283</v>
      </c>
      <c r="C12" s="564" t="s">
        <v>306</v>
      </c>
      <c r="D12" s="556" t="s">
        <v>109</v>
      </c>
      <c r="E12" s="565" t="s">
        <v>1828</v>
      </c>
      <c r="F12" s="638">
        <v>1</v>
      </c>
      <c r="G12" s="572" t="s">
        <v>1913</v>
      </c>
    </row>
    <row r="13" spans="1:8" hidden="1" x14ac:dyDescent="0.25">
      <c r="A13" s="124" t="s">
        <v>215</v>
      </c>
      <c r="B13" s="635" t="s">
        <v>1283</v>
      </c>
      <c r="C13" s="564" t="s">
        <v>1259</v>
      </c>
      <c r="D13" s="556" t="s">
        <v>61</v>
      </c>
      <c r="E13" s="577" t="s">
        <v>1261</v>
      </c>
      <c r="F13" s="638">
        <v>1</v>
      </c>
      <c r="G13" s="572" t="s">
        <v>1859</v>
      </c>
      <c r="H13" s="639" t="s">
        <v>1855</v>
      </c>
    </row>
    <row r="14" spans="1:8" x14ac:dyDescent="0.25">
      <c r="A14" s="124" t="s">
        <v>34</v>
      </c>
      <c r="B14" s="635" t="s">
        <v>1283</v>
      </c>
      <c r="C14" s="564" t="s">
        <v>1291</v>
      </c>
      <c r="D14" s="556" t="s">
        <v>61</v>
      </c>
      <c r="E14" s="565" t="s">
        <v>1944</v>
      </c>
      <c r="F14" s="638">
        <v>1</v>
      </c>
      <c r="G14" s="572"/>
    </row>
    <row r="15" spans="1:8" x14ac:dyDescent="0.25">
      <c r="A15" s="124" t="s">
        <v>34</v>
      </c>
      <c r="B15" s="635" t="s">
        <v>1283</v>
      </c>
      <c r="C15" s="564" t="s">
        <v>1911</v>
      </c>
      <c r="D15" s="564"/>
      <c r="E15" s="577"/>
      <c r="F15" s="573"/>
      <c r="G15" s="572"/>
    </row>
    <row r="16" spans="1:8" x14ac:dyDescent="0.25">
      <c r="A16" s="124" t="s">
        <v>34</v>
      </c>
      <c r="B16" s="635" t="s">
        <v>1152</v>
      </c>
      <c r="C16" s="564" t="s">
        <v>1910</v>
      </c>
      <c r="D16" s="564"/>
      <c r="E16" s="577"/>
      <c r="F16" s="578"/>
      <c r="G16" s="572"/>
    </row>
    <row r="17" spans="1:8" hidden="1" x14ac:dyDescent="0.25">
      <c r="A17" s="124" t="s">
        <v>215</v>
      </c>
      <c r="B17" s="635" t="s">
        <v>1236</v>
      </c>
      <c r="C17" s="564" t="s">
        <v>1242</v>
      </c>
      <c r="D17" s="564"/>
      <c r="E17" s="565"/>
      <c r="F17" s="578"/>
      <c r="G17" s="572"/>
    </row>
    <row r="18" spans="1:8" x14ac:dyDescent="0.25">
      <c r="A18" s="124" t="s">
        <v>34</v>
      </c>
      <c r="B18" s="635" t="s">
        <v>1236</v>
      </c>
      <c r="C18" s="564" t="s">
        <v>211</v>
      </c>
      <c r="D18" s="564" t="s">
        <v>109</v>
      </c>
      <c r="E18" s="577" t="s">
        <v>1790</v>
      </c>
      <c r="F18" s="578">
        <v>1</v>
      </c>
      <c r="G18" s="572"/>
    </row>
    <row r="19" spans="1:8" hidden="1" x14ac:dyDescent="0.25">
      <c r="A19" s="124" t="s">
        <v>215</v>
      </c>
      <c r="B19" s="635" t="s">
        <v>1236</v>
      </c>
      <c r="C19" s="564" t="s">
        <v>1762</v>
      </c>
      <c r="D19" s="564" t="s">
        <v>16</v>
      </c>
      <c r="E19" s="565" t="s">
        <v>1241</v>
      </c>
      <c r="F19" s="578">
        <v>5</v>
      </c>
      <c r="G19" s="572"/>
    </row>
    <row r="20" spans="1:8" hidden="1" x14ac:dyDescent="0.25">
      <c r="A20" s="124" t="s">
        <v>215</v>
      </c>
      <c r="B20" s="635" t="s">
        <v>1236</v>
      </c>
      <c r="C20" s="564" t="s">
        <v>1762</v>
      </c>
      <c r="D20" s="564" t="s">
        <v>61</v>
      </c>
      <c r="E20" s="565" t="s">
        <v>1777</v>
      </c>
      <c r="F20" s="578">
        <v>3</v>
      </c>
      <c r="G20" s="572" t="s">
        <v>1825</v>
      </c>
    </row>
    <row r="21" spans="1:8" hidden="1" x14ac:dyDescent="0.25">
      <c r="A21" s="124" t="s">
        <v>215</v>
      </c>
      <c r="B21" s="635" t="s">
        <v>1509</v>
      </c>
      <c r="C21" s="564" t="s">
        <v>1377</v>
      </c>
      <c r="D21" s="564"/>
      <c r="E21" s="577"/>
      <c r="F21" s="578"/>
      <c r="G21" s="556"/>
    </row>
    <row r="22" spans="1:8" hidden="1" x14ac:dyDescent="0.25">
      <c r="A22" s="124" t="s">
        <v>215</v>
      </c>
      <c r="B22" s="635" t="s">
        <v>1509</v>
      </c>
      <c r="C22" s="564" t="s">
        <v>231</v>
      </c>
      <c r="D22" s="564"/>
      <c r="E22" s="577"/>
      <c r="F22" s="578"/>
      <c r="G22" s="556"/>
    </row>
    <row r="23" spans="1:8" hidden="1" x14ac:dyDescent="0.25">
      <c r="A23" s="124" t="s">
        <v>215</v>
      </c>
      <c r="B23" s="635" t="s">
        <v>1509</v>
      </c>
      <c r="C23" s="564" t="s">
        <v>1521</v>
      </c>
      <c r="D23" s="564"/>
      <c r="E23" s="577"/>
      <c r="F23" s="578"/>
      <c r="G23" s="556"/>
    </row>
    <row r="24" spans="1:8" hidden="1" x14ac:dyDescent="0.25">
      <c r="A24" s="124" t="s">
        <v>215</v>
      </c>
      <c r="B24" s="635" t="s">
        <v>1510</v>
      </c>
      <c r="C24" s="564" t="s">
        <v>1523</v>
      </c>
      <c r="D24" s="564" t="s">
        <v>61</v>
      </c>
      <c r="E24" s="577" t="s">
        <v>1565</v>
      </c>
      <c r="F24" s="578">
        <v>1</v>
      </c>
      <c r="G24" s="556" t="s">
        <v>1866</v>
      </c>
      <c r="H24" s="639" t="s">
        <v>1855</v>
      </c>
    </row>
    <row r="25" spans="1:8" x14ac:dyDescent="0.25">
      <c r="A25" s="124" t="s">
        <v>34</v>
      </c>
      <c r="B25" s="635" t="s">
        <v>1510</v>
      </c>
      <c r="C25" s="564" t="s">
        <v>1523</v>
      </c>
      <c r="D25" s="564" t="s">
        <v>194</v>
      </c>
      <c r="E25" s="577" t="s">
        <v>1857</v>
      </c>
      <c r="F25" s="578">
        <v>2</v>
      </c>
      <c r="G25" s="556" t="s">
        <v>1913</v>
      </c>
      <c r="H25" s="639"/>
    </row>
    <row r="26" spans="1:8" x14ac:dyDescent="0.25">
      <c r="A26" s="124" t="s">
        <v>34</v>
      </c>
      <c r="B26" s="635" t="s">
        <v>1510</v>
      </c>
      <c r="C26" s="564" t="s">
        <v>1524</v>
      </c>
      <c r="D26" s="564"/>
      <c r="E26" s="577"/>
      <c r="F26" s="578"/>
      <c r="G26" s="556"/>
    </row>
    <row r="27" spans="1:8" hidden="1" x14ac:dyDescent="0.25">
      <c r="A27" s="124" t="s">
        <v>215</v>
      </c>
      <c r="B27" s="635" t="s">
        <v>1510</v>
      </c>
      <c r="C27" s="564" t="s">
        <v>1430</v>
      </c>
      <c r="D27" s="564"/>
      <c r="E27" s="577"/>
      <c r="F27" s="578"/>
      <c r="G27" s="556"/>
    </row>
    <row r="28" spans="1:8" hidden="1" x14ac:dyDescent="0.25">
      <c r="A28" s="124" t="s">
        <v>215</v>
      </c>
      <c r="B28" s="635" t="s">
        <v>1510</v>
      </c>
      <c r="C28" s="564" t="s">
        <v>1704</v>
      </c>
      <c r="D28" s="564" t="s">
        <v>61</v>
      </c>
      <c r="E28" s="577" t="s">
        <v>1795</v>
      </c>
      <c r="F28" s="578">
        <v>3</v>
      </c>
      <c r="G28" s="556" t="s">
        <v>1913</v>
      </c>
    </row>
    <row r="29" spans="1:8" hidden="1" x14ac:dyDescent="0.25">
      <c r="A29" s="124" t="s">
        <v>215</v>
      </c>
      <c r="B29" s="635" t="s">
        <v>1510</v>
      </c>
      <c r="C29" s="564" t="s">
        <v>1667</v>
      </c>
      <c r="D29" s="564"/>
      <c r="E29" s="577"/>
      <c r="F29" s="578"/>
      <c r="G29" s="556"/>
    </row>
    <row r="30" spans="1:8" x14ac:dyDescent="0.25">
      <c r="A30" s="124" t="s">
        <v>34</v>
      </c>
      <c r="B30" s="635" t="s">
        <v>1510</v>
      </c>
      <c r="C30" s="564" t="s">
        <v>398</v>
      </c>
      <c r="D30" s="564" t="s">
        <v>61</v>
      </c>
      <c r="E30" s="577" t="s">
        <v>1858</v>
      </c>
      <c r="F30" s="578">
        <v>2</v>
      </c>
      <c r="G30" s="556"/>
    </row>
    <row r="31" spans="1:8" x14ac:dyDescent="0.25">
      <c r="A31" s="124" t="s">
        <v>34</v>
      </c>
      <c r="B31" s="635" t="s">
        <v>1510</v>
      </c>
      <c r="C31" s="564" t="s">
        <v>1611</v>
      </c>
      <c r="D31" s="564" t="s">
        <v>61</v>
      </c>
      <c r="E31" s="577" t="s">
        <v>1796</v>
      </c>
      <c r="F31" s="578">
        <v>2</v>
      </c>
      <c r="G31" s="584" t="s">
        <v>1860</v>
      </c>
      <c r="H31" s="639" t="s">
        <v>1855</v>
      </c>
    </row>
    <row r="32" spans="1:8" hidden="1" x14ac:dyDescent="0.25">
      <c r="A32" s="124" t="s">
        <v>215</v>
      </c>
      <c r="B32" s="635" t="s">
        <v>1510</v>
      </c>
      <c r="C32" s="564" t="s">
        <v>1641</v>
      </c>
      <c r="D32" s="564" t="s">
        <v>61</v>
      </c>
      <c r="E32" s="577" t="s">
        <v>1726</v>
      </c>
      <c r="F32" s="578">
        <v>1</v>
      </c>
      <c r="G32" s="556"/>
    </row>
    <row r="33" spans="1:8" hidden="1" x14ac:dyDescent="0.25">
      <c r="A33" s="124" t="s">
        <v>215</v>
      </c>
      <c r="B33" s="635" t="s">
        <v>1510</v>
      </c>
      <c r="C33" s="564" t="s">
        <v>1727</v>
      </c>
      <c r="D33" s="564" t="s">
        <v>61</v>
      </c>
      <c r="E33" s="577" t="s">
        <v>1640</v>
      </c>
      <c r="F33" s="578">
        <v>1</v>
      </c>
      <c r="G33" s="556"/>
      <c r="H33" s="639" t="s">
        <v>1855</v>
      </c>
    </row>
    <row r="34" spans="1:8" x14ac:dyDescent="0.25">
      <c r="A34" s="124" t="s">
        <v>34</v>
      </c>
      <c r="B34" s="635" t="s">
        <v>1510</v>
      </c>
      <c r="C34" s="564" t="s">
        <v>1727</v>
      </c>
      <c r="D34" s="564" t="s">
        <v>194</v>
      </c>
      <c r="E34" s="577" t="s">
        <v>1906</v>
      </c>
      <c r="F34" s="578">
        <v>1</v>
      </c>
      <c r="G34" s="556" t="s">
        <v>1913</v>
      </c>
    </row>
    <row r="35" spans="1:8" x14ac:dyDescent="0.25">
      <c r="A35" s="124" t="s">
        <v>34</v>
      </c>
      <c r="B35" s="636" t="s">
        <v>1510</v>
      </c>
      <c r="C35" s="580" t="s">
        <v>1666</v>
      </c>
      <c r="D35" s="580"/>
      <c r="E35" s="581"/>
      <c r="F35" s="582"/>
      <c r="G35" s="584"/>
    </row>
    <row r="36" spans="1:8" hidden="1" x14ac:dyDescent="0.25">
      <c r="A36" s="124" t="s">
        <v>215</v>
      </c>
      <c r="B36" s="636" t="s">
        <v>1510</v>
      </c>
      <c r="C36" s="637" t="s">
        <v>1675</v>
      </c>
      <c r="D36" s="580" t="s">
        <v>109</v>
      </c>
      <c r="E36" s="581" t="s">
        <v>1864</v>
      </c>
      <c r="F36" s="582">
        <v>1</v>
      </c>
      <c r="G36" s="584" t="s">
        <v>1865</v>
      </c>
      <c r="H36" s="639" t="s">
        <v>1855</v>
      </c>
    </row>
    <row r="37" spans="1:8" hidden="1" x14ac:dyDescent="0.25">
      <c r="A37" s="124" t="s">
        <v>215</v>
      </c>
      <c r="B37" s="636" t="s">
        <v>1826</v>
      </c>
      <c r="C37" s="637" t="s">
        <v>1778</v>
      </c>
      <c r="D37" s="580" t="s">
        <v>61</v>
      </c>
      <c r="E37" s="581" t="s">
        <v>1779</v>
      </c>
      <c r="F37" s="582">
        <v>1</v>
      </c>
      <c r="G37" s="584"/>
    </row>
    <row r="38" spans="1:8" x14ac:dyDescent="0.25">
      <c r="A38" s="124" t="s">
        <v>34</v>
      </c>
      <c r="B38" s="636" t="s">
        <v>1510</v>
      </c>
      <c r="C38" s="637" t="s">
        <v>1957</v>
      </c>
      <c r="D38" s="580" t="s">
        <v>16</v>
      </c>
      <c r="E38" s="581" t="s">
        <v>1956</v>
      </c>
      <c r="F38" s="582">
        <v>1</v>
      </c>
      <c r="G38" s="584" t="s">
        <v>1860</v>
      </c>
    </row>
    <row r="39" spans="1:8" x14ac:dyDescent="0.25">
      <c r="A39" s="124" t="s">
        <v>34</v>
      </c>
      <c r="B39" s="636" t="s">
        <v>1826</v>
      </c>
      <c r="C39" s="637" t="s">
        <v>1805</v>
      </c>
      <c r="D39" s="580" t="s">
        <v>194</v>
      </c>
      <c r="E39" s="581" t="s">
        <v>1862</v>
      </c>
      <c r="F39" s="582">
        <v>3</v>
      </c>
      <c r="G39" s="584" t="s">
        <v>1860</v>
      </c>
      <c r="H39" s="639" t="s">
        <v>1855</v>
      </c>
    </row>
    <row r="40" spans="1:8" x14ac:dyDescent="0.25">
      <c r="A40" s="124" t="s">
        <v>34</v>
      </c>
      <c r="B40" s="636" t="s">
        <v>1826</v>
      </c>
      <c r="C40" s="637" t="s">
        <v>1377</v>
      </c>
      <c r="D40" s="580" t="s">
        <v>109</v>
      </c>
      <c r="E40" s="581" t="s">
        <v>1768</v>
      </c>
      <c r="F40" s="582">
        <v>7</v>
      </c>
      <c r="G40" s="584" t="s">
        <v>1863</v>
      </c>
      <c r="H40" s="639" t="s">
        <v>1855</v>
      </c>
    </row>
    <row r="41" spans="1:8" x14ac:dyDescent="0.25">
      <c r="A41" s="124" t="s">
        <v>34</v>
      </c>
      <c r="B41" s="636" t="s">
        <v>1826</v>
      </c>
      <c r="C41" s="637" t="s">
        <v>1823</v>
      </c>
      <c r="D41" s="580" t="s">
        <v>61</v>
      </c>
      <c r="E41" s="581" t="s">
        <v>1824</v>
      </c>
      <c r="F41" s="582">
        <v>2</v>
      </c>
      <c r="G41" s="584"/>
      <c r="H41" s="639" t="s">
        <v>1855</v>
      </c>
    </row>
    <row r="42" spans="1:8" hidden="1" x14ac:dyDescent="0.25">
      <c r="A42" s="124" t="s">
        <v>215</v>
      </c>
      <c r="B42" s="636" t="s">
        <v>1826</v>
      </c>
      <c r="C42" s="637" t="s">
        <v>1447</v>
      </c>
      <c r="D42" s="580" t="s">
        <v>61</v>
      </c>
      <c r="E42" s="581" t="s">
        <v>1816</v>
      </c>
      <c r="F42" s="582">
        <v>2</v>
      </c>
      <c r="G42" s="584" t="s">
        <v>1892</v>
      </c>
      <c r="H42" s="639"/>
    </row>
    <row r="43" spans="1:8" hidden="1" x14ac:dyDescent="0.25">
      <c r="A43" s="124" t="s">
        <v>215</v>
      </c>
      <c r="B43" s="636" t="s">
        <v>1844</v>
      </c>
      <c r="C43" s="637" t="s">
        <v>1809</v>
      </c>
      <c r="D43" s="580" t="s">
        <v>61</v>
      </c>
      <c r="E43" s="581" t="s">
        <v>1810</v>
      </c>
      <c r="F43" s="582">
        <v>3</v>
      </c>
      <c r="G43" s="584"/>
      <c r="H43" s="639" t="s">
        <v>1855</v>
      </c>
    </row>
    <row r="44" spans="1:8" hidden="1" x14ac:dyDescent="0.25">
      <c r="A44" s="124" t="s">
        <v>215</v>
      </c>
      <c r="B44" s="636" t="s">
        <v>1844</v>
      </c>
      <c r="C44" s="637" t="s">
        <v>1772</v>
      </c>
      <c r="D44" s="580" t="s">
        <v>61</v>
      </c>
      <c r="E44" s="581" t="s">
        <v>1773</v>
      </c>
      <c r="F44" s="582">
        <v>3</v>
      </c>
      <c r="G44" s="584"/>
      <c r="H44" s="639" t="s">
        <v>1855</v>
      </c>
    </row>
    <row r="45" spans="1:8" x14ac:dyDescent="0.25">
      <c r="A45" s="124" t="s">
        <v>34</v>
      </c>
      <c r="B45" s="636" t="s">
        <v>1826</v>
      </c>
      <c r="C45" s="637" t="s">
        <v>1447</v>
      </c>
      <c r="D45" s="580" t="s">
        <v>109</v>
      </c>
      <c r="E45" s="581" t="s">
        <v>1942</v>
      </c>
      <c r="F45" s="582"/>
      <c r="G45" s="584"/>
      <c r="H45" s="639"/>
    </row>
    <row r="46" spans="1:8" x14ac:dyDescent="0.25">
      <c r="A46" s="124" t="s">
        <v>34</v>
      </c>
      <c r="B46" s="636" t="s">
        <v>1826</v>
      </c>
      <c r="C46" s="637" t="s">
        <v>1929</v>
      </c>
      <c r="D46" s="580" t="s">
        <v>16</v>
      </c>
      <c r="E46" s="581" t="s">
        <v>1930</v>
      </c>
      <c r="F46" s="582">
        <v>2</v>
      </c>
      <c r="G46" s="584" t="s">
        <v>1892</v>
      </c>
      <c r="H46" s="639"/>
    </row>
    <row r="47" spans="1:8" x14ac:dyDescent="0.25">
      <c r="A47" s="124" t="s">
        <v>34</v>
      </c>
      <c r="B47" s="636" t="s">
        <v>1844</v>
      </c>
      <c r="C47" s="637" t="s">
        <v>1809</v>
      </c>
      <c r="D47" s="580" t="s">
        <v>109</v>
      </c>
      <c r="E47" s="581" t="s">
        <v>1912</v>
      </c>
      <c r="F47" s="582">
        <v>2</v>
      </c>
      <c r="G47" s="584" t="s">
        <v>1863</v>
      </c>
      <c r="H47" s="639"/>
    </row>
    <row r="48" spans="1:8" x14ac:dyDescent="0.25">
      <c r="A48" s="124" t="s">
        <v>34</v>
      </c>
      <c r="B48" s="636" t="s">
        <v>1844</v>
      </c>
      <c r="C48" s="637" t="s">
        <v>1849</v>
      </c>
      <c r="D48" s="580" t="s">
        <v>61</v>
      </c>
      <c r="E48" s="581" t="s">
        <v>1850</v>
      </c>
      <c r="F48" s="582">
        <v>2</v>
      </c>
      <c r="G48" s="584"/>
      <c r="H48" s="639" t="s">
        <v>1855</v>
      </c>
    </row>
    <row r="49" spans="1:8" x14ac:dyDescent="0.25">
      <c r="A49" s="124" t="s">
        <v>34</v>
      </c>
      <c r="B49" s="636" t="s">
        <v>1844</v>
      </c>
      <c r="C49" s="637" t="s">
        <v>1819</v>
      </c>
      <c r="D49" s="580" t="s">
        <v>109</v>
      </c>
      <c r="E49" s="581" t="s">
        <v>1861</v>
      </c>
      <c r="F49" s="582">
        <v>2</v>
      </c>
      <c r="G49" s="584" t="s">
        <v>1860</v>
      </c>
      <c r="H49" s="639" t="s">
        <v>1855</v>
      </c>
    </row>
    <row r="50" spans="1:8" x14ac:dyDescent="0.25">
      <c r="A50" s="124" t="s">
        <v>34</v>
      </c>
      <c r="B50" s="636" t="s">
        <v>1844</v>
      </c>
      <c r="C50" s="637" t="s">
        <v>1520</v>
      </c>
      <c r="D50" s="580" t="s">
        <v>194</v>
      </c>
      <c r="E50" s="581" t="s">
        <v>1873</v>
      </c>
      <c r="F50" s="582">
        <v>4</v>
      </c>
      <c r="G50" s="584"/>
      <c r="H50" s="639"/>
    </row>
    <row r="51" spans="1:8" x14ac:dyDescent="0.25">
      <c r="A51" s="124" t="s">
        <v>34</v>
      </c>
      <c r="B51" s="636" t="s">
        <v>1844</v>
      </c>
      <c r="C51" s="637" t="s">
        <v>1938</v>
      </c>
      <c r="D51" s="580" t="s">
        <v>109</v>
      </c>
      <c r="E51" s="581" t="s">
        <v>1940</v>
      </c>
      <c r="F51" s="582">
        <v>1</v>
      </c>
      <c r="G51" s="584"/>
      <c r="H51" s="639"/>
    </row>
    <row r="52" spans="1:8" x14ac:dyDescent="0.25">
      <c r="A52" s="124" t="s">
        <v>34</v>
      </c>
      <c r="B52" s="635" t="s">
        <v>1657</v>
      </c>
      <c r="C52" s="564" t="s">
        <v>300</v>
      </c>
      <c r="D52" s="580" t="s">
        <v>33</v>
      </c>
      <c r="E52" s="581" t="s">
        <v>1728</v>
      </c>
      <c r="F52" s="582">
        <v>4</v>
      </c>
      <c r="G52" s="584"/>
      <c r="H52" s="639" t="s">
        <v>1869</v>
      </c>
    </row>
    <row r="53" spans="1:8" hidden="1" x14ac:dyDescent="0.25">
      <c r="A53" s="124" t="s">
        <v>215</v>
      </c>
      <c r="B53" s="635" t="s">
        <v>1657</v>
      </c>
      <c r="C53" s="580" t="s">
        <v>1676</v>
      </c>
      <c r="D53" s="580" t="s">
        <v>5</v>
      </c>
      <c r="E53" s="581" t="s">
        <v>1729</v>
      </c>
      <c r="F53" s="582"/>
      <c r="G53" s="584"/>
    </row>
    <row r="54" spans="1:8" hidden="1" x14ac:dyDescent="0.25">
      <c r="A54" s="124" t="s">
        <v>215</v>
      </c>
      <c r="B54" s="635" t="s">
        <v>1657</v>
      </c>
      <c r="C54" s="580" t="s">
        <v>1289</v>
      </c>
      <c r="D54" s="580" t="s">
        <v>888</v>
      </c>
      <c r="E54" s="581" t="s">
        <v>1730</v>
      </c>
      <c r="F54" s="582">
        <v>6</v>
      </c>
      <c r="G54" s="584" t="s">
        <v>1871</v>
      </c>
      <c r="H54" s="639" t="s">
        <v>1869</v>
      </c>
    </row>
    <row r="55" spans="1:8" hidden="1" x14ac:dyDescent="0.25">
      <c r="A55" s="124" t="s">
        <v>215</v>
      </c>
      <c r="B55" s="635" t="s">
        <v>1657</v>
      </c>
      <c r="C55" s="580" t="s">
        <v>1891</v>
      </c>
      <c r="D55" s="580" t="s">
        <v>697</v>
      </c>
      <c r="E55" s="581" t="s">
        <v>1731</v>
      </c>
      <c r="F55" s="582">
        <v>1</v>
      </c>
      <c r="G55" s="584" t="s">
        <v>1918</v>
      </c>
    </row>
    <row r="56" spans="1:8" hidden="1" x14ac:dyDescent="0.25">
      <c r="A56" s="124" t="s">
        <v>215</v>
      </c>
      <c r="B56" s="635" t="s">
        <v>1657</v>
      </c>
      <c r="C56" s="580" t="s">
        <v>390</v>
      </c>
      <c r="D56" s="580" t="s">
        <v>5</v>
      </c>
      <c r="E56" s="581" t="s">
        <v>1659</v>
      </c>
      <c r="F56" s="582">
        <v>10</v>
      </c>
      <c r="G56" s="584" t="s">
        <v>1868</v>
      </c>
      <c r="H56" s="639" t="s">
        <v>1855</v>
      </c>
    </row>
    <row r="57" spans="1:8" x14ac:dyDescent="0.25">
      <c r="A57" s="124" t="s">
        <v>34</v>
      </c>
      <c r="B57" s="635" t="s">
        <v>1657</v>
      </c>
      <c r="C57" s="580" t="s">
        <v>1170</v>
      </c>
      <c r="D57" s="580" t="s">
        <v>7</v>
      </c>
      <c r="E57" s="581" t="s">
        <v>1745</v>
      </c>
      <c r="F57" s="582">
        <v>2</v>
      </c>
      <c r="G57" s="584" t="s">
        <v>1825</v>
      </c>
    </row>
    <row r="58" spans="1:8" x14ac:dyDescent="0.25">
      <c r="A58" s="124" t="s">
        <v>34</v>
      </c>
      <c r="B58" s="636" t="s">
        <v>1657</v>
      </c>
      <c r="C58" s="564" t="s">
        <v>300</v>
      </c>
      <c r="D58" s="580" t="s">
        <v>888</v>
      </c>
      <c r="E58" s="581" t="s">
        <v>1827</v>
      </c>
      <c r="F58" s="582">
        <v>4</v>
      </c>
      <c r="G58" s="584" t="s">
        <v>1870</v>
      </c>
      <c r="H58" s="639" t="s">
        <v>1855</v>
      </c>
    </row>
    <row r="59" spans="1:8" hidden="1" x14ac:dyDescent="0.25">
      <c r="A59" s="124" t="s">
        <v>215</v>
      </c>
      <c r="B59" s="636" t="s">
        <v>1657</v>
      </c>
      <c r="C59" s="580" t="s">
        <v>1765</v>
      </c>
      <c r="D59" s="580" t="s">
        <v>5</v>
      </c>
      <c r="E59" s="581" t="s">
        <v>1784</v>
      </c>
      <c r="F59" s="582">
        <v>1</v>
      </c>
      <c r="G59" s="584" t="s">
        <v>1867</v>
      </c>
      <c r="H59" s="639" t="s">
        <v>1855</v>
      </c>
    </row>
    <row r="60" spans="1:8" x14ac:dyDescent="0.25">
      <c r="A60" s="124" t="s">
        <v>34</v>
      </c>
      <c r="B60" s="636" t="s">
        <v>1657</v>
      </c>
      <c r="C60" s="580" t="s">
        <v>1763</v>
      </c>
      <c r="D60" s="580" t="s">
        <v>888</v>
      </c>
      <c r="E60" s="581" t="s">
        <v>1874</v>
      </c>
      <c r="F60" s="582">
        <v>1</v>
      </c>
      <c r="G60" s="584"/>
    </row>
    <row r="61" spans="1:8" x14ac:dyDescent="0.25">
      <c r="A61" s="124" t="s">
        <v>34</v>
      </c>
      <c r="B61" s="636" t="s">
        <v>1657</v>
      </c>
      <c r="C61" s="580" t="s">
        <v>1915</v>
      </c>
      <c r="D61" s="580" t="s">
        <v>697</v>
      </c>
      <c r="E61" s="581" t="s">
        <v>1914</v>
      </c>
      <c r="F61" s="582">
        <v>1</v>
      </c>
      <c r="G61" s="584"/>
    </row>
    <row r="62" spans="1:8" x14ac:dyDescent="0.25">
      <c r="A62" s="124" t="s">
        <v>34</v>
      </c>
      <c r="B62" s="636"/>
      <c r="C62" s="580"/>
      <c r="D62" s="580"/>
      <c r="E62" s="581"/>
      <c r="F62" s="582"/>
      <c r="G62" s="584"/>
    </row>
    <row r="63" spans="1:8" x14ac:dyDescent="0.25">
      <c r="A63" s="124" t="s">
        <v>34</v>
      </c>
      <c r="B63" s="636"/>
      <c r="C63" s="580"/>
      <c r="D63" s="580"/>
      <c r="E63" s="581"/>
      <c r="F63" s="582"/>
      <c r="G63" s="584"/>
    </row>
    <row r="64" spans="1:8" x14ac:dyDescent="0.25">
      <c r="A64" s="124" t="s">
        <v>34</v>
      </c>
      <c r="B64" s="636"/>
      <c r="C64" s="580"/>
      <c r="D64" s="580"/>
      <c r="E64" s="581"/>
      <c r="F64" s="582"/>
      <c r="G64" s="584"/>
    </row>
    <row r="65" spans="1:7" x14ac:dyDescent="0.25">
      <c r="A65" s="124" t="s">
        <v>34</v>
      </c>
      <c r="B65" s="636"/>
      <c r="C65" s="580"/>
      <c r="D65" s="580"/>
      <c r="E65" s="581"/>
      <c r="F65" s="582"/>
      <c r="G65" s="584"/>
    </row>
    <row r="66" spans="1:7" x14ac:dyDescent="0.25">
      <c r="A66" s="124" t="s">
        <v>34</v>
      </c>
      <c r="B66" s="636"/>
      <c r="C66" s="580"/>
      <c r="D66" s="580"/>
      <c r="E66" s="581"/>
      <c r="F66" s="582"/>
      <c r="G66" s="584"/>
    </row>
    <row r="67" spans="1:7" x14ac:dyDescent="0.25">
      <c r="A67" s="124" t="s">
        <v>34</v>
      </c>
      <c r="B67" s="636"/>
      <c r="C67" s="580"/>
      <c r="D67" s="580"/>
      <c r="E67" s="581"/>
      <c r="F67" s="582"/>
      <c r="G67" s="584"/>
    </row>
    <row r="68" spans="1:7" x14ac:dyDescent="0.25">
      <c r="A68" s="124" t="s">
        <v>34</v>
      </c>
      <c r="B68" s="636"/>
      <c r="C68" s="580"/>
      <c r="D68" s="580"/>
      <c r="E68" s="581"/>
      <c r="F68" s="582"/>
      <c r="G68" s="584"/>
    </row>
    <row r="69" spans="1:7" x14ac:dyDescent="0.25">
      <c r="A69" s="124" t="s">
        <v>34</v>
      </c>
      <c r="B69" s="636"/>
      <c r="C69" s="580"/>
      <c r="D69" s="580"/>
      <c r="E69" s="581"/>
      <c r="F69" s="582"/>
      <c r="G69" s="584"/>
    </row>
    <row r="70" spans="1:7" x14ac:dyDescent="0.25">
      <c r="A70" s="124" t="s">
        <v>34</v>
      </c>
      <c r="B70" s="636"/>
      <c r="C70" s="580"/>
      <c r="D70" s="580"/>
      <c r="E70" s="581"/>
      <c r="F70" s="582"/>
      <c r="G70" s="584"/>
    </row>
    <row r="71" spans="1:7" x14ac:dyDescent="0.25">
      <c r="A71" s="124" t="s">
        <v>34</v>
      </c>
      <c r="B71" s="636"/>
      <c r="C71" s="580"/>
      <c r="D71" s="580"/>
      <c r="E71" s="581"/>
      <c r="F71" s="582"/>
      <c r="G71" s="584"/>
    </row>
    <row r="72" spans="1:7" x14ac:dyDescent="0.25">
      <c r="A72" s="124" t="s">
        <v>34</v>
      </c>
      <c r="B72" s="636"/>
      <c r="C72" s="580"/>
      <c r="D72" s="580"/>
      <c r="E72" s="581"/>
      <c r="F72" s="582"/>
      <c r="G72" s="584"/>
    </row>
    <row r="73" spans="1:7" x14ac:dyDescent="0.25">
      <c r="A73" s="124" t="s">
        <v>34</v>
      </c>
      <c r="B73" s="636"/>
      <c r="C73" s="580"/>
      <c r="D73" s="580"/>
      <c r="E73" s="581"/>
      <c r="F73" s="582"/>
      <c r="G73" s="584"/>
    </row>
    <row r="74" spans="1:7" x14ac:dyDescent="0.25">
      <c r="A74" s="124" t="s">
        <v>34</v>
      </c>
      <c r="B74" s="636"/>
      <c r="C74" s="580"/>
      <c r="D74" s="580"/>
      <c r="E74" s="581"/>
      <c r="F74" s="582"/>
      <c r="G74" s="584"/>
    </row>
    <row r="75" spans="1:7" hidden="1" x14ac:dyDescent="0.25">
      <c r="A75" s="693" t="s">
        <v>1845</v>
      </c>
      <c r="B75" s="694"/>
      <c r="C75" s="694"/>
      <c r="D75" s="694"/>
      <c r="E75" s="695"/>
      <c r="F75" s="582">
        <f>SUM(F3:F74)</f>
        <v>102</v>
      </c>
      <c r="G75" s="584"/>
    </row>
    <row r="76" spans="1:7" hidden="1" x14ac:dyDescent="0.25">
      <c r="A76" s="9"/>
      <c r="B76" s="690" t="s">
        <v>947</v>
      </c>
      <c r="C76" s="690"/>
      <c r="D76" s="690"/>
      <c r="E76" s="690"/>
      <c r="F76" s="690"/>
      <c r="G76" s="690"/>
    </row>
    <row r="77" spans="1:7" hidden="1" x14ac:dyDescent="0.25">
      <c r="A77" s="9"/>
      <c r="B77" s="690" t="s">
        <v>948</v>
      </c>
      <c r="C77" s="690"/>
      <c r="D77" s="690"/>
      <c r="E77" s="690"/>
      <c r="F77" s="690"/>
      <c r="G77" s="690"/>
    </row>
  </sheetData>
  <autoFilter ref="A2:G77" xr:uid="{729185BE-0E32-47F7-92F2-5B0D7D4909A4}">
    <filterColumn colId="0">
      <filters>
        <filter val="ATIVO"/>
      </filters>
    </filterColumn>
  </autoFilter>
  <mergeCells count="4">
    <mergeCell ref="B77:G77"/>
    <mergeCell ref="C1:G1"/>
    <mergeCell ref="B76:G76"/>
    <mergeCell ref="A75:E75"/>
  </mergeCells>
  <phoneticPr fontId="10" type="noConversion"/>
  <pageMargins left="0.511811024" right="0.511811024" top="0.78740157499999996" bottom="0.78740157499999996" header="0.31496062000000002" footer="0.31496062000000002"/>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165"/>
  <sheetViews>
    <sheetView zoomScaleNormal="100" workbookViewId="0">
      <selection activeCell="H81" sqref="H81:H82"/>
    </sheetView>
  </sheetViews>
  <sheetFormatPr defaultRowHeight="15" x14ac:dyDescent="0.25"/>
  <cols>
    <col min="1" max="1" width="19.42578125" customWidth="1"/>
    <col min="2" max="2" width="26" bestFit="1" customWidth="1"/>
    <col min="3" max="3" width="16.5703125" customWidth="1"/>
    <col min="4" max="4" width="19.42578125" bestFit="1" customWidth="1"/>
    <col min="5" max="5" width="19.85546875" customWidth="1"/>
    <col min="6" max="7" width="18.85546875" customWidth="1"/>
    <col min="8" max="8" width="20.140625" customWidth="1"/>
    <col min="9" max="9" width="29.85546875" customWidth="1"/>
    <col min="10" max="10" width="34.140625" bestFit="1" customWidth="1"/>
    <col min="11" max="11" width="47" customWidth="1"/>
    <col min="16" max="16" width="9.140625" customWidth="1"/>
  </cols>
  <sheetData>
    <row r="1" spans="1:10" ht="40.5" customHeight="1" x14ac:dyDescent="0.35">
      <c r="B1" s="711" t="s">
        <v>875</v>
      </c>
      <c r="C1" s="712"/>
      <c r="D1" s="712"/>
      <c r="E1" s="712"/>
      <c r="F1" s="712"/>
      <c r="G1" s="712"/>
      <c r="H1" s="712"/>
      <c r="I1" s="712"/>
      <c r="J1" s="712"/>
    </row>
    <row r="2" spans="1:10" ht="18.75" x14ac:dyDescent="0.3">
      <c r="A2" s="420" t="s">
        <v>876</v>
      </c>
      <c r="B2" s="420" t="s">
        <v>877</v>
      </c>
      <c r="C2" s="420" t="s">
        <v>878</v>
      </c>
      <c r="D2" s="420" t="s">
        <v>0</v>
      </c>
      <c r="E2" s="420" t="s">
        <v>1015</v>
      </c>
      <c r="F2" s="420" t="s">
        <v>1780</v>
      </c>
      <c r="G2" s="420" t="s">
        <v>879</v>
      </c>
      <c r="H2" s="420" t="s">
        <v>2</v>
      </c>
      <c r="I2" s="420" t="s">
        <v>880</v>
      </c>
      <c r="J2" s="420" t="s">
        <v>464</v>
      </c>
    </row>
    <row r="3" spans="1:10" ht="15" hidden="1" customHeight="1" x14ac:dyDescent="0.25">
      <c r="A3" s="423" t="s">
        <v>176</v>
      </c>
      <c r="B3" s="421" t="s">
        <v>162</v>
      </c>
      <c r="C3" s="421" t="s">
        <v>5</v>
      </c>
      <c r="D3" s="424" t="s">
        <v>813</v>
      </c>
      <c r="E3" s="425">
        <v>6000</v>
      </c>
      <c r="F3" s="426">
        <v>7434</v>
      </c>
      <c r="G3" s="426"/>
      <c r="H3" s="319" t="s">
        <v>797</v>
      </c>
      <c r="I3" s="421" t="s">
        <v>881</v>
      </c>
      <c r="J3" s="422" t="s">
        <v>1163</v>
      </c>
    </row>
    <row r="4" spans="1:10" ht="15" hidden="1" customHeight="1" x14ac:dyDescent="0.25">
      <c r="A4" s="314" t="s">
        <v>882</v>
      </c>
      <c r="B4" s="315" t="s">
        <v>883</v>
      </c>
      <c r="C4" s="315" t="s">
        <v>109</v>
      </c>
      <c r="D4" s="316" t="s">
        <v>822</v>
      </c>
      <c r="E4" s="320">
        <v>3000</v>
      </c>
      <c r="F4" s="321">
        <v>3467.99</v>
      </c>
      <c r="G4" s="321"/>
      <c r="H4" s="322" t="s">
        <v>798</v>
      </c>
      <c r="I4" s="315" t="s">
        <v>884</v>
      </c>
      <c r="J4" s="317" t="s">
        <v>939</v>
      </c>
    </row>
    <row r="5" spans="1:10" ht="15" hidden="1" customHeight="1" x14ac:dyDescent="0.25">
      <c r="A5" s="314" t="s">
        <v>882</v>
      </c>
      <c r="B5" s="315" t="s">
        <v>501</v>
      </c>
      <c r="C5" s="315" t="s">
        <v>885</v>
      </c>
      <c r="D5" s="316" t="s">
        <v>849</v>
      </c>
      <c r="E5" s="320">
        <v>3000</v>
      </c>
      <c r="F5" s="321">
        <v>3476.26</v>
      </c>
      <c r="G5" s="321"/>
      <c r="H5" s="322" t="s">
        <v>798</v>
      </c>
      <c r="I5" s="315" t="s">
        <v>884</v>
      </c>
      <c r="J5" s="317" t="s">
        <v>1039</v>
      </c>
    </row>
    <row r="6" spans="1:10" ht="15" hidden="1" customHeight="1" x14ac:dyDescent="0.25">
      <c r="A6" s="314" t="s">
        <v>176</v>
      </c>
      <c r="B6" s="315" t="s">
        <v>886</v>
      </c>
      <c r="C6" s="315" t="s">
        <v>885</v>
      </c>
      <c r="D6" s="316" t="s">
        <v>392</v>
      </c>
      <c r="E6" s="320">
        <v>5000</v>
      </c>
      <c r="F6" s="321">
        <v>3952.03</v>
      </c>
      <c r="G6" s="321"/>
      <c r="H6" s="322" t="s">
        <v>798</v>
      </c>
      <c r="I6" s="315" t="s">
        <v>884</v>
      </c>
      <c r="J6" s="317" t="s">
        <v>1083</v>
      </c>
    </row>
    <row r="7" spans="1:10" ht="15" hidden="1" customHeight="1" x14ac:dyDescent="0.25">
      <c r="A7" s="314" t="s">
        <v>882</v>
      </c>
      <c r="B7" s="315" t="s">
        <v>329</v>
      </c>
      <c r="C7" s="315" t="s">
        <v>885</v>
      </c>
      <c r="D7" s="316" t="s">
        <v>887</v>
      </c>
      <c r="E7" s="320">
        <v>5000</v>
      </c>
      <c r="F7" s="321">
        <v>3145.99</v>
      </c>
      <c r="G7" s="321"/>
      <c r="H7" s="322" t="s">
        <v>798</v>
      </c>
      <c r="I7" s="315" t="s">
        <v>884</v>
      </c>
      <c r="J7" s="317" t="s">
        <v>1164</v>
      </c>
    </row>
    <row r="8" spans="1:10" ht="15" hidden="1" customHeight="1" x14ac:dyDescent="0.25">
      <c r="A8" s="314" t="s">
        <v>176</v>
      </c>
      <c r="B8" s="315" t="s">
        <v>1058</v>
      </c>
      <c r="C8" s="315" t="s">
        <v>885</v>
      </c>
      <c r="D8" s="316" t="s">
        <v>1131</v>
      </c>
      <c r="E8" s="320">
        <v>6000</v>
      </c>
      <c r="F8" s="321">
        <v>3775.99</v>
      </c>
      <c r="G8" s="321"/>
      <c r="H8" s="323" t="s">
        <v>797</v>
      </c>
      <c r="I8" s="315" t="s">
        <v>884</v>
      </c>
      <c r="J8" s="383" t="s">
        <v>1271</v>
      </c>
    </row>
    <row r="9" spans="1:10" ht="15" hidden="1" customHeight="1" x14ac:dyDescent="0.25">
      <c r="A9" s="314" t="s">
        <v>176</v>
      </c>
      <c r="B9" s="315" t="s">
        <v>1051</v>
      </c>
      <c r="C9" s="315" t="s">
        <v>885</v>
      </c>
      <c r="D9" s="316" t="s">
        <v>1052</v>
      </c>
      <c r="E9" s="320">
        <v>6000</v>
      </c>
      <c r="F9" s="321">
        <v>3775.99</v>
      </c>
      <c r="G9" s="321"/>
      <c r="H9" s="323" t="s">
        <v>797</v>
      </c>
      <c r="I9" s="315" t="s">
        <v>884</v>
      </c>
      <c r="J9" s="383" t="s">
        <v>1221</v>
      </c>
    </row>
    <row r="10" spans="1:10" x14ac:dyDescent="0.25">
      <c r="A10" s="485" t="s">
        <v>1781</v>
      </c>
      <c r="B10" s="486" t="s">
        <v>390</v>
      </c>
      <c r="C10" s="486" t="s">
        <v>5</v>
      </c>
      <c r="D10" s="487" t="s">
        <v>1659</v>
      </c>
      <c r="E10" s="494">
        <v>3000</v>
      </c>
      <c r="F10" s="543">
        <v>7553</v>
      </c>
      <c r="G10" s="543">
        <v>7553</v>
      </c>
      <c r="H10" s="489" t="s">
        <v>797</v>
      </c>
      <c r="I10" s="488"/>
      <c r="J10" s="490"/>
    </row>
    <row r="11" spans="1:10" ht="15" hidden="1" customHeight="1" x14ac:dyDescent="0.25">
      <c r="A11" s="314" t="s">
        <v>882</v>
      </c>
      <c r="B11" s="315" t="s">
        <v>890</v>
      </c>
      <c r="C11" s="315" t="s">
        <v>891</v>
      </c>
      <c r="D11" s="316" t="s">
        <v>364</v>
      </c>
      <c r="E11" s="320">
        <v>4500</v>
      </c>
      <c r="F11" s="321">
        <v>3455.99</v>
      </c>
      <c r="G11" s="321"/>
      <c r="H11" s="323" t="s">
        <v>797</v>
      </c>
      <c r="I11" s="315" t="s">
        <v>884</v>
      </c>
      <c r="J11" s="317" t="s">
        <v>1049</v>
      </c>
    </row>
    <row r="12" spans="1:10" ht="15" hidden="1" customHeight="1" x14ac:dyDescent="0.25">
      <c r="A12" s="314" t="s">
        <v>892</v>
      </c>
      <c r="B12" s="315" t="s">
        <v>372</v>
      </c>
      <c r="C12" s="315" t="s">
        <v>769</v>
      </c>
      <c r="D12" s="316" t="s">
        <v>803</v>
      </c>
      <c r="E12" s="320">
        <v>3000</v>
      </c>
      <c r="F12" s="321">
        <v>2986</v>
      </c>
      <c r="G12" s="321"/>
      <c r="H12" s="323" t="s">
        <v>797</v>
      </c>
      <c r="I12" s="315" t="s">
        <v>889</v>
      </c>
      <c r="J12" s="317" t="s">
        <v>1036</v>
      </c>
    </row>
    <row r="13" spans="1:10" ht="15" hidden="1" customHeight="1" x14ac:dyDescent="0.25">
      <c r="A13" s="314" t="s">
        <v>892</v>
      </c>
      <c r="B13" s="315" t="s">
        <v>893</v>
      </c>
      <c r="C13" s="315" t="s">
        <v>91</v>
      </c>
      <c r="D13" s="316" t="s">
        <v>460</v>
      </c>
      <c r="E13" s="320" t="s">
        <v>1016</v>
      </c>
      <c r="F13" s="321">
        <v>2169.9899999999998</v>
      </c>
      <c r="G13" s="321"/>
      <c r="H13" s="322" t="s">
        <v>798</v>
      </c>
      <c r="I13" s="315" t="s">
        <v>884</v>
      </c>
      <c r="J13" s="317" t="s">
        <v>944</v>
      </c>
    </row>
    <row r="14" spans="1:10" ht="15" hidden="1" customHeight="1" x14ac:dyDescent="0.25">
      <c r="A14" s="314" t="s">
        <v>892</v>
      </c>
      <c r="B14" s="315" t="s">
        <v>894</v>
      </c>
      <c r="C14" s="315" t="s">
        <v>895</v>
      </c>
      <c r="D14" s="316" t="s">
        <v>323</v>
      </c>
      <c r="E14" s="320" t="s">
        <v>1016</v>
      </c>
      <c r="F14" s="321">
        <v>2554</v>
      </c>
      <c r="G14" s="321"/>
      <c r="H14" s="323" t="s">
        <v>797</v>
      </c>
      <c r="I14" s="315" t="s">
        <v>884</v>
      </c>
      <c r="J14" s="317" t="s">
        <v>1006</v>
      </c>
    </row>
    <row r="15" spans="1:10" ht="15" hidden="1" customHeight="1" x14ac:dyDescent="0.25">
      <c r="A15" s="314" t="s">
        <v>892</v>
      </c>
      <c r="B15" s="315" t="s">
        <v>896</v>
      </c>
      <c r="C15" s="315">
        <v>208</v>
      </c>
      <c r="D15" s="316" t="s">
        <v>804</v>
      </c>
      <c r="E15" s="320" t="s">
        <v>1016</v>
      </c>
      <c r="F15" s="321">
        <v>2986</v>
      </c>
      <c r="G15" s="321"/>
      <c r="H15" s="323" t="s">
        <v>797</v>
      </c>
      <c r="I15" s="315" t="s">
        <v>884</v>
      </c>
      <c r="J15" s="317" t="s">
        <v>945</v>
      </c>
    </row>
    <row r="16" spans="1:10" ht="15" hidden="1" customHeight="1" x14ac:dyDescent="0.25">
      <c r="A16" s="314" t="s">
        <v>892</v>
      </c>
      <c r="B16" s="315" t="s">
        <v>897</v>
      </c>
      <c r="C16" s="315">
        <v>208</v>
      </c>
      <c r="D16" s="316" t="s">
        <v>898</v>
      </c>
      <c r="E16" s="320">
        <v>4500</v>
      </c>
      <c r="F16" s="321">
        <v>2741</v>
      </c>
      <c r="G16" s="321"/>
      <c r="H16" s="323" t="s">
        <v>797</v>
      </c>
      <c r="I16" s="315" t="s">
        <v>884</v>
      </c>
      <c r="J16" s="383" t="s">
        <v>1109</v>
      </c>
    </row>
    <row r="17" spans="1:10" ht="15" hidden="1" customHeight="1" x14ac:dyDescent="0.25">
      <c r="A17" s="314" t="s">
        <v>892</v>
      </c>
      <c r="B17" s="315" t="s">
        <v>899</v>
      </c>
      <c r="C17" s="315" t="s">
        <v>7</v>
      </c>
      <c r="D17" s="316" t="s">
        <v>858</v>
      </c>
      <c r="E17" s="320" t="s">
        <v>1016</v>
      </c>
      <c r="F17" s="321">
        <v>2473.9699999999998</v>
      </c>
      <c r="G17" s="321"/>
      <c r="H17" s="322" t="s">
        <v>798</v>
      </c>
      <c r="I17" s="315" t="s">
        <v>884</v>
      </c>
      <c r="J17" s="317" t="s">
        <v>940</v>
      </c>
    </row>
    <row r="18" spans="1:10" ht="15" hidden="1" customHeight="1" x14ac:dyDescent="0.25">
      <c r="A18" s="314" t="s">
        <v>1110</v>
      </c>
      <c r="B18" s="315" t="s">
        <v>910</v>
      </c>
      <c r="C18" s="315" t="s">
        <v>109</v>
      </c>
      <c r="D18" s="467" t="s">
        <v>874</v>
      </c>
      <c r="E18" s="320">
        <v>3000</v>
      </c>
      <c r="F18" s="321">
        <v>4227</v>
      </c>
      <c r="G18" s="321"/>
      <c r="H18" s="322" t="s">
        <v>798</v>
      </c>
      <c r="I18" s="315" t="s">
        <v>904</v>
      </c>
      <c r="J18" s="317" t="s">
        <v>1370</v>
      </c>
    </row>
    <row r="19" spans="1:10" ht="15.75" hidden="1" customHeight="1" x14ac:dyDescent="0.25">
      <c r="A19" s="314" t="s">
        <v>892</v>
      </c>
      <c r="B19" s="315" t="s">
        <v>313</v>
      </c>
      <c r="C19" s="315" t="s">
        <v>888</v>
      </c>
      <c r="D19" s="316" t="s">
        <v>817</v>
      </c>
      <c r="E19" s="320" t="s">
        <v>1016</v>
      </c>
      <c r="F19" s="321">
        <v>2591.23</v>
      </c>
      <c r="G19" s="321"/>
      <c r="H19" s="322" t="s">
        <v>798</v>
      </c>
      <c r="I19" s="315" t="s">
        <v>884</v>
      </c>
      <c r="J19" s="317" t="s">
        <v>981</v>
      </c>
    </row>
    <row r="20" spans="1:10" x14ac:dyDescent="0.25">
      <c r="A20" s="485" t="s">
        <v>1781</v>
      </c>
      <c r="B20" s="486" t="s">
        <v>1682</v>
      </c>
      <c r="C20" s="486" t="s">
        <v>1783</v>
      </c>
      <c r="D20" s="487" t="s">
        <v>1782</v>
      </c>
      <c r="E20" s="494">
        <v>3000</v>
      </c>
      <c r="F20" s="543">
        <v>2484</v>
      </c>
      <c r="G20" s="543">
        <v>2484</v>
      </c>
      <c r="H20" s="489" t="s">
        <v>797</v>
      </c>
      <c r="I20" s="486"/>
      <c r="J20" s="490"/>
    </row>
    <row r="21" spans="1:10" ht="15" hidden="1" customHeight="1" x14ac:dyDescent="0.25">
      <c r="A21" s="314" t="s">
        <v>405</v>
      </c>
      <c r="B21" s="315" t="s">
        <v>407</v>
      </c>
      <c r="C21" s="315" t="s">
        <v>5</v>
      </c>
      <c r="D21" s="316" t="s">
        <v>1035</v>
      </c>
      <c r="E21" s="320">
        <v>5000</v>
      </c>
      <c r="F21" s="321">
        <v>8294.4</v>
      </c>
      <c r="G21" s="321"/>
      <c r="H21" s="467" t="s">
        <v>798</v>
      </c>
      <c r="I21" s="315" t="s">
        <v>884</v>
      </c>
      <c r="J21" s="317" t="s">
        <v>1150</v>
      </c>
    </row>
    <row r="22" spans="1:10" ht="15" customHeight="1" x14ac:dyDescent="0.25">
      <c r="A22" s="485" t="s">
        <v>1781</v>
      </c>
      <c r="B22" s="486" t="s">
        <v>1289</v>
      </c>
      <c r="C22" s="486" t="s">
        <v>888</v>
      </c>
      <c r="D22" s="487" t="s">
        <v>1730</v>
      </c>
      <c r="E22" s="494">
        <v>3000</v>
      </c>
      <c r="F22" s="543">
        <v>2484</v>
      </c>
      <c r="G22" s="630">
        <v>2484</v>
      </c>
      <c r="H22" s="489" t="s">
        <v>797</v>
      </c>
      <c r="I22" s="617"/>
      <c r="J22" s="618"/>
    </row>
    <row r="23" spans="1:10" ht="15" customHeight="1" x14ac:dyDescent="0.25">
      <c r="A23" s="485" t="s">
        <v>1781</v>
      </c>
      <c r="B23" s="486" t="s">
        <v>300</v>
      </c>
      <c r="C23" s="486" t="s">
        <v>7</v>
      </c>
      <c r="D23" s="487" t="s">
        <v>1745</v>
      </c>
      <c r="E23" s="494">
        <v>3000</v>
      </c>
      <c r="F23" s="543">
        <v>2484</v>
      </c>
      <c r="G23" s="630">
        <v>2484</v>
      </c>
      <c r="H23" s="489" t="s">
        <v>797</v>
      </c>
      <c r="I23" s="617"/>
      <c r="J23" s="618"/>
    </row>
    <row r="24" spans="1:10" ht="15" customHeight="1" x14ac:dyDescent="0.25">
      <c r="A24" s="485" t="s">
        <v>1781</v>
      </c>
      <c r="B24" s="486" t="s">
        <v>1739</v>
      </c>
      <c r="C24" s="486" t="s">
        <v>697</v>
      </c>
      <c r="D24" s="487" t="s">
        <v>1740</v>
      </c>
      <c r="E24" s="494">
        <v>3000</v>
      </c>
      <c r="F24" s="543">
        <v>2484</v>
      </c>
      <c r="G24" s="630">
        <v>2484</v>
      </c>
      <c r="H24" s="489" t="s">
        <v>797</v>
      </c>
      <c r="I24" s="617"/>
      <c r="J24" s="618"/>
    </row>
    <row r="25" spans="1:10" ht="15" customHeight="1" x14ac:dyDescent="0.25">
      <c r="A25" s="485" t="s">
        <v>1781</v>
      </c>
      <c r="B25" s="486" t="s">
        <v>1755</v>
      </c>
      <c r="C25" s="486" t="s">
        <v>697</v>
      </c>
      <c r="D25" s="487" t="s">
        <v>1731</v>
      </c>
      <c r="E25" s="494">
        <v>3000</v>
      </c>
      <c r="F25" s="543">
        <v>2484</v>
      </c>
      <c r="G25" s="630">
        <v>2484</v>
      </c>
      <c r="H25" s="489" t="s">
        <v>797</v>
      </c>
      <c r="I25" s="617"/>
      <c r="J25" s="618"/>
    </row>
    <row r="26" spans="1:10" ht="15" customHeight="1" x14ac:dyDescent="0.25">
      <c r="A26" s="485" t="s">
        <v>1781</v>
      </c>
      <c r="B26" s="486" t="s">
        <v>1170</v>
      </c>
      <c r="C26" s="486" t="s">
        <v>33</v>
      </c>
      <c r="D26" s="487" t="s">
        <v>1728</v>
      </c>
      <c r="E26" s="494">
        <v>3000</v>
      </c>
      <c r="F26" s="543">
        <v>3837</v>
      </c>
      <c r="G26" s="630">
        <v>3837</v>
      </c>
      <c r="H26" s="489" t="s">
        <v>797</v>
      </c>
      <c r="I26" s="617"/>
      <c r="J26" s="618"/>
    </row>
    <row r="27" spans="1:10" ht="15" customHeight="1" x14ac:dyDescent="0.25">
      <c r="A27" s="485" t="s">
        <v>1781</v>
      </c>
      <c r="B27" s="486" t="s">
        <v>1676</v>
      </c>
      <c r="C27" s="486" t="s">
        <v>5</v>
      </c>
      <c r="D27" s="487" t="s">
        <v>1729</v>
      </c>
      <c r="E27" s="494">
        <v>4500</v>
      </c>
      <c r="F27" s="543">
        <v>8158</v>
      </c>
      <c r="G27" s="630">
        <v>8158</v>
      </c>
      <c r="H27" s="489" t="s">
        <v>797</v>
      </c>
      <c r="I27" s="617"/>
      <c r="J27" s="618"/>
    </row>
    <row r="28" spans="1:10" ht="15" customHeight="1" x14ac:dyDescent="0.25">
      <c r="A28" s="485" t="s">
        <v>1781</v>
      </c>
      <c r="B28" s="486" t="s">
        <v>1765</v>
      </c>
      <c r="C28" s="486" t="s">
        <v>5</v>
      </c>
      <c r="D28" s="487" t="s">
        <v>1784</v>
      </c>
      <c r="E28" s="494">
        <v>3000</v>
      </c>
      <c r="F28" s="543">
        <v>7553</v>
      </c>
      <c r="G28" s="630"/>
      <c r="H28" s="489" t="s">
        <v>797</v>
      </c>
      <c r="I28" s="617"/>
      <c r="J28" s="618"/>
    </row>
    <row r="29" spans="1:10" ht="15" customHeight="1" x14ac:dyDescent="0.25">
      <c r="A29" s="485" t="s">
        <v>1781</v>
      </c>
      <c r="B29" s="486" t="s">
        <v>1763</v>
      </c>
      <c r="C29" s="486" t="s">
        <v>697</v>
      </c>
      <c r="D29" s="487" t="s">
        <v>1785</v>
      </c>
      <c r="E29" s="494">
        <v>3000</v>
      </c>
      <c r="F29" s="543">
        <v>2484</v>
      </c>
      <c r="G29" s="630"/>
      <c r="H29" s="489" t="s">
        <v>797</v>
      </c>
      <c r="I29" s="617"/>
      <c r="J29" s="618"/>
    </row>
    <row r="30" spans="1:10" ht="15" customHeight="1" x14ac:dyDescent="0.25">
      <c r="A30" s="485" t="s">
        <v>1781</v>
      </c>
      <c r="B30" s="620" t="s">
        <v>1775</v>
      </c>
      <c r="C30" s="620" t="s">
        <v>5</v>
      </c>
      <c r="D30" s="621" t="s">
        <v>1776</v>
      </c>
      <c r="E30" s="494">
        <v>3000</v>
      </c>
      <c r="F30" s="543">
        <v>7553</v>
      </c>
      <c r="G30" s="630"/>
      <c r="H30" s="489" t="s">
        <v>797</v>
      </c>
      <c r="I30" s="617"/>
      <c r="J30" s="618"/>
    </row>
    <row r="31" spans="1:10" ht="15" customHeight="1" x14ac:dyDescent="0.25">
      <c r="A31" s="619" t="s">
        <v>1054</v>
      </c>
      <c r="B31" s="620" t="s">
        <v>1259</v>
      </c>
      <c r="C31" s="620" t="s">
        <v>61</v>
      </c>
      <c r="D31" s="621" t="s">
        <v>1261</v>
      </c>
      <c r="E31" s="494">
        <v>5000</v>
      </c>
      <c r="F31" s="622">
        <v>4335.99</v>
      </c>
      <c r="G31" s="630">
        <v>4335.99</v>
      </c>
      <c r="H31" s="489" t="s">
        <v>797</v>
      </c>
      <c r="I31" s="617"/>
      <c r="J31" s="618"/>
    </row>
    <row r="32" spans="1:10" ht="15" customHeight="1" x14ac:dyDescent="0.25">
      <c r="A32" s="619" t="s">
        <v>1054</v>
      </c>
      <c r="B32" s="620" t="s">
        <v>1055</v>
      </c>
      <c r="C32" s="620" t="s">
        <v>61</v>
      </c>
      <c r="D32" s="621" t="s">
        <v>1638</v>
      </c>
      <c r="E32" s="494">
        <v>4500</v>
      </c>
      <c r="F32" s="622">
        <v>4144</v>
      </c>
      <c r="G32" s="630">
        <v>4144</v>
      </c>
      <c r="H32" s="489" t="s">
        <v>797</v>
      </c>
      <c r="I32" s="617"/>
      <c r="J32" s="618"/>
    </row>
    <row r="33" spans="1:10" ht="15" customHeight="1" x14ac:dyDescent="0.25">
      <c r="A33" s="619" t="s">
        <v>1054</v>
      </c>
      <c r="B33" s="620" t="s">
        <v>306</v>
      </c>
      <c r="C33" s="620" t="s">
        <v>61</v>
      </c>
      <c r="D33" s="621" t="s">
        <v>1555</v>
      </c>
      <c r="E33" s="494">
        <v>3000</v>
      </c>
      <c r="F33" s="622">
        <v>3837</v>
      </c>
      <c r="G33" s="630">
        <v>3837</v>
      </c>
      <c r="H33" s="489" t="s">
        <v>797</v>
      </c>
      <c r="I33" s="617"/>
      <c r="J33" s="618"/>
    </row>
    <row r="34" spans="1:10" x14ac:dyDescent="0.25">
      <c r="A34" s="491" t="s">
        <v>900</v>
      </c>
      <c r="B34" s="492" t="s">
        <v>145</v>
      </c>
      <c r="C34" s="492" t="s">
        <v>697</v>
      </c>
      <c r="D34" s="493" t="s">
        <v>1753</v>
      </c>
      <c r="E34" s="494">
        <v>3000</v>
      </c>
      <c r="F34" s="543">
        <v>2484</v>
      </c>
      <c r="G34" s="631">
        <v>2484</v>
      </c>
      <c r="H34" s="495" t="s">
        <v>797</v>
      </c>
      <c r="I34" s="492"/>
      <c r="J34" s="496"/>
    </row>
    <row r="35" spans="1:10" x14ac:dyDescent="0.25">
      <c r="A35" s="497" t="s">
        <v>900</v>
      </c>
      <c r="B35" s="498" t="s">
        <v>139</v>
      </c>
      <c r="C35" s="498" t="s">
        <v>888</v>
      </c>
      <c r="D35" s="499" t="s">
        <v>901</v>
      </c>
      <c r="E35" s="500">
        <v>3000</v>
      </c>
      <c r="F35" s="543">
        <v>2484</v>
      </c>
      <c r="G35" s="544">
        <v>2484</v>
      </c>
      <c r="H35" s="501" t="s">
        <v>797</v>
      </c>
      <c r="I35" s="498"/>
      <c r="J35" s="502"/>
    </row>
    <row r="36" spans="1:10" ht="15" hidden="1" customHeight="1" x14ac:dyDescent="0.25">
      <c r="A36" s="314" t="s">
        <v>266</v>
      </c>
      <c r="B36" s="315" t="s">
        <v>902</v>
      </c>
      <c r="C36" s="315" t="s">
        <v>809</v>
      </c>
      <c r="D36" s="316" t="s">
        <v>361</v>
      </c>
      <c r="E36" s="320">
        <v>3000</v>
      </c>
      <c r="F36" s="321">
        <v>4191.9399999999996</v>
      </c>
      <c r="G36" s="321"/>
      <c r="H36" s="322" t="s">
        <v>798</v>
      </c>
      <c r="I36" s="315" t="s">
        <v>884</v>
      </c>
      <c r="J36" s="383" t="s">
        <v>1371</v>
      </c>
    </row>
    <row r="37" spans="1:10" ht="15" hidden="1" customHeight="1" x14ac:dyDescent="0.25">
      <c r="A37" s="314" t="s">
        <v>266</v>
      </c>
      <c r="B37" s="315" t="s">
        <v>903</v>
      </c>
      <c r="C37" s="315" t="s">
        <v>891</v>
      </c>
      <c r="D37" s="316" t="s">
        <v>859</v>
      </c>
      <c r="E37" s="320">
        <v>4000</v>
      </c>
      <c r="F37" s="321">
        <v>3702.72</v>
      </c>
      <c r="G37" s="321"/>
      <c r="H37" s="322" t="s">
        <v>798</v>
      </c>
      <c r="I37" s="315" t="s">
        <v>904</v>
      </c>
      <c r="J37" s="317" t="s">
        <v>1127</v>
      </c>
    </row>
    <row r="38" spans="1:10" ht="15" hidden="1" customHeight="1" x14ac:dyDescent="0.25">
      <c r="A38" s="314" t="s">
        <v>266</v>
      </c>
      <c r="B38" s="320" t="s">
        <v>515</v>
      </c>
      <c r="C38" s="315" t="s">
        <v>885</v>
      </c>
      <c r="D38" s="467" t="s">
        <v>1027</v>
      </c>
      <c r="E38" s="315">
        <v>4500</v>
      </c>
      <c r="F38" s="321">
        <v>3455.99</v>
      </c>
      <c r="G38" s="321"/>
      <c r="H38" s="323" t="s">
        <v>797</v>
      </c>
      <c r="I38" s="320" t="s">
        <v>884</v>
      </c>
      <c r="J38" s="383" t="s">
        <v>1372</v>
      </c>
    </row>
    <row r="39" spans="1:10" ht="15" hidden="1" customHeight="1" x14ac:dyDescent="0.25">
      <c r="A39" s="314" t="s">
        <v>905</v>
      </c>
      <c r="B39" s="315" t="s">
        <v>905</v>
      </c>
      <c r="C39" s="315" t="s">
        <v>5</v>
      </c>
      <c r="D39" s="467" t="s">
        <v>796</v>
      </c>
      <c r="E39" s="320" t="s">
        <v>1016</v>
      </c>
      <c r="F39" s="321">
        <v>7434</v>
      </c>
      <c r="G39" s="321"/>
      <c r="H39" s="323" t="s">
        <v>797</v>
      </c>
      <c r="I39" s="315" t="s">
        <v>884</v>
      </c>
      <c r="J39" s="317" t="s">
        <v>1034</v>
      </c>
    </row>
    <row r="40" spans="1:10" ht="15" hidden="1" customHeight="1" x14ac:dyDescent="0.25">
      <c r="A40" s="314" t="s">
        <v>905</v>
      </c>
      <c r="B40" s="315" t="s">
        <v>905</v>
      </c>
      <c r="C40" s="315" t="s">
        <v>5</v>
      </c>
      <c r="D40" s="467" t="s">
        <v>802</v>
      </c>
      <c r="E40" s="320" t="s">
        <v>1016</v>
      </c>
      <c r="F40" s="321">
        <v>7467.8</v>
      </c>
      <c r="G40" s="321"/>
      <c r="H40" s="323" t="s">
        <v>797</v>
      </c>
      <c r="I40" s="315" t="s">
        <v>884</v>
      </c>
      <c r="J40" s="317" t="s">
        <v>1011</v>
      </c>
    </row>
    <row r="41" spans="1:10" x14ac:dyDescent="0.25">
      <c r="A41" s="485" t="s">
        <v>1725</v>
      </c>
      <c r="B41" s="486" t="s">
        <v>92</v>
      </c>
      <c r="C41" s="486" t="s">
        <v>1457</v>
      </c>
      <c r="D41" s="503" t="s">
        <v>1787</v>
      </c>
      <c r="E41" s="486">
        <v>4500</v>
      </c>
      <c r="F41" s="543">
        <v>4144</v>
      </c>
      <c r="G41" s="543">
        <v>4144</v>
      </c>
      <c r="H41" s="489" t="s">
        <v>797</v>
      </c>
      <c r="I41" s="488"/>
      <c r="J41" s="490"/>
    </row>
    <row r="42" spans="1:10" ht="15" hidden="1" customHeight="1" x14ac:dyDescent="0.25">
      <c r="A42" s="314" t="s">
        <v>856</v>
      </c>
      <c r="B42" s="315" t="s">
        <v>1219</v>
      </c>
      <c r="C42" s="315" t="s">
        <v>1204</v>
      </c>
      <c r="D42" s="467" t="s">
        <v>1205</v>
      </c>
      <c r="E42" s="315">
        <v>3000</v>
      </c>
      <c r="F42" s="466">
        <v>2091</v>
      </c>
      <c r="G42" s="466"/>
      <c r="H42" s="323" t="s">
        <v>797</v>
      </c>
      <c r="I42" s="320" t="s">
        <v>884</v>
      </c>
      <c r="J42" s="383" t="s">
        <v>1374</v>
      </c>
    </row>
    <row r="43" spans="1:10" ht="15" hidden="1" customHeight="1" x14ac:dyDescent="0.25">
      <c r="A43" s="314" t="s">
        <v>856</v>
      </c>
      <c r="B43" s="315" t="s">
        <v>907</v>
      </c>
      <c r="C43" s="315" t="s">
        <v>891</v>
      </c>
      <c r="D43" s="467" t="s">
        <v>1210</v>
      </c>
      <c r="E43" s="315">
        <v>5000</v>
      </c>
      <c r="F43" s="321">
        <v>2990</v>
      </c>
      <c r="G43" s="321"/>
      <c r="H43" s="323" t="s">
        <v>797</v>
      </c>
      <c r="I43" s="320" t="s">
        <v>884</v>
      </c>
      <c r="J43" s="383" t="s">
        <v>1373</v>
      </c>
    </row>
    <row r="44" spans="1:10" x14ac:dyDescent="0.25">
      <c r="A44" s="485" t="s">
        <v>1725</v>
      </c>
      <c r="B44" s="486" t="s">
        <v>907</v>
      </c>
      <c r="C44" s="486" t="s">
        <v>1457</v>
      </c>
      <c r="D44" s="503" t="s">
        <v>1788</v>
      </c>
      <c r="E44" s="486">
        <v>3000</v>
      </c>
      <c r="F44" s="543">
        <v>3837</v>
      </c>
      <c r="G44" s="543">
        <v>3837</v>
      </c>
      <c r="H44" s="489" t="s">
        <v>797</v>
      </c>
      <c r="I44" s="488"/>
      <c r="J44" s="490"/>
    </row>
    <row r="45" spans="1:10" ht="15" hidden="1" customHeight="1" x14ac:dyDescent="0.25">
      <c r="A45" s="314" t="s">
        <v>856</v>
      </c>
      <c r="B45" s="315" t="s">
        <v>909</v>
      </c>
      <c r="C45" s="315" t="s">
        <v>908</v>
      </c>
      <c r="D45" s="467" t="s">
        <v>860</v>
      </c>
      <c r="E45" s="320" t="s">
        <v>1016</v>
      </c>
      <c r="F45" s="321">
        <v>4518.8599999999997</v>
      </c>
      <c r="G45" s="321"/>
      <c r="H45" s="323" t="s">
        <v>797</v>
      </c>
      <c r="I45" s="315" t="s">
        <v>906</v>
      </c>
      <c r="J45" s="317" t="s">
        <v>1007</v>
      </c>
    </row>
    <row r="46" spans="1:10" x14ac:dyDescent="0.25">
      <c r="A46" s="485" t="s">
        <v>1725</v>
      </c>
      <c r="B46" s="528" t="s">
        <v>1646</v>
      </c>
      <c r="C46" s="486" t="s">
        <v>91</v>
      </c>
      <c r="D46" s="529" t="s">
        <v>1647</v>
      </c>
      <c r="E46" s="538">
        <v>3000</v>
      </c>
      <c r="F46" s="543">
        <v>2484</v>
      </c>
      <c r="G46" s="543">
        <v>2484</v>
      </c>
      <c r="H46" s="489" t="s">
        <v>797</v>
      </c>
      <c r="I46" s="488"/>
      <c r="J46" s="490"/>
    </row>
    <row r="47" spans="1:10" x14ac:dyDescent="0.25">
      <c r="A47" s="485" t="s">
        <v>1725</v>
      </c>
      <c r="B47" s="528" t="s">
        <v>1786</v>
      </c>
      <c r="C47" s="528" t="s">
        <v>697</v>
      </c>
      <c r="D47" s="529" t="s">
        <v>1644</v>
      </c>
      <c r="E47" s="538">
        <v>3000</v>
      </c>
      <c r="F47" s="543">
        <v>2484</v>
      </c>
      <c r="G47" s="543">
        <v>2484</v>
      </c>
      <c r="H47" s="489" t="s">
        <v>797</v>
      </c>
      <c r="I47" s="488"/>
      <c r="J47" s="490"/>
    </row>
    <row r="48" spans="1:10" ht="15" hidden="1" customHeight="1" x14ac:dyDescent="0.25">
      <c r="A48" s="314" t="s">
        <v>856</v>
      </c>
      <c r="B48" s="320" t="s">
        <v>390</v>
      </c>
      <c r="C48" s="320" t="s">
        <v>91</v>
      </c>
      <c r="D48" s="316" t="s">
        <v>1008</v>
      </c>
      <c r="E48" s="320">
        <v>3000</v>
      </c>
      <c r="F48" s="468">
        <v>2295.89</v>
      </c>
      <c r="G48" s="468"/>
      <c r="H48" s="316" t="s">
        <v>798</v>
      </c>
      <c r="I48" s="320" t="s">
        <v>884</v>
      </c>
      <c r="J48" s="469" t="s">
        <v>1088</v>
      </c>
    </row>
    <row r="49" spans="1:10" x14ac:dyDescent="0.25">
      <c r="A49" s="485" t="s">
        <v>1725</v>
      </c>
      <c r="B49" s="504" t="s">
        <v>1331</v>
      </c>
      <c r="C49" s="492" t="s">
        <v>888</v>
      </c>
      <c r="D49" s="505" t="s">
        <v>1665</v>
      </c>
      <c r="E49" s="492">
        <v>3000</v>
      </c>
      <c r="F49" s="543">
        <v>2484</v>
      </c>
      <c r="G49" s="631">
        <v>2484</v>
      </c>
      <c r="H49" s="495" t="s">
        <v>797</v>
      </c>
      <c r="I49" s="504"/>
      <c r="J49" s="496"/>
    </row>
    <row r="50" spans="1:10" x14ac:dyDescent="0.25">
      <c r="A50" s="485" t="s">
        <v>1725</v>
      </c>
      <c r="B50" s="623" t="s">
        <v>1634</v>
      </c>
      <c r="C50" s="486" t="s">
        <v>1457</v>
      </c>
      <c r="D50" s="624" t="s">
        <v>1635</v>
      </c>
      <c r="E50" s="492">
        <v>3000</v>
      </c>
      <c r="F50" s="543">
        <v>3837</v>
      </c>
      <c r="G50" s="632">
        <v>3837</v>
      </c>
      <c r="H50" s="495" t="s">
        <v>797</v>
      </c>
      <c r="I50" s="623"/>
      <c r="J50" s="625"/>
    </row>
    <row r="51" spans="1:10" x14ac:dyDescent="0.25">
      <c r="A51" s="506" t="s">
        <v>1742</v>
      </c>
      <c r="B51" s="507" t="s">
        <v>1789</v>
      </c>
      <c r="C51" s="486" t="s">
        <v>91</v>
      </c>
      <c r="D51" s="509" t="s">
        <v>1744</v>
      </c>
      <c r="E51" s="492">
        <v>3000</v>
      </c>
      <c r="F51" s="543">
        <v>2484</v>
      </c>
      <c r="G51" s="545">
        <v>2484</v>
      </c>
      <c r="H51" s="510" t="s">
        <v>797</v>
      </c>
      <c r="I51" s="511"/>
      <c r="J51" s="512"/>
    </row>
    <row r="52" spans="1:10" x14ac:dyDescent="0.25">
      <c r="A52" s="506" t="s">
        <v>1339</v>
      </c>
      <c r="B52" s="507" t="s">
        <v>306</v>
      </c>
      <c r="C52" s="508" t="s">
        <v>61</v>
      </c>
      <c r="D52" s="509" t="s">
        <v>1555</v>
      </c>
      <c r="E52" s="508">
        <v>3000</v>
      </c>
      <c r="F52" s="543">
        <v>3837</v>
      </c>
      <c r="G52" s="545">
        <v>3837</v>
      </c>
      <c r="H52" s="510" t="s">
        <v>797</v>
      </c>
      <c r="I52" s="511"/>
      <c r="J52" s="512"/>
    </row>
    <row r="53" spans="1:10" x14ac:dyDescent="0.25">
      <c r="A53" s="506" t="s">
        <v>1339</v>
      </c>
      <c r="B53" s="513" t="s">
        <v>1259</v>
      </c>
      <c r="C53" s="513" t="s">
        <v>61</v>
      </c>
      <c r="D53" s="514" t="s">
        <v>1261</v>
      </c>
      <c r="E53" s="508">
        <v>5000</v>
      </c>
      <c r="F53" s="545">
        <v>4335.99</v>
      </c>
      <c r="G53" s="545">
        <v>4335.99</v>
      </c>
      <c r="H53" s="510" t="s">
        <v>797</v>
      </c>
      <c r="I53" s="511"/>
      <c r="J53" s="512"/>
    </row>
    <row r="54" spans="1:10" x14ac:dyDescent="0.25">
      <c r="A54" s="506" t="s">
        <v>1339</v>
      </c>
      <c r="B54" s="515" t="s">
        <v>1055</v>
      </c>
      <c r="C54" s="513" t="s">
        <v>61</v>
      </c>
      <c r="D54" s="516" t="s">
        <v>1638</v>
      </c>
      <c r="E54" s="498">
        <v>4500</v>
      </c>
      <c r="F54" s="544">
        <v>4144</v>
      </c>
      <c r="G54" s="544">
        <v>4144</v>
      </c>
      <c r="H54" s="510" t="s">
        <v>797</v>
      </c>
      <c r="I54" s="517"/>
      <c r="J54" s="502"/>
    </row>
    <row r="55" spans="1:10" hidden="1" x14ac:dyDescent="0.25">
      <c r="A55" s="314" t="s">
        <v>892</v>
      </c>
      <c r="B55" s="483" t="s">
        <v>101</v>
      </c>
      <c r="C55" s="315" t="s">
        <v>61</v>
      </c>
      <c r="D55" s="484" t="s">
        <v>1139</v>
      </c>
      <c r="E55" s="315">
        <v>5000</v>
      </c>
      <c r="F55" s="321">
        <v>3615.99</v>
      </c>
      <c r="G55" s="321"/>
      <c r="H55" s="323" t="s">
        <v>797</v>
      </c>
      <c r="I55" s="320" t="s">
        <v>881</v>
      </c>
      <c r="J55" s="383" t="s">
        <v>1376</v>
      </c>
    </row>
    <row r="56" spans="1:10" x14ac:dyDescent="0.25">
      <c r="A56" s="518" t="s">
        <v>1152</v>
      </c>
      <c r="B56" s="519" t="s">
        <v>1153</v>
      </c>
      <c r="C56" s="513" t="s">
        <v>888</v>
      </c>
      <c r="D56" s="520" t="s">
        <v>1747</v>
      </c>
      <c r="E56" s="492">
        <v>3000</v>
      </c>
      <c r="F56" s="543">
        <v>2484</v>
      </c>
      <c r="G56" s="631">
        <v>2484</v>
      </c>
      <c r="H56" s="495" t="s">
        <v>797</v>
      </c>
      <c r="I56" s="504"/>
      <c r="J56" s="496"/>
    </row>
    <row r="57" spans="1:10" hidden="1" x14ac:dyDescent="0.25">
      <c r="A57" s="530" t="s">
        <v>1183</v>
      </c>
      <c r="B57" s="531" t="s">
        <v>1182</v>
      </c>
      <c r="C57" s="531" t="s">
        <v>1184</v>
      </c>
      <c r="D57" s="532" t="s">
        <v>1346</v>
      </c>
      <c r="E57" s="533">
        <v>3000</v>
      </c>
      <c r="F57" s="534">
        <v>4788</v>
      </c>
      <c r="G57" s="534"/>
      <c r="H57" s="535" t="s">
        <v>798</v>
      </c>
      <c r="I57" s="536" t="s">
        <v>881</v>
      </c>
      <c r="J57" s="537" t="s">
        <v>1413</v>
      </c>
    </row>
    <row r="58" spans="1:10" x14ac:dyDescent="0.25">
      <c r="A58" s="521" t="s">
        <v>1152</v>
      </c>
      <c r="B58" s="513" t="s">
        <v>1655</v>
      </c>
      <c r="C58" s="513" t="s">
        <v>91</v>
      </c>
      <c r="D58" s="514" t="s">
        <v>1770</v>
      </c>
      <c r="E58" s="492">
        <v>3000</v>
      </c>
      <c r="F58" s="543">
        <v>2484</v>
      </c>
      <c r="G58" s="545"/>
      <c r="H58" s="510" t="s">
        <v>797</v>
      </c>
      <c r="I58" s="511"/>
      <c r="J58" s="512"/>
    </row>
    <row r="59" spans="1:10" x14ac:dyDescent="0.25">
      <c r="A59" s="518" t="s">
        <v>1720</v>
      </c>
      <c r="B59" s="519" t="s">
        <v>1719</v>
      </c>
      <c r="C59" s="519" t="s">
        <v>697</v>
      </c>
      <c r="D59" s="526" t="s">
        <v>1722</v>
      </c>
      <c r="E59" s="492">
        <v>3000</v>
      </c>
      <c r="F59" s="543">
        <v>2484</v>
      </c>
      <c r="G59" s="631">
        <v>2484</v>
      </c>
      <c r="H59" s="495" t="s">
        <v>797</v>
      </c>
      <c r="I59" s="504"/>
      <c r="J59" s="496"/>
    </row>
    <row r="60" spans="1:10" x14ac:dyDescent="0.25">
      <c r="A60" s="523" t="s">
        <v>1236</v>
      </c>
      <c r="B60" s="524" t="s">
        <v>1714</v>
      </c>
      <c r="C60" s="524" t="s">
        <v>885</v>
      </c>
      <c r="D60" s="525" t="s">
        <v>1715</v>
      </c>
      <c r="E60" s="492">
        <v>3000</v>
      </c>
      <c r="F60" s="543">
        <v>4039.73</v>
      </c>
      <c r="G60" s="544">
        <v>4039.73</v>
      </c>
      <c r="H60" s="501" t="s">
        <v>798</v>
      </c>
      <c r="I60" s="517"/>
      <c r="J60" s="502"/>
    </row>
    <row r="61" spans="1:10" hidden="1" x14ac:dyDescent="0.25">
      <c r="A61" s="314" t="s">
        <v>1236</v>
      </c>
      <c r="B61" s="483" t="s">
        <v>1253</v>
      </c>
      <c r="C61" s="483" t="s">
        <v>908</v>
      </c>
      <c r="D61" s="484" t="s">
        <v>1254</v>
      </c>
      <c r="E61" s="315">
        <v>5000</v>
      </c>
      <c r="F61" s="321">
        <v>5025.55</v>
      </c>
      <c r="G61" s="321"/>
      <c r="H61" s="470" t="s">
        <v>798</v>
      </c>
      <c r="I61" s="320" t="s">
        <v>881</v>
      </c>
      <c r="J61" s="383" t="s">
        <v>1375</v>
      </c>
    </row>
    <row r="62" spans="1:10" x14ac:dyDescent="0.25">
      <c r="A62" s="518" t="s">
        <v>1236</v>
      </c>
      <c r="B62" s="519" t="s">
        <v>211</v>
      </c>
      <c r="C62" s="519" t="s">
        <v>109</v>
      </c>
      <c r="D62" s="526" t="s">
        <v>1790</v>
      </c>
      <c r="E62" s="492">
        <v>3000</v>
      </c>
      <c r="F62" s="543">
        <v>3837</v>
      </c>
      <c r="G62" s="631">
        <v>3837</v>
      </c>
      <c r="H62" s="495" t="s">
        <v>797</v>
      </c>
      <c r="I62" s="504"/>
      <c r="J62" s="496"/>
    </row>
    <row r="63" spans="1:10" x14ac:dyDescent="0.25">
      <c r="A63" s="518" t="s">
        <v>1236</v>
      </c>
      <c r="B63" s="626" t="s">
        <v>1762</v>
      </c>
      <c r="C63" s="626" t="s">
        <v>61</v>
      </c>
      <c r="D63" s="627" t="s">
        <v>1777</v>
      </c>
      <c r="E63" s="492">
        <v>3000</v>
      </c>
      <c r="F63" s="543">
        <v>3837</v>
      </c>
      <c r="G63" s="632"/>
      <c r="H63" s="495" t="s">
        <v>797</v>
      </c>
      <c r="I63" s="623"/>
      <c r="J63" s="625"/>
    </row>
    <row r="64" spans="1:10" x14ac:dyDescent="0.25">
      <c r="A64" s="521" t="s">
        <v>1426</v>
      </c>
      <c r="B64" s="513" t="s">
        <v>1445</v>
      </c>
      <c r="C64" s="513" t="s">
        <v>61</v>
      </c>
      <c r="D64" s="514" t="s">
        <v>1564</v>
      </c>
      <c r="E64" s="508">
        <v>5000</v>
      </c>
      <c r="F64" s="545">
        <v>4335.99</v>
      </c>
      <c r="G64" s="545">
        <v>4335.99</v>
      </c>
      <c r="H64" s="510" t="s">
        <v>797</v>
      </c>
      <c r="I64" s="511"/>
      <c r="J64" s="512"/>
    </row>
    <row r="65" spans="1:10" x14ac:dyDescent="0.25">
      <c r="A65" s="521" t="s">
        <v>1426</v>
      </c>
      <c r="B65" s="513" t="s">
        <v>1487</v>
      </c>
      <c r="C65" s="522" t="s">
        <v>61</v>
      </c>
      <c r="D65" s="514" t="s">
        <v>1139</v>
      </c>
      <c r="E65" s="508">
        <v>4500</v>
      </c>
      <c r="F65" s="544">
        <v>4144</v>
      </c>
      <c r="G65" s="545"/>
      <c r="H65" s="510" t="s">
        <v>797</v>
      </c>
      <c r="I65" s="511"/>
      <c r="J65" s="512"/>
    </row>
    <row r="66" spans="1:10" x14ac:dyDescent="0.25">
      <c r="A66" s="521" t="s">
        <v>1426</v>
      </c>
      <c r="B66" s="513" t="s">
        <v>1521</v>
      </c>
      <c r="C66" s="522" t="s">
        <v>61</v>
      </c>
      <c r="D66" s="527" t="s">
        <v>1791</v>
      </c>
      <c r="E66" s="508">
        <v>4500</v>
      </c>
      <c r="F66" s="544">
        <v>4144</v>
      </c>
      <c r="G66" s="545">
        <v>4144</v>
      </c>
      <c r="H66" s="510" t="s">
        <v>797</v>
      </c>
      <c r="I66" s="511"/>
      <c r="J66" s="512"/>
    </row>
    <row r="67" spans="1:10" x14ac:dyDescent="0.25">
      <c r="A67" s="521" t="s">
        <v>1429</v>
      </c>
      <c r="B67" s="513" t="s">
        <v>1667</v>
      </c>
      <c r="C67" s="522" t="s">
        <v>1468</v>
      </c>
      <c r="D67" s="527" t="s">
        <v>1792</v>
      </c>
      <c r="E67" s="508">
        <v>4500</v>
      </c>
      <c r="F67" s="544">
        <v>4144</v>
      </c>
      <c r="G67" s="545">
        <v>4144</v>
      </c>
      <c r="H67" s="510" t="s">
        <v>797</v>
      </c>
      <c r="I67" s="511"/>
      <c r="J67" s="512"/>
    </row>
    <row r="68" spans="1:10" x14ac:dyDescent="0.25">
      <c r="A68" s="521" t="s">
        <v>1429</v>
      </c>
      <c r="B68" s="513" t="s">
        <v>1769</v>
      </c>
      <c r="C68" s="522" t="s">
        <v>109</v>
      </c>
      <c r="D68" s="527" t="s">
        <v>1793</v>
      </c>
      <c r="E68" s="508">
        <v>3000</v>
      </c>
      <c r="F68" s="543">
        <v>3837</v>
      </c>
      <c r="G68" s="545">
        <v>3837</v>
      </c>
      <c r="H68" s="510" t="s">
        <v>797</v>
      </c>
      <c r="I68" s="511"/>
      <c r="J68" s="512"/>
    </row>
    <row r="69" spans="1:10" x14ac:dyDescent="0.25">
      <c r="A69" s="521" t="s">
        <v>1429</v>
      </c>
      <c r="B69" s="513" t="s">
        <v>1666</v>
      </c>
      <c r="C69" s="522" t="s">
        <v>61</v>
      </c>
      <c r="D69" s="527" t="s">
        <v>1794</v>
      </c>
      <c r="E69" s="508">
        <v>4500</v>
      </c>
      <c r="F69" s="544">
        <v>4144</v>
      </c>
      <c r="G69" s="545">
        <v>4144</v>
      </c>
      <c r="H69" s="510" t="s">
        <v>797</v>
      </c>
      <c r="I69" s="511"/>
      <c r="J69" s="512"/>
    </row>
    <row r="70" spans="1:10" x14ac:dyDescent="0.25">
      <c r="A70" s="521" t="s">
        <v>1429</v>
      </c>
      <c r="B70" s="513" t="s">
        <v>1523</v>
      </c>
      <c r="C70" s="522" t="s">
        <v>61</v>
      </c>
      <c r="D70" s="527" t="s">
        <v>1565</v>
      </c>
      <c r="E70" s="508">
        <v>5000</v>
      </c>
      <c r="F70" s="545">
        <v>4335.99</v>
      </c>
      <c r="G70" s="545">
        <v>4335.99</v>
      </c>
      <c r="H70" s="510" t="s">
        <v>797</v>
      </c>
      <c r="I70" s="511"/>
      <c r="J70" s="512"/>
    </row>
    <row r="71" spans="1:10" x14ac:dyDescent="0.25">
      <c r="A71" s="521" t="s">
        <v>1429</v>
      </c>
      <c r="B71" s="513" t="s">
        <v>1727</v>
      </c>
      <c r="C71" s="522" t="s">
        <v>61</v>
      </c>
      <c r="D71" s="527" t="s">
        <v>1640</v>
      </c>
      <c r="E71" s="508">
        <v>4500</v>
      </c>
      <c r="F71" s="544">
        <v>4144</v>
      </c>
      <c r="G71" s="545">
        <v>4144</v>
      </c>
      <c r="H71" s="510" t="s">
        <v>797</v>
      </c>
      <c r="I71" s="511"/>
      <c r="J71" s="512"/>
    </row>
    <row r="72" spans="1:10" x14ac:dyDescent="0.25">
      <c r="A72" s="521" t="s">
        <v>1429</v>
      </c>
      <c r="B72" s="513" t="s">
        <v>1675</v>
      </c>
      <c r="C72" s="522" t="s">
        <v>61</v>
      </c>
      <c r="D72" s="514" t="s">
        <v>1699</v>
      </c>
      <c r="E72" s="508">
        <v>4500</v>
      </c>
      <c r="F72" s="544">
        <v>4144</v>
      </c>
      <c r="G72" s="545"/>
      <c r="H72" s="510" t="s">
        <v>797</v>
      </c>
      <c r="I72" s="511"/>
      <c r="J72" s="512"/>
    </row>
    <row r="73" spans="1:10" x14ac:dyDescent="0.25">
      <c r="A73" s="521" t="s">
        <v>1429</v>
      </c>
      <c r="B73" s="513" t="s">
        <v>1432</v>
      </c>
      <c r="C73" s="513" t="s">
        <v>109</v>
      </c>
      <c r="D73" s="514" t="s">
        <v>1761</v>
      </c>
      <c r="E73" s="508">
        <v>3000</v>
      </c>
      <c r="F73" s="543">
        <v>3837</v>
      </c>
      <c r="G73" s="545"/>
      <c r="H73" s="510" t="s">
        <v>797</v>
      </c>
      <c r="I73" s="517"/>
      <c r="J73" s="502"/>
    </row>
    <row r="74" spans="1:10" x14ac:dyDescent="0.25">
      <c r="A74" s="521" t="s">
        <v>1429</v>
      </c>
      <c r="B74" s="513" t="s">
        <v>1524</v>
      </c>
      <c r="C74" s="513" t="s">
        <v>61</v>
      </c>
      <c r="D74" s="514" t="s">
        <v>1554</v>
      </c>
      <c r="E74" s="508">
        <v>5000</v>
      </c>
      <c r="F74" s="545">
        <v>4335.99</v>
      </c>
      <c r="G74" s="545">
        <v>4335.99</v>
      </c>
      <c r="H74" s="510" t="s">
        <v>797</v>
      </c>
      <c r="I74" s="513"/>
      <c r="J74" s="513"/>
    </row>
    <row r="75" spans="1:10" x14ac:dyDescent="0.25">
      <c r="A75" s="521" t="s">
        <v>1429</v>
      </c>
      <c r="B75" s="513" t="s">
        <v>1704</v>
      </c>
      <c r="C75" s="513" t="s">
        <v>61</v>
      </c>
      <c r="D75" s="514" t="s">
        <v>1795</v>
      </c>
      <c r="E75" s="508">
        <v>4500</v>
      </c>
      <c r="F75" s="544">
        <v>4144</v>
      </c>
      <c r="G75" s="545">
        <v>4144</v>
      </c>
      <c r="H75" s="510" t="s">
        <v>797</v>
      </c>
      <c r="I75" s="513"/>
      <c r="J75" s="513"/>
    </row>
    <row r="76" spans="1:10" x14ac:dyDescent="0.25">
      <c r="A76" s="521" t="s">
        <v>1429</v>
      </c>
      <c r="B76" s="513" t="s">
        <v>1611</v>
      </c>
      <c r="C76" s="513" t="s">
        <v>61</v>
      </c>
      <c r="D76" s="514" t="s">
        <v>1796</v>
      </c>
      <c r="E76" s="508">
        <v>5000</v>
      </c>
      <c r="F76" s="545">
        <v>4335.99</v>
      </c>
      <c r="G76" s="545">
        <v>4335.9799999999996</v>
      </c>
      <c r="H76" s="510" t="s">
        <v>797</v>
      </c>
      <c r="I76" s="513"/>
      <c r="J76" s="513"/>
    </row>
    <row r="77" spans="1:10" x14ac:dyDescent="0.25">
      <c r="A77" s="521" t="s">
        <v>1429</v>
      </c>
      <c r="B77" s="513" t="s">
        <v>1748</v>
      </c>
      <c r="C77" s="513" t="s">
        <v>41</v>
      </c>
      <c r="D77" s="514" t="s">
        <v>1749</v>
      </c>
      <c r="E77" s="508">
        <v>3000</v>
      </c>
      <c r="F77" s="544">
        <v>7553</v>
      </c>
      <c r="G77" s="545">
        <v>7553</v>
      </c>
      <c r="H77" s="510" t="s">
        <v>797</v>
      </c>
      <c r="I77" s="513"/>
      <c r="J77" s="513"/>
    </row>
    <row r="78" spans="1:10" x14ac:dyDescent="0.25">
      <c r="A78" s="521" t="s">
        <v>1429</v>
      </c>
      <c r="B78" s="513" t="s">
        <v>1641</v>
      </c>
      <c r="C78" s="513" t="s">
        <v>194</v>
      </c>
      <c r="D78" s="514" t="s">
        <v>1797</v>
      </c>
      <c r="E78" s="508">
        <v>4500</v>
      </c>
      <c r="F78" s="544">
        <v>4144</v>
      </c>
      <c r="G78" s="545">
        <v>4144</v>
      </c>
      <c r="H78" s="510" t="s">
        <v>797</v>
      </c>
      <c r="I78" s="513"/>
      <c r="J78" s="513"/>
    </row>
    <row r="79" spans="1:10" x14ac:dyDescent="0.25">
      <c r="A79" s="521" t="s">
        <v>1798</v>
      </c>
      <c r="B79" s="513" t="s">
        <v>1377</v>
      </c>
      <c r="C79" s="513" t="s">
        <v>109</v>
      </c>
      <c r="D79" s="514" t="s">
        <v>1768</v>
      </c>
      <c r="E79" s="492">
        <v>3000</v>
      </c>
      <c r="F79" s="543">
        <v>3837</v>
      </c>
      <c r="G79" s="545"/>
      <c r="H79" s="510" t="s">
        <v>797</v>
      </c>
      <c r="I79" s="513"/>
      <c r="J79" s="513"/>
    </row>
    <row r="80" spans="1:10" x14ac:dyDescent="0.25">
      <c r="A80" s="521" t="s">
        <v>1798</v>
      </c>
      <c r="B80" s="513" t="s">
        <v>1800</v>
      </c>
      <c r="C80" s="513" t="s">
        <v>61</v>
      </c>
      <c r="D80" s="514" t="s">
        <v>1779</v>
      </c>
      <c r="E80" s="492">
        <v>3000</v>
      </c>
      <c r="F80" s="543">
        <v>3837</v>
      </c>
      <c r="G80" s="545"/>
      <c r="H80" s="510" t="s">
        <v>797</v>
      </c>
      <c r="I80" s="513"/>
      <c r="J80" s="513"/>
    </row>
    <row r="81" spans="1:10" x14ac:dyDescent="0.25">
      <c r="A81" s="521" t="s">
        <v>1799</v>
      </c>
      <c r="B81" s="513" t="s">
        <v>1772</v>
      </c>
      <c r="C81" s="513" t="s">
        <v>61</v>
      </c>
      <c r="D81" s="514" t="s">
        <v>1773</v>
      </c>
      <c r="E81" s="492">
        <v>3000</v>
      </c>
      <c r="F81" s="543">
        <v>3837</v>
      </c>
      <c r="G81" s="545"/>
      <c r="H81" s="510" t="s">
        <v>797</v>
      </c>
      <c r="I81" s="513"/>
      <c r="J81" s="513"/>
    </row>
    <row r="82" spans="1:10" x14ac:dyDescent="0.25">
      <c r="A82" s="521" t="s">
        <v>1799</v>
      </c>
      <c r="B82" s="513" t="s">
        <v>1388</v>
      </c>
      <c r="C82" s="513" t="s">
        <v>194</v>
      </c>
      <c r="D82" s="514" t="s">
        <v>1850</v>
      </c>
      <c r="E82" s="492">
        <v>3000</v>
      </c>
      <c r="F82" s="543">
        <v>3837</v>
      </c>
      <c r="G82" s="545"/>
      <c r="H82" s="510" t="s">
        <v>797</v>
      </c>
      <c r="I82" s="513"/>
      <c r="J82" s="513"/>
    </row>
    <row r="83" spans="1:10" x14ac:dyDescent="0.25">
      <c r="A83" s="521"/>
      <c r="B83" s="513"/>
      <c r="C83" s="513"/>
      <c r="D83" s="514"/>
      <c r="E83" s="628"/>
      <c r="F83" s="629"/>
      <c r="G83" s="545"/>
      <c r="H83" s="510"/>
      <c r="I83" s="513"/>
      <c r="J83" s="513"/>
    </row>
    <row r="84" spans="1:10" x14ac:dyDescent="0.25">
      <c r="A84" s="521"/>
      <c r="B84" s="513"/>
      <c r="C84" s="513"/>
      <c r="D84" s="514"/>
      <c r="E84" s="628"/>
      <c r="F84" s="629"/>
      <c r="G84" s="545"/>
      <c r="H84" s="510"/>
      <c r="I84" s="513"/>
      <c r="J84" s="513"/>
    </row>
    <row r="85" spans="1:10" x14ac:dyDescent="0.25">
      <c r="A85" s="521"/>
      <c r="B85" s="513"/>
      <c r="C85" s="513"/>
      <c r="D85" s="514"/>
      <c r="E85" s="628"/>
      <c r="F85" s="629"/>
      <c r="G85" s="545"/>
      <c r="H85" s="510"/>
      <c r="I85" s="513"/>
      <c r="J85" s="513"/>
    </row>
    <row r="86" spans="1:10" x14ac:dyDescent="0.25">
      <c r="A86" s="521"/>
      <c r="B86" s="513"/>
      <c r="C86" s="513"/>
      <c r="D86" s="514"/>
      <c r="E86" s="628"/>
      <c r="F86" s="629"/>
      <c r="G86" s="545"/>
      <c r="H86" s="510"/>
      <c r="I86" s="513"/>
      <c r="J86" s="513"/>
    </row>
    <row r="87" spans="1:10" x14ac:dyDescent="0.25">
      <c r="A87" s="521"/>
      <c r="B87" s="513"/>
      <c r="C87" s="513"/>
      <c r="D87" s="514"/>
      <c r="E87" s="628"/>
      <c r="F87" s="629"/>
      <c r="G87" s="545"/>
      <c r="H87" s="510"/>
      <c r="I87" s="513"/>
      <c r="J87" s="513"/>
    </row>
    <row r="88" spans="1:10" x14ac:dyDescent="0.25">
      <c r="A88" s="521"/>
      <c r="B88" s="513"/>
      <c r="C88" s="513"/>
      <c r="D88" s="514"/>
      <c r="E88" s="628"/>
      <c r="F88" s="629"/>
      <c r="G88" s="545"/>
      <c r="H88" s="510"/>
      <c r="I88" s="513"/>
      <c r="J88" s="513"/>
    </row>
    <row r="89" spans="1:10" x14ac:dyDescent="0.25">
      <c r="A89" s="521"/>
      <c r="B89" s="513"/>
      <c r="C89" s="513"/>
      <c r="D89" s="514"/>
      <c r="E89" s="628"/>
      <c r="F89" s="629"/>
      <c r="G89" s="545"/>
      <c r="H89" s="510"/>
      <c r="I89" s="513"/>
      <c r="J89" s="513"/>
    </row>
    <row r="90" spans="1:10" x14ac:dyDescent="0.25">
      <c r="A90" s="521"/>
      <c r="B90" s="513"/>
      <c r="C90" s="513"/>
      <c r="D90" s="514"/>
      <c r="E90" s="628"/>
      <c r="F90" s="629"/>
      <c r="G90" s="545"/>
      <c r="H90" s="510"/>
      <c r="I90" s="513"/>
      <c r="J90" s="513"/>
    </row>
    <row r="91" spans="1:10" x14ac:dyDescent="0.25">
      <c r="A91" s="521"/>
      <c r="B91" s="513"/>
      <c r="C91" s="513"/>
      <c r="D91" s="514"/>
      <c r="E91" s="628"/>
      <c r="F91" s="629"/>
      <c r="G91" s="545"/>
      <c r="H91" s="510"/>
      <c r="I91" s="513"/>
      <c r="J91" s="513"/>
    </row>
    <row r="92" spans="1:10" x14ac:dyDescent="0.25">
      <c r="A92" s="521"/>
      <c r="B92" s="513"/>
      <c r="C92" s="513"/>
      <c r="D92" s="514"/>
      <c r="E92" s="628"/>
      <c r="F92" s="629"/>
      <c r="G92" s="545"/>
      <c r="H92" s="510"/>
      <c r="I92" s="513"/>
      <c r="J92" s="513"/>
    </row>
    <row r="93" spans="1:10" x14ac:dyDescent="0.25">
      <c r="A93" s="521"/>
      <c r="B93" s="513"/>
      <c r="C93" s="513"/>
      <c r="D93" s="514"/>
      <c r="E93" s="628"/>
      <c r="F93" s="629"/>
      <c r="G93" s="545"/>
      <c r="H93" s="510"/>
      <c r="I93" s="513"/>
      <c r="J93" s="513"/>
    </row>
    <row r="94" spans="1:10" x14ac:dyDescent="0.25">
      <c r="A94" s="521"/>
      <c r="B94" s="513"/>
      <c r="C94" s="513"/>
      <c r="D94" s="514"/>
      <c r="E94" s="628"/>
      <c r="F94" s="629"/>
      <c r="G94" s="545"/>
      <c r="H94" s="510"/>
      <c r="I94" s="513"/>
      <c r="J94" s="513"/>
    </row>
    <row r="95" spans="1:10" x14ac:dyDescent="0.25">
      <c r="A95" s="521"/>
      <c r="B95" s="513"/>
      <c r="C95" s="513"/>
      <c r="D95" s="514"/>
      <c r="E95" s="628"/>
      <c r="F95" s="629"/>
      <c r="G95" s="545"/>
      <c r="H95" s="510"/>
      <c r="I95" s="513"/>
      <c r="J95" s="513"/>
    </row>
    <row r="96" spans="1:10" x14ac:dyDescent="0.25">
      <c r="A96" s="521"/>
      <c r="B96" s="513"/>
      <c r="C96" s="513"/>
      <c r="D96" s="514"/>
      <c r="E96" s="628"/>
      <c r="F96" s="629"/>
      <c r="G96" s="545"/>
      <c r="H96" s="510"/>
      <c r="I96" s="513"/>
      <c r="J96" s="513"/>
    </row>
    <row r="97" spans="1:10" x14ac:dyDescent="0.25">
      <c r="A97" s="521"/>
      <c r="B97" s="513"/>
      <c r="C97" s="513"/>
      <c r="D97" s="514"/>
      <c r="E97" s="628"/>
      <c r="F97" s="629"/>
      <c r="G97" s="545"/>
      <c r="H97" s="510"/>
      <c r="I97" s="513"/>
      <c r="J97" s="513"/>
    </row>
    <row r="98" spans="1:10" x14ac:dyDescent="0.25">
      <c r="A98" s="521"/>
      <c r="B98" s="513"/>
      <c r="C98" s="513"/>
      <c r="D98" s="514"/>
      <c r="E98" s="628"/>
      <c r="F98" s="629"/>
      <c r="G98" s="545"/>
      <c r="H98" s="510"/>
      <c r="I98" s="513"/>
      <c r="J98" s="513"/>
    </row>
    <row r="99" spans="1:10" x14ac:dyDescent="0.25">
      <c r="A99" s="521"/>
      <c r="B99" s="513"/>
      <c r="C99" s="513"/>
      <c r="D99" s="514"/>
      <c r="E99" s="628"/>
      <c r="F99" s="629"/>
      <c r="G99" s="545"/>
      <c r="H99" s="510"/>
      <c r="I99" s="513"/>
      <c r="J99" s="513"/>
    </row>
    <row r="100" spans="1:10" x14ac:dyDescent="0.25">
      <c r="A100" s="521"/>
      <c r="B100" s="513"/>
      <c r="C100" s="513"/>
      <c r="D100" s="514"/>
      <c r="E100" s="628"/>
      <c r="F100" s="629"/>
      <c r="G100" s="545"/>
      <c r="H100" s="510"/>
      <c r="I100" s="513"/>
      <c r="J100" s="513"/>
    </row>
    <row r="101" spans="1:10" x14ac:dyDescent="0.25">
      <c r="A101" s="521"/>
      <c r="B101" s="513"/>
      <c r="C101" s="513"/>
      <c r="D101" s="514"/>
      <c r="E101" s="628"/>
      <c r="F101" s="629"/>
      <c r="G101" s="545"/>
      <c r="H101" s="510"/>
      <c r="I101" s="513"/>
      <c r="J101" s="513"/>
    </row>
    <row r="102" spans="1:10" x14ac:dyDescent="0.25">
      <c r="A102" s="521"/>
      <c r="B102" s="513"/>
      <c r="C102" s="513"/>
      <c r="D102" s="514"/>
      <c r="E102" s="628"/>
      <c r="F102" s="629"/>
      <c r="G102" s="545"/>
      <c r="H102" s="510"/>
      <c r="I102" s="513"/>
      <c r="J102" s="513"/>
    </row>
    <row r="103" spans="1:10" x14ac:dyDescent="0.25">
      <c r="A103" s="521"/>
      <c r="B103" s="513"/>
      <c r="C103" s="513"/>
      <c r="D103" s="514"/>
      <c r="E103" s="628"/>
      <c r="F103" s="629"/>
      <c r="G103" s="545"/>
      <c r="H103" s="510"/>
      <c r="I103" s="513"/>
      <c r="J103" s="513"/>
    </row>
    <row r="104" spans="1:10" x14ac:dyDescent="0.25">
      <c r="A104" s="521"/>
      <c r="B104" s="513"/>
      <c r="C104" s="513"/>
      <c r="D104" s="514"/>
      <c r="E104" s="628"/>
      <c r="F104" s="629"/>
      <c r="G104" s="545"/>
      <c r="H104" s="510"/>
      <c r="I104" s="513"/>
      <c r="J104" s="513"/>
    </row>
    <row r="105" spans="1:10" x14ac:dyDescent="0.25">
      <c r="A105" s="521"/>
      <c r="B105" s="513"/>
      <c r="C105" s="513"/>
      <c r="D105" s="514"/>
      <c r="E105" s="628"/>
      <c r="F105" s="629"/>
      <c r="G105" s="545"/>
      <c r="H105" s="510"/>
      <c r="I105" s="513"/>
      <c r="J105" s="513"/>
    </row>
    <row r="106" spans="1:10" x14ac:dyDescent="0.25">
      <c r="A106" s="521"/>
      <c r="B106" s="513"/>
      <c r="C106" s="513"/>
      <c r="D106" s="514"/>
      <c r="E106" s="628"/>
      <c r="F106" s="629"/>
      <c r="G106" s="545"/>
      <c r="H106" s="510"/>
      <c r="I106" s="513"/>
      <c r="J106" s="513"/>
    </row>
    <row r="107" spans="1:10" x14ac:dyDescent="0.25">
      <c r="A107" s="521"/>
      <c r="B107" s="513"/>
      <c r="C107" s="513"/>
      <c r="D107" s="514"/>
      <c r="E107" s="628"/>
      <c r="F107" s="629"/>
      <c r="G107" s="545"/>
      <c r="H107" s="510"/>
      <c r="I107" s="513"/>
      <c r="J107" s="513"/>
    </row>
    <row r="108" spans="1:10" x14ac:dyDescent="0.25">
      <c r="A108" s="521"/>
      <c r="B108" s="513"/>
      <c r="C108" s="513"/>
      <c r="D108" s="514"/>
      <c r="E108" s="628"/>
      <c r="F108" s="629"/>
      <c r="G108" s="545"/>
      <c r="H108" s="510"/>
      <c r="I108" s="513"/>
      <c r="J108" s="513"/>
    </row>
    <row r="109" spans="1:10" x14ac:dyDescent="0.25">
      <c r="A109" s="521"/>
      <c r="B109" s="513"/>
      <c r="C109" s="513"/>
      <c r="D109" s="514"/>
      <c r="E109" s="628"/>
      <c r="F109" s="629"/>
      <c r="G109" s="545"/>
      <c r="H109" s="510"/>
      <c r="I109" s="513"/>
      <c r="J109" s="513"/>
    </row>
    <row r="110" spans="1:10" x14ac:dyDescent="0.25">
      <c r="A110" s="521"/>
      <c r="B110" s="513"/>
      <c r="C110" s="513"/>
      <c r="D110" s="514"/>
      <c r="E110" s="628"/>
      <c r="F110" s="629"/>
      <c r="G110" s="545"/>
      <c r="H110" s="510"/>
      <c r="I110" s="513"/>
      <c r="J110" s="513"/>
    </row>
    <row r="111" spans="1:10" x14ac:dyDescent="0.25">
      <c r="A111" s="521"/>
      <c r="B111" s="513"/>
      <c r="C111" s="513"/>
      <c r="D111" s="514"/>
      <c r="E111" s="628"/>
      <c r="F111" s="629"/>
      <c r="G111" s="545"/>
      <c r="H111" s="510"/>
      <c r="I111" s="513"/>
      <c r="J111" s="513"/>
    </row>
    <row r="112" spans="1:10" x14ac:dyDescent="0.25">
      <c r="A112" s="521"/>
      <c r="B112" s="513"/>
      <c r="C112" s="513"/>
      <c r="D112" s="514"/>
      <c r="E112" s="628"/>
      <c r="F112" s="629"/>
      <c r="G112" s="545"/>
      <c r="H112" s="510"/>
      <c r="I112" s="513"/>
      <c r="J112" s="513"/>
    </row>
    <row r="113" spans="1:10" x14ac:dyDescent="0.25">
      <c r="A113" s="521"/>
      <c r="B113" s="513"/>
      <c r="C113" s="513"/>
      <c r="D113" s="514"/>
      <c r="E113" s="628"/>
      <c r="F113" s="629"/>
      <c r="G113" s="545"/>
      <c r="H113" s="510"/>
      <c r="I113" s="513"/>
      <c r="J113" s="513"/>
    </row>
    <row r="114" spans="1:10" x14ac:dyDescent="0.25">
      <c r="A114" s="521"/>
      <c r="B114" s="513"/>
      <c r="C114" s="513"/>
      <c r="D114" s="514"/>
      <c r="E114" s="628"/>
      <c r="F114" s="629"/>
      <c r="G114" s="545"/>
      <c r="H114" s="510"/>
      <c r="I114" s="513"/>
      <c r="J114" s="513"/>
    </row>
    <row r="115" spans="1:10" x14ac:dyDescent="0.25">
      <c r="A115" s="521"/>
      <c r="B115" s="513"/>
      <c r="C115" s="513"/>
      <c r="D115" s="514"/>
      <c r="E115" s="628"/>
      <c r="F115" s="629"/>
      <c r="G115" s="545"/>
      <c r="H115" s="510"/>
      <c r="I115" s="513"/>
      <c r="J115" s="513"/>
    </row>
    <row r="116" spans="1:10" x14ac:dyDescent="0.25">
      <c r="A116" s="521"/>
      <c r="B116" s="513"/>
      <c r="C116" s="513"/>
      <c r="D116" s="514"/>
      <c r="E116" s="628"/>
      <c r="F116" s="629"/>
      <c r="G116" s="545"/>
      <c r="H116" s="510"/>
      <c r="I116" s="513"/>
      <c r="J116" s="513"/>
    </row>
    <row r="117" spans="1:10" x14ac:dyDescent="0.25">
      <c r="A117" s="521"/>
      <c r="B117" s="513"/>
      <c r="C117" s="513"/>
      <c r="D117" s="514"/>
      <c r="E117" s="628"/>
      <c r="F117" s="629"/>
      <c r="G117" s="545"/>
      <c r="H117" s="510"/>
      <c r="I117" s="513"/>
      <c r="J117" s="513"/>
    </row>
    <row r="118" spans="1:10" x14ac:dyDescent="0.25">
      <c r="A118" s="521"/>
      <c r="B118" s="513"/>
      <c r="C118" s="513"/>
      <c r="D118" s="514"/>
      <c r="E118" s="628"/>
      <c r="F118" s="629"/>
      <c r="G118" s="545"/>
      <c r="H118" s="510"/>
      <c r="I118" s="513"/>
      <c r="J118" s="513"/>
    </row>
    <row r="119" spans="1:10" x14ac:dyDescent="0.25">
      <c r="A119" s="521"/>
      <c r="B119" s="513"/>
      <c r="C119" s="513"/>
      <c r="D119" s="514"/>
      <c r="E119" s="628"/>
      <c r="F119" s="629"/>
      <c r="G119" s="545"/>
      <c r="H119" s="510"/>
      <c r="I119" s="513"/>
      <c r="J119" s="513"/>
    </row>
    <row r="120" spans="1:10" x14ac:dyDescent="0.25">
      <c r="A120" s="521"/>
      <c r="B120" s="513"/>
      <c r="C120" s="513"/>
      <c r="D120" s="514"/>
      <c r="E120" s="628"/>
      <c r="F120" s="629"/>
      <c r="G120" s="545"/>
      <c r="H120" s="510"/>
      <c r="I120" s="513"/>
      <c r="J120" s="513"/>
    </row>
    <row r="121" spans="1:10" x14ac:dyDescent="0.25">
      <c r="A121" s="521"/>
      <c r="B121" s="513"/>
      <c r="C121" s="513"/>
      <c r="D121" s="514"/>
      <c r="E121" s="628"/>
      <c r="F121" s="629"/>
      <c r="G121" s="545"/>
      <c r="H121" s="510"/>
      <c r="I121" s="513"/>
      <c r="J121" s="513"/>
    </row>
    <row r="122" spans="1:10" x14ac:dyDescent="0.25">
      <c r="A122" s="521"/>
      <c r="B122" s="513"/>
      <c r="C122" s="513"/>
      <c r="D122" s="514"/>
      <c r="E122" s="628"/>
      <c r="F122" s="629"/>
      <c r="G122" s="545"/>
      <c r="H122" s="510"/>
      <c r="I122" s="513"/>
      <c r="J122" s="513"/>
    </row>
    <row r="123" spans="1:10" x14ac:dyDescent="0.25">
      <c r="A123" s="521"/>
      <c r="B123" s="513"/>
      <c r="C123" s="513"/>
      <c r="D123" s="514"/>
      <c r="E123" s="628"/>
      <c r="F123" s="629"/>
      <c r="G123" s="545"/>
      <c r="H123" s="510"/>
      <c r="I123" s="513"/>
      <c r="J123" s="513"/>
    </row>
    <row r="124" spans="1:10" x14ac:dyDescent="0.25">
      <c r="A124" s="521"/>
      <c r="B124" s="513"/>
      <c r="C124" s="513"/>
      <c r="D124" s="514"/>
      <c r="E124" s="628"/>
      <c r="F124" s="629"/>
      <c r="G124" s="545"/>
      <c r="H124" s="510"/>
      <c r="I124" s="513"/>
      <c r="J124" s="513"/>
    </row>
    <row r="125" spans="1:10" x14ac:dyDescent="0.25">
      <c r="A125" s="521"/>
      <c r="B125" s="513"/>
      <c r="C125" s="513"/>
      <c r="D125" s="514"/>
      <c r="E125" s="628"/>
      <c r="F125" s="629"/>
      <c r="G125" s="545"/>
      <c r="H125" s="510"/>
      <c r="I125" s="513"/>
      <c r="J125" s="513"/>
    </row>
    <row r="126" spans="1:10" x14ac:dyDescent="0.25">
      <c r="A126" s="521"/>
      <c r="B126" s="513"/>
      <c r="C126" s="513"/>
      <c r="D126" s="514"/>
      <c r="E126" s="508"/>
      <c r="F126" s="544"/>
      <c r="G126" s="545"/>
      <c r="H126" s="510"/>
      <c r="I126" s="513"/>
      <c r="J126" s="513"/>
    </row>
    <row r="127" spans="1:10" x14ac:dyDescent="0.25">
      <c r="A127" s="521"/>
      <c r="B127" s="513"/>
      <c r="C127" s="513"/>
      <c r="D127" s="514"/>
      <c r="E127" s="508"/>
      <c r="F127" s="544"/>
      <c r="G127" s="545"/>
      <c r="H127" s="510"/>
      <c r="I127" s="513"/>
      <c r="J127" s="513"/>
    </row>
    <row r="128" spans="1:10" x14ac:dyDescent="0.25">
      <c r="A128" s="521"/>
      <c r="B128" s="513"/>
      <c r="C128" s="513"/>
      <c r="D128" s="514"/>
      <c r="E128" s="508"/>
      <c r="F128" s="544"/>
      <c r="G128" s="545"/>
      <c r="H128" s="510"/>
      <c r="I128" s="513"/>
      <c r="J128" s="513"/>
    </row>
    <row r="129" spans="1:11" x14ac:dyDescent="0.25">
      <c r="A129" s="521"/>
      <c r="B129" s="513"/>
      <c r="C129" s="513"/>
      <c r="D129" s="514"/>
      <c r="E129" s="508"/>
      <c r="F129" s="544"/>
      <c r="G129" s="545"/>
      <c r="H129" s="510"/>
      <c r="I129" s="513"/>
      <c r="J129" s="513"/>
    </row>
    <row r="130" spans="1:11" x14ac:dyDescent="0.25">
      <c r="A130" s="521"/>
      <c r="B130" s="513"/>
      <c r="C130" s="513"/>
      <c r="D130" s="514"/>
      <c r="E130" s="508"/>
      <c r="F130" s="544"/>
      <c r="G130" s="545"/>
      <c r="H130" s="510"/>
      <c r="I130" s="513"/>
      <c r="J130" s="513"/>
    </row>
    <row r="131" spans="1:11" x14ac:dyDescent="0.25">
      <c r="A131" s="521"/>
      <c r="B131" s="513"/>
      <c r="C131" s="513"/>
      <c r="D131" s="514"/>
      <c r="E131" s="508"/>
      <c r="F131" s="544"/>
      <c r="G131" s="545"/>
      <c r="H131" s="510"/>
      <c r="I131" s="513"/>
      <c r="J131" s="513"/>
    </row>
    <row r="132" spans="1:11" x14ac:dyDescent="0.25">
      <c r="A132" s="521"/>
      <c r="B132" s="513"/>
      <c r="C132" s="513"/>
      <c r="D132" s="514"/>
      <c r="E132" s="508"/>
      <c r="F132" s="544"/>
      <c r="G132" s="545"/>
      <c r="H132" s="510"/>
      <c r="I132" s="513"/>
      <c r="J132" s="513"/>
    </row>
    <row r="133" spans="1:11" x14ac:dyDescent="0.25">
      <c r="K133">
        <f ca="1">K10:K133</f>
        <v>0</v>
      </c>
    </row>
    <row r="134" spans="1:11" ht="24" customHeight="1" x14ac:dyDescent="0.35">
      <c r="A134" s="294"/>
      <c r="B134" s="713" t="s">
        <v>988</v>
      </c>
      <c r="C134" s="713"/>
      <c r="D134" s="713"/>
      <c r="E134" s="713"/>
      <c r="F134" s="713"/>
      <c r="G134" s="713"/>
      <c r="H134" s="713"/>
      <c r="I134" s="713"/>
      <c r="J134" s="713"/>
      <c r="K134" s="713"/>
    </row>
    <row r="135" spans="1:11" ht="56.25" x14ac:dyDescent="0.3">
      <c r="A135" s="273" t="s">
        <v>68</v>
      </c>
      <c r="B135" s="273" t="s">
        <v>431</v>
      </c>
      <c r="C135" s="612" t="s">
        <v>1576</v>
      </c>
      <c r="D135" s="456" t="s">
        <v>1577</v>
      </c>
      <c r="E135" s="456" t="s">
        <v>1290</v>
      </c>
      <c r="F135" s="273" t="s">
        <v>68</v>
      </c>
      <c r="G135" s="273"/>
      <c r="H135" s="273" t="s">
        <v>431</v>
      </c>
      <c r="I135" s="273" t="s">
        <v>535</v>
      </c>
      <c r="J135" s="273" t="s">
        <v>989</v>
      </c>
      <c r="K135" s="273" t="s">
        <v>990</v>
      </c>
    </row>
    <row r="136" spans="1:11" x14ac:dyDescent="0.25">
      <c r="A136" s="286" t="s">
        <v>991</v>
      </c>
      <c r="B136" s="286">
        <v>3000</v>
      </c>
      <c r="C136" s="287">
        <v>2185.1</v>
      </c>
      <c r="D136" s="287">
        <v>2294.35</v>
      </c>
      <c r="E136" s="287" t="s">
        <v>1578</v>
      </c>
      <c r="F136" s="286" t="s">
        <v>991</v>
      </c>
      <c r="G136" s="286"/>
      <c r="H136" s="286">
        <v>3000</v>
      </c>
      <c r="I136" s="287">
        <v>2295.89</v>
      </c>
      <c r="J136" s="287">
        <v>2239.1</v>
      </c>
      <c r="K136" s="288" t="s">
        <v>992</v>
      </c>
    </row>
    <row r="137" spans="1:11" x14ac:dyDescent="0.25">
      <c r="A137" s="289" t="s">
        <v>991</v>
      </c>
      <c r="B137" s="289">
        <v>4500</v>
      </c>
      <c r="C137" s="290">
        <v>2359.61</v>
      </c>
      <c r="D137" s="290">
        <v>2477.59</v>
      </c>
      <c r="E137" s="290" t="s">
        <v>1581</v>
      </c>
      <c r="F137" s="289" t="s">
        <v>991</v>
      </c>
      <c r="G137" s="289"/>
      <c r="H137" s="289">
        <v>4000</v>
      </c>
      <c r="I137" s="290">
        <v>2382.91</v>
      </c>
      <c r="J137" s="290">
        <v>2312.35</v>
      </c>
      <c r="K137" s="291" t="s">
        <v>992</v>
      </c>
    </row>
    <row r="138" spans="1:11" x14ac:dyDescent="0.25">
      <c r="A138" s="283" t="s">
        <v>991</v>
      </c>
      <c r="B138" s="283">
        <v>5000</v>
      </c>
      <c r="C138" s="471">
        <v>2469.34</v>
      </c>
      <c r="D138" s="471">
        <v>2592.8000000000002</v>
      </c>
      <c r="E138" s="457" t="s">
        <v>6</v>
      </c>
      <c r="F138" s="283" t="s">
        <v>991</v>
      </c>
      <c r="G138" s="283"/>
      <c r="H138" s="283">
        <v>5000</v>
      </c>
      <c r="I138" s="284">
        <v>2494.13</v>
      </c>
      <c r="J138" s="284">
        <v>2620.13</v>
      </c>
      <c r="K138" s="285" t="s">
        <v>992</v>
      </c>
    </row>
    <row r="139" spans="1:11" x14ac:dyDescent="0.25">
      <c r="A139" s="286" t="s">
        <v>991</v>
      </c>
      <c r="B139" s="286">
        <v>6000</v>
      </c>
      <c r="C139" s="287">
        <v>2578.02</v>
      </c>
      <c r="D139" s="287">
        <v>2706.92</v>
      </c>
      <c r="E139" s="458" t="s">
        <v>6</v>
      </c>
      <c r="F139" s="286" t="s">
        <v>991</v>
      </c>
      <c r="G139" s="286"/>
      <c r="H139" s="286">
        <v>3000</v>
      </c>
      <c r="I139" s="287">
        <v>2353.0100000000002</v>
      </c>
      <c r="J139" s="287">
        <v>2607.08</v>
      </c>
      <c r="K139" s="288" t="s">
        <v>994</v>
      </c>
    </row>
    <row r="140" spans="1:11" x14ac:dyDescent="0.25">
      <c r="A140" s="289" t="s">
        <v>1179</v>
      </c>
      <c r="B140" s="289">
        <v>3000</v>
      </c>
      <c r="C140" s="290">
        <v>3344</v>
      </c>
      <c r="D140" s="290">
        <v>3511.2</v>
      </c>
      <c r="E140" s="290" t="s">
        <v>1579</v>
      </c>
      <c r="F140" s="289" t="s">
        <v>991</v>
      </c>
      <c r="G140" s="289"/>
      <c r="H140" s="289">
        <v>4000</v>
      </c>
      <c r="I140" s="290">
        <v>2443.06</v>
      </c>
      <c r="J140" s="290">
        <v>2433.31</v>
      </c>
      <c r="K140" s="291" t="s">
        <v>994</v>
      </c>
    </row>
    <row r="141" spans="1:11" x14ac:dyDescent="0.25">
      <c r="A141" s="283" t="s">
        <v>1179</v>
      </c>
      <c r="B141" s="283">
        <v>4500</v>
      </c>
      <c r="C141" s="284">
        <v>3611.52</v>
      </c>
      <c r="D141" s="284">
        <v>3792.09</v>
      </c>
      <c r="E141" s="284" t="s">
        <v>1583</v>
      </c>
      <c r="F141" s="283" t="s">
        <v>991</v>
      </c>
      <c r="G141" s="283"/>
      <c r="H141" s="283">
        <v>5000</v>
      </c>
      <c r="I141" s="284">
        <v>2555.9499999999998</v>
      </c>
      <c r="J141" s="284">
        <v>2528.4</v>
      </c>
      <c r="K141" s="285" t="s">
        <v>994</v>
      </c>
    </row>
    <row r="142" spans="1:11" x14ac:dyDescent="0.25">
      <c r="A142" s="286" t="s">
        <v>1179</v>
      </c>
      <c r="B142" s="286">
        <v>5000</v>
      </c>
      <c r="C142" s="287">
        <v>3778.72</v>
      </c>
      <c r="D142" s="287">
        <v>3967.66</v>
      </c>
      <c r="E142" s="458" t="s">
        <v>6</v>
      </c>
      <c r="F142" s="286" t="s">
        <v>991</v>
      </c>
      <c r="G142" s="286"/>
      <c r="H142" s="286">
        <v>3000</v>
      </c>
      <c r="I142" s="287">
        <v>2942.02</v>
      </c>
      <c r="J142" s="287">
        <v>3496.2</v>
      </c>
      <c r="K142" s="288" t="s">
        <v>995</v>
      </c>
    </row>
    <row r="143" spans="1:11" x14ac:dyDescent="0.25">
      <c r="A143" s="289" t="s">
        <v>1179</v>
      </c>
      <c r="B143" s="289">
        <v>6000</v>
      </c>
      <c r="C143" s="290">
        <v>3945.92</v>
      </c>
      <c r="D143" s="290">
        <v>4143.22</v>
      </c>
      <c r="E143" s="459" t="s">
        <v>6</v>
      </c>
      <c r="F143" s="289" t="s">
        <v>991</v>
      </c>
      <c r="G143" s="289"/>
      <c r="H143" s="289">
        <v>4000</v>
      </c>
      <c r="I143" s="290">
        <v>3264.91</v>
      </c>
      <c r="J143" s="290">
        <v>3724.22</v>
      </c>
      <c r="K143" s="291" t="s">
        <v>995</v>
      </c>
    </row>
    <row r="144" spans="1:11" x14ac:dyDescent="0.25">
      <c r="A144" s="283" t="s">
        <v>247</v>
      </c>
      <c r="B144" s="283">
        <v>3000</v>
      </c>
      <c r="C144" s="284">
        <v>6583.5</v>
      </c>
      <c r="D144" s="284">
        <v>6912.67</v>
      </c>
      <c r="E144" s="284" t="s">
        <v>1580</v>
      </c>
      <c r="F144" s="283" t="s">
        <v>991</v>
      </c>
      <c r="G144" s="283"/>
      <c r="H144" s="283">
        <v>5000</v>
      </c>
      <c r="I144" s="284">
        <v>3321.02</v>
      </c>
      <c r="J144" s="284">
        <v>3927.17</v>
      </c>
      <c r="K144" s="285" t="s">
        <v>995</v>
      </c>
    </row>
    <row r="145" spans="1:11" x14ac:dyDescent="0.25">
      <c r="A145" s="286" t="s">
        <v>247</v>
      </c>
      <c r="B145" s="286">
        <v>4500</v>
      </c>
      <c r="C145" s="287">
        <v>7110.18</v>
      </c>
      <c r="D145" s="287">
        <v>7465.69</v>
      </c>
      <c r="E145" s="287" t="s">
        <v>1582</v>
      </c>
      <c r="F145" s="286" t="s">
        <v>993</v>
      </c>
      <c r="G145" s="286"/>
      <c r="H145" s="286">
        <v>3000</v>
      </c>
      <c r="I145" s="287">
        <v>3379.15</v>
      </c>
      <c r="J145" s="287">
        <v>3879.79</v>
      </c>
      <c r="K145" s="288" t="s">
        <v>992</v>
      </c>
    </row>
    <row r="146" spans="1:11" x14ac:dyDescent="0.25">
      <c r="A146" s="289" t="s">
        <v>247</v>
      </c>
      <c r="B146" s="289">
        <v>5000</v>
      </c>
      <c r="C146" s="290">
        <v>7439.36</v>
      </c>
      <c r="D146" s="290">
        <v>7811.33</v>
      </c>
      <c r="E146" s="460" t="s">
        <v>6</v>
      </c>
      <c r="F146" s="289" t="s">
        <v>993</v>
      </c>
      <c r="G146" s="289"/>
      <c r="H146" s="289">
        <v>4000</v>
      </c>
      <c r="I146" s="290">
        <v>3520.94</v>
      </c>
      <c r="J146" s="290">
        <v>4021.58</v>
      </c>
      <c r="K146" s="291" t="s">
        <v>992</v>
      </c>
    </row>
    <row r="147" spans="1:11" x14ac:dyDescent="0.25">
      <c r="A147" s="283" t="s">
        <v>247</v>
      </c>
      <c r="B147" s="283">
        <v>6000</v>
      </c>
      <c r="C147" s="284">
        <v>7768.53</v>
      </c>
      <c r="D147" s="284">
        <v>8156.96</v>
      </c>
      <c r="E147" s="461" t="s">
        <v>6</v>
      </c>
      <c r="F147" s="283" t="s">
        <v>993</v>
      </c>
      <c r="G147" s="283"/>
      <c r="H147" s="283">
        <v>5000</v>
      </c>
      <c r="I147" s="284">
        <v>3701.04</v>
      </c>
      <c r="J147" s="284">
        <v>4201.68</v>
      </c>
      <c r="K147" s="285" t="s">
        <v>992</v>
      </c>
    </row>
    <row r="148" spans="1:11" x14ac:dyDescent="0.25">
      <c r="A148" s="286" t="s">
        <v>1444</v>
      </c>
      <c r="B148" s="286">
        <v>3000</v>
      </c>
      <c r="C148" s="287">
        <v>2810.01</v>
      </c>
      <c r="D148" s="287">
        <v>2919.56</v>
      </c>
      <c r="E148" s="431"/>
      <c r="F148" s="286" t="s">
        <v>993</v>
      </c>
      <c r="G148" s="286"/>
      <c r="H148" s="286">
        <v>3000</v>
      </c>
      <c r="I148" s="287">
        <v>3463.15</v>
      </c>
      <c r="J148" s="287">
        <v>3799.15</v>
      </c>
      <c r="K148" s="288" t="s">
        <v>994</v>
      </c>
    </row>
    <row r="149" spans="1:11" x14ac:dyDescent="0.25">
      <c r="A149" s="289" t="s">
        <v>1444</v>
      </c>
      <c r="B149" s="289">
        <v>4500</v>
      </c>
      <c r="C149" s="290">
        <v>3034.68</v>
      </c>
      <c r="D149" s="290">
        <v>3152.99</v>
      </c>
      <c r="E149" s="429"/>
      <c r="F149" s="289" t="s">
        <v>993</v>
      </c>
      <c r="G149" s="289"/>
      <c r="H149" s="289">
        <v>4000</v>
      </c>
      <c r="I149" s="290">
        <v>3608.98</v>
      </c>
      <c r="J149" s="290">
        <v>3944.98</v>
      </c>
      <c r="K149" s="291" t="s">
        <v>994</v>
      </c>
    </row>
    <row r="150" spans="1:11" x14ac:dyDescent="0.25">
      <c r="A150" s="283" t="s">
        <v>1444</v>
      </c>
      <c r="B150" s="283">
        <v>5000</v>
      </c>
      <c r="C150" s="471">
        <v>3175.76</v>
      </c>
      <c r="D150" s="471">
        <v>3299.57</v>
      </c>
      <c r="E150" s="429"/>
      <c r="F150" s="283" t="s">
        <v>993</v>
      </c>
      <c r="G150" s="283"/>
      <c r="H150" s="283">
        <v>5000</v>
      </c>
      <c r="I150" s="284">
        <v>3794.11</v>
      </c>
      <c r="J150" s="284">
        <v>4130.1099999999997</v>
      </c>
      <c r="K150" s="285" t="s">
        <v>994</v>
      </c>
    </row>
    <row r="151" spans="1:11" x14ac:dyDescent="0.25">
      <c r="A151" s="286" t="s">
        <v>1444</v>
      </c>
      <c r="B151" s="286">
        <v>6000</v>
      </c>
      <c r="C151" s="287">
        <v>3315.79</v>
      </c>
      <c r="D151" s="287">
        <v>3481.58</v>
      </c>
      <c r="E151" s="429"/>
      <c r="F151" s="286" t="s">
        <v>993</v>
      </c>
      <c r="G151" s="286"/>
      <c r="H151" s="286">
        <v>3000</v>
      </c>
      <c r="I151" s="287">
        <v>4360.9399999999996</v>
      </c>
      <c r="J151" s="287">
        <v>4926.1000000000004</v>
      </c>
      <c r="K151" s="288" t="s">
        <v>995</v>
      </c>
    </row>
    <row r="152" spans="1:11" x14ac:dyDescent="0.25">
      <c r="A152" s="283" t="s">
        <v>1501</v>
      </c>
      <c r="B152" s="283">
        <v>3000</v>
      </c>
      <c r="C152" s="284">
        <v>5530.14</v>
      </c>
      <c r="D152" s="284">
        <v>5688.85</v>
      </c>
      <c r="E152" s="61"/>
      <c r="F152" s="289" t="s">
        <v>993</v>
      </c>
      <c r="G152" s="289"/>
      <c r="H152" s="289">
        <v>4000</v>
      </c>
      <c r="I152" s="292">
        <v>4441.92</v>
      </c>
      <c r="J152" s="290">
        <v>5238.91</v>
      </c>
      <c r="K152" s="291" t="s">
        <v>995</v>
      </c>
    </row>
    <row r="153" spans="1:11" x14ac:dyDescent="0.25">
      <c r="A153" s="286" t="s">
        <v>1502</v>
      </c>
      <c r="B153" s="286">
        <v>4500</v>
      </c>
      <c r="C153" s="287">
        <v>5972.18</v>
      </c>
      <c r="D153" s="287">
        <v>6143.58</v>
      </c>
      <c r="E153" s="61"/>
      <c r="F153" s="283" t="s">
        <v>993</v>
      </c>
      <c r="G153" s="283"/>
      <c r="H153" s="283">
        <v>5000</v>
      </c>
      <c r="I153" s="293">
        <v>4793.04</v>
      </c>
      <c r="J153" s="284">
        <v>5491.92</v>
      </c>
      <c r="K153" s="285" t="s">
        <v>995</v>
      </c>
    </row>
    <row r="154" spans="1:11" x14ac:dyDescent="0.25">
      <c r="A154" s="289" t="s">
        <v>1502</v>
      </c>
      <c r="B154" s="289">
        <v>5000</v>
      </c>
      <c r="C154" s="290">
        <v>6249.1</v>
      </c>
      <c r="D154" s="290">
        <v>6428.45</v>
      </c>
      <c r="E154" s="61"/>
      <c r="F154" s="286" t="s">
        <v>32</v>
      </c>
      <c r="G154" s="286"/>
      <c r="H154" s="286">
        <v>3000</v>
      </c>
      <c r="I154" s="287">
        <v>8657.3799999999992</v>
      </c>
      <c r="J154" s="287">
        <v>9178.18</v>
      </c>
      <c r="K154" s="288" t="s">
        <v>992</v>
      </c>
    </row>
    <row r="155" spans="1:11" x14ac:dyDescent="0.25">
      <c r="A155" s="283" t="s">
        <v>1502</v>
      </c>
      <c r="B155" s="283">
        <v>6000</v>
      </c>
      <c r="C155" s="284">
        <v>6526.03</v>
      </c>
      <c r="D155" s="284">
        <v>6852.33</v>
      </c>
      <c r="E155" s="61"/>
      <c r="F155" s="289" t="s">
        <v>32</v>
      </c>
      <c r="G155" s="289"/>
      <c r="H155" s="289">
        <v>4000</v>
      </c>
      <c r="I155" s="290">
        <v>8879.4699999999993</v>
      </c>
      <c r="J155" s="290">
        <v>9400.27</v>
      </c>
      <c r="K155" s="291" t="s">
        <v>992</v>
      </c>
    </row>
    <row r="156" spans="1:11" x14ac:dyDescent="0.25">
      <c r="A156" s="282"/>
      <c r="B156" s="282"/>
      <c r="C156" s="429"/>
      <c r="D156" s="429"/>
      <c r="E156" s="61"/>
      <c r="F156" s="283" t="s">
        <v>32</v>
      </c>
      <c r="G156" s="283"/>
      <c r="H156" s="283">
        <v>5000</v>
      </c>
      <c r="I156" s="284">
        <v>9144.24</v>
      </c>
      <c r="J156" s="284">
        <v>9665.0400000000009</v>
      </c>
      <c r="K156" s="285" t="s">
        <v>992</v>
      </c>
    </row>
    <row r="157" spans="1:11" x14ac:dyDescent="0.25">
      <c r="A157" s="282"/>
      <c r="B157" s="282"/>
      <c r="C157" s="429"/>
      <c r="D157" s="429"/>
      <c r="E157" s="61"/>
      <c r="F157" s="286" t="s">
        <v>32</v>
      </c>
      <c r="G157" s="286"/>
      <c r="H157" s="286">
        <v>3000</v>
      </c>
      <c r="I157" s="287">
        <v>8866.3700000000008</v>
      </c>
      <c r="J157" s="287">
        <v>9588.77</v>
      </c>
      <c r="K157" s="288" t="s">
        <v>994</v>
      </c>
    </row>
    <row r="158" spans="1:11" x14ac:dyDescent="0.25">
      <c r="A158" s="282"/>
      <c r="B158" s="282"/>
      <c r="C158" s="429"/>
      <c r="D158" s="429"/>
      <c r="E158" s="61"/>
      <c r="F158" s="289" t="s">
        <v>32</v>
      </c>
      <c r="G158" s="289"/>
      <c r="H158" s="289">
        <v>4000</v>
      </c>
      <c r="I158" s="290">
        <v>9093.5</v>
      </c>
      <c r="J158" s="290">
        <v>9815.9</v>
      </c>
      <c r="K158" s="291" t="s">
        <v>994</v>
      </c>
    </row>
    <row r="159" spans="1:11" x14ac:dyDescent="0.25">
      <c r="A159" s="282"/>
      <c r="B159" s="282"/>
      <c r="C159" s="429"/>
      <c r="D159" s="429"/>
      <c r="E159" s="61"/>
      <c r="F159" s="283" t="s">
        <v>32</v>
      </c>
      <c r="G159" s="283"/>
      <c r="H159" s="283">
        <v>5000</v>
      </c>
      <c r="I159" s="284">
        <v>9365.33</v>
      </c>
      <c r="J159" s="284">
        <v>10087.73</v>
      </c>
      <c r="K159" s="285" t="s">
        <v>994</v>
      </c>
    </row>
    <row r="160" spans="1:11" x14ac:dyDescent="0.25">
      <c r="A160" s="282"/>
      <c r="B160" s="282"/>
      <c r="C160" s="429"/>
      <c r="D160" s="429"/>
      <c r="E160" s="61"/>
      <c r="F160" s="286" t="s">
        <v>32</v>
      </c>
      <c r="G160" s="286"/>
      <c r="H160" s="286">
        <v>3000</v>
      </c>
      <c r="I160" s="287">
        <v>9111.98</v>
      </c>
      <c r="J160" s="287">
        <v>10450.27</v>
      </c>
      <c r="K160" s="288" t="s">
        <v>995</v>
      </c>
    </row>
    <row r="161" spans="1:11" x14ac:dyDescent="0.25">
      <c r="A161" s="282"/>
      <c r="B161" s="282"/>
      <c r="C161" s="429"/>
      <c r="D161" s="429"/>
      <c r="E161" s="61"/>
      <c r="F161" s="289" t="s">
        <v>32</v>
      </c>
      <c r="G161" s="289"/>
      <c r="H161" s="289">
        <v>4000</v>
      </c>
      <c r="I161" s="290">
        <v>9558.86</v>
      </c>
      <c r="J161" s="290">
        <v>11082.29</v>
      </c>
      <c r="K161" s="291" t="s">
        <v>995</v>
      </c>
    </row>
    <row r="162" spans="1:11" x14ac:dyDescent="0.25">
      <c r="A162" s="282"/>
      <c r="B162" s="282"/>
      <c r="C162" s="429"/>
      <c r="D162" s="429"/>
      <c r="E162" s="61"/>
      <c r="F162" s="283" t="s">
        <v>32</v>
      </c>
      <c r="G162" s="283"/>
      <c r="H162" s="283">
        <v>5000</v>
      </c>
      <c r="I162" s="284">
        <v>10490.93</v>
      </c>
      <c r="J162" s="284">
        <v>11577.55</v>
      </c>
      <c r="K162" s="285" t="s">
        <v>995</v>
      </c>
    </row>
    <row r="163" spans="1:11" ht="15.75" thickBot="1" x14ac:dyDescent="0.3">
      <c r="A163" s="430"/>
      <c r="B163" s="430"/>
      <c r="C163" s="430"/>
      <c r="D163" s="430"/>
    </row>
    <row r="164" spans="1:11" x14ac:dyDescent="0.25">
      <c r="A164" s="301" t="s">
        <v>997</v>
      </c>
      <c r="B164" s="302"/>
      <c r="C164" s="302"/>
      <c r="D164" s="302"/>
      <c r="E164" s="302"/>
      <c r="F164" s="303"/>
      <c r="G164" s="615"/>
    </row>
    <row r="165" spans="1:11" ht="15.75" thickBot="1" x14ac:dyDescent="0.3">
      <c r="A165" s="304" t="s">
        <v>996</v>
      </c>
      <c r="B165" s="305"/>
      <c r="C165" s="305"/>
      <c r="D165" s="305"/>
      <c r="E165" s="305"/>
      <c r="F165" s="306"/>
      <c r="G165" s="616"/>
      <c r="H165" s="281"/>
    </row>
  </sheetData>
  <autoFilter ref="A2:J162" xr:uid="{00000000-0009-0000-0000-000002000000}">
    <filterColumn colId="9">
      <filters blank="1">
        <filter val="OK"/>
        <filter val="PROTEÇÃO"/>
        <filter val="R$ 10.087,73"/>
        <filter val="R$ 10.450,27"/>
        <filter val="R$ 11.082,29"/>
        <filter val="R$ 11.577,55"/>
        <filter val="R$ 2.239,10"/>
        <filter val="R$ 2.312,35"/>
        <filter val="R$ 2.433,31"/>
        <filter val="R$ 2.528,40"/>
        <filter val="R$ 2.607,08"/>
        <filter val="R$ 2.620,13"/>
        <filter val="R$ 3.496,20"/>
        <filter val="R$ 3.724,22"/>
        <filter val="R$ 3.799,15"/>
        <filter val="R$ 3.879,79"/>
        <filter val="R$ 3.927,17"/>
        <filter val="R$ 3.944,98"/>
        <filter val="R$ 4.021,58"/>
        <filter val="R$ 4.130,11"/>
        <filter val="R$ 4.201,68"/>
        <filter val="R$ 4.926,10"/>
        <filter val="R$ 5.238,91"/>
        <filter val="R$ 5.491,92"/>
        <filter val="R$ 9.178,18"/>
        <filter val="R$ 9.400,27"/>
        <filter val="R$ 9.588,77"/>
        <filter val="R$ 9.665,04"/>
        <filter val="R$ 9.815,90"/>
        <filter val="Valor conforme contrato"/>
      </filters>
    </filterColumn>
  </autoFilter>
  <mergeCells count="2">
    <mergeCell ref="B1:J1"/>
    <mergeCell ref="B134:K134"/>
  </mergeCells>
  <pageMargins left="0.511811024" right="0.511811024" top="0.78740157499999996" bottom="0.78740157499999996" header="0.31496062000000002" footer="0.31496062000000002"/>
  <pageSetup paperSize="9" orientation="portrait"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85"/>
  <sheetViews>
    <sheetView showGridLines="0" zoomScale="75" zoomScaleNormal="75" workbookViewId="0">
      <pane xSplit="2" ySplit="2" topLeftCell="G122" activePane="bottomRight" state="frozen"/>
      <selection activeCell="F9" sqref="F9"/>
      <selection pane="topRight" activeCell="F9" sqref="F9"/>
      <selection pane="bottomLeft" activeCell="F9" sqref="F9"/>
      <selection pane="bottomRight" activeCell="N175" sqref="N175"/>
    </sheetView>
  </sheetViews>
  <sheetFormatPr defaultColWidth="9.140625" defaultRowHeight="33.75" customHeight="1" x14ac:dyDescent="0.25"/>
  <cols>
    <col min="1" max="1" width="16.7109375" style="137" bestFit="1" customWidth="1"/>
    <col min="2" max="2" width="14.42578125" style="137" bestFit="1" customWidth="1"/>
    <col min="3" max="3" width="14.85546875" style="137" bestFit="1" customWidth="1"/>
    <col min="4" max="4" width="14.85546875" style="137" customWidth="1"/>
    <col min="5" max="5" width="20.85546875" style="137" customWidth="1"/>
    <col min="6" max="6" width="19.7109375" style="137" customWidth="1"/>
    <col min="7" max="7" width="20.85546875" style="137" customWidth="1"/>
    <col min="8" max="9" width="19.140625" style="137" customWidth="1"/>
    <col min="10" max="10" width="26.42578125" style="137" bestFit="1" customWidth="1"/>
    <col min="11" max="11" width="27.5703125" style="137" customWidth="1"/>
    <col min="12" max="12" width="25.28515625" style="137" bestFit="1" customWidth="1"/>
    <col min="13" max="13" width="78.28515625" style="137" bestFit="1" customWidth="1"/>
    <col min="14" max="14" width="28.140625" style="137" customWidth="1"/>
    <col min="15" max="15" width="81" style="137" bestFit="1" customWidth="1"/>
    <col min="16" max="16384" width="9.140625" style="137"/>
  </cols>
  <sheetData>
    <row r="1" spans="1:15" ht="81" customHeight="1" x14ac:dyDescent="0.25">
      <c r="A1" s="715"/>
      <c r="B1" s="715"/>
      <c r="C1" s="714" t="s">
        <v>949</v>
      </c>
      <c r="D1" s="714"/>
      <c r="E1" s="714"/>
      <c r="F1" s="714"/>
      <c r="G1" s="714"/>
      <c r="H1" s="714"/>
      <c r="I1" s="714"/>
      <c r="J1" s="714"/>
      <c r="K1" s="714"/>
      <c r="L1" s="714"/>
      <c r="M1" s="714"/>
      <c r="N1" s="714"/>
      <c r="O1" s="714"/>
    </row>
    <row r="2" spans="1:15" ht="33.75" customHeight="1" x14ac:dyDescent="0.25">
      <c r="A2" s="247" t="s">
        <v>547</v>
      </c>
      <c r="B2" s="247" t="s">
        <v>0</v>
      </c>
      <c r="C2" s="247" t="s">
        <v>1</v>
      </c>
      <c r="D2" s="247" t="s">
        <v>1436</v>
      </c>
      <c r="E2" s="247" t="s">
        <v>571</v>
      </c>
      <c r="F2" s="247" t="s">
        <v>572</v>
      </c>
      <c r="G2" s="247" t="s">
        <v>571</v>
      </c>
      <c r="H2" s="247" t="s">
        <v>572</v>
      </c>
      <c r="I2" s="247" t="s">
        <v>950</v>
      </c>
      <c r="J2" s="247" t="s">
        <v>548</v>
      </c>
      <c r="K2" s="247" t="s">
        <v>2</v>
      </c>
      <c r="L2" s="247" t="s">
        <v>3</v>
      </c>
      <c r="M2" s="247" t="s">
        <v>549</v>
      </c>
      <c r="N2" s="247" t="s">
        <v>573</v>
      </c>
      <c r="O2" s="247" t="s">
        <v>4</v>
      </c>
    </row>
    <row r="3" spans="1:15" ht="33.75" customHeight="1" x14ac:dyDescent="0.25">
      <c r="A3" s="248">
        <v>42668</v>
      </c>
      <c r="B3" s="246" t="s">
        <v>574</v>
      </c>
      <c r="C3" s="246" t="s">
        <v>5</v>
      </c>
      <c r="D3" s="246"/>
      <c r="E3" s="246" t="s">
        <v>6</v>
      </c>
      <c r="F3" s="246" t="s">
        <v>6</v>
      </c>
      <c r="G3" s="246"/>
      <c r="H3" s="246"/>
      <c r="I3" s="246"/>
      <c r="J3" s="246" t="s">
        <v>575</v>
      </c>
      <c r="K3" s="246" t="s">
        <v>576</v>
      </c>
      <c r="L3" s="249">
        <v>16020</v>
      </c>
      <c r="M3" s="249"/>
      <c r="N3" s="248">
        <v>42669</v>
      </c>
      <c r="O3" s="275"/>
    </row>
    <row r="4" spans="1:15" ht="33.75" customHeight="1" x14ac:dyDescent="0.25">
      <c r="A4" s="248">
        <v>42713</v>
      </c>
      <c r="B4" s="246" t="s">
        <v>577</v>
      </c>
      <c r="C4" s="246" t="s">
        <v>5</v>
      </c>
      <c r="D4" s="246"/>
      <c r="E4" s="246" t="s">
        <v>6</v>
      </c>
      <c r="F4" s="246" t="s">
        <v>6</v>
      </c>
      <c r="G4" s="246"/>
      <c r="H4" s="246"/>
      <c r="I4" s="246"/>
      <c r="J4" s="246" t="s">
        <v>578</v>
      </c>
      <c r="K4" s="246" t="s">
        <v>576</v>
      </c>
      <c r="L4" s="249">
        <v>16023</v>
      </c>
      <c r="M4" s="249"/>
      <c r="N4" s="248" t="s">
        <v>579</v>
      </c>
      <c r="O4" s="275" t="s">
        <v>580</v>
      </c>
    </row>
    <row r="5" spans="1:15" ht="33.75" customHeight="1" x14ac:dyDescent="0.25">
      <c r="A5" s="248">
        <v>42821</v>
      </c>
      <c r="B5" s="246" t="s">
        <v>581</v>
      </c>
      <c r="C5" s="246" t="s">
        <v>5</v>
      </c>
      <c r="D5" s="246"/>
      <c r="E5" s="246" t="s">
        <v>6</v>
      </c>
      <c r="F5" s="246" t="s">
        <v>6</v>
      </c>
      <c r="G5" s="246"/>
      <c r="H5" s="246"/>
      <c r="I5" s="246"/>
      <c r="J5" s="246" t="s">
        <v>582</v>
      </c>
      <c r="K5" s="246" t="s">
        <v>576</v>
      </c>
      <c r="L5" s="249" t="s">
        <v>583</v>
      </c>
      <c r="M5" s="249"/>
      <c r="N5" s="248">
        <v>42831</v>
      </c>
      <c r="O5" s="275" t="s">
        <v>584</v>
      </c>
    </row>
    <row r="6" spans="1:15" ht="33.75" customHeight="1" x14ac:dyDescent="0.25">
      <c r="A6" s="248">
        <v>42940</v>
      </c>
      <c r="B6" s="246" t="s">
        <v>585</v>
      </c>
      <c r="C6" s="246" t="s">
        <v>5</v>
      </c>
      <c r="D6" s="246"/>
      <c r="E6" s="246" t="s">
        <v>6</v>
      </c>
      <c r="F6" s="246" t="s">
        <v>6</v>
      </c>
      <c r="G6" s="246"/>
      <c r="H6" s="246"/>
      <c r="I6" s="246"/>
      <c r="J6" s="246" t="s">
        <v>586</v>
      </c>
      <c r="K6" s="246" t="s">
        <v>576</v>
      </c>
      <c r="L6" s="246" t="s">
        <v>583</v>
      </c>
      <c r="M6" s="246"/>
      <c r="N6" s="248">
        <v>42951</v>
      </c>
      <c r="O6" s="275" t="s">
        <v>587</v>
      </c>
    </row>
    <row r="7" spans="1:15" ht="33.75" customHeight="1" x14ac:dyDescent="0.25">
      <c r="A7" s="248">
        <v>43046</v>
      </c>
      <c r="B7" s="246" t="s">
        <v>577</v>
      </c>
      <c r="C7" s="246" t="s">
        <v>5</v>
      </c>
      <c r="D7" s="246"/>
      <c r="E7" s="246" t="s">
        <v>6</v>
      </c>
      <c r="F7" s="246" t="s">
        <v>6</v>
      </c>
      <c r="G7" s="246"/>
      <c r="H7" s="246"/>
      <c r="I7" s="246"/>
      <c r="J7" s="246" t="s">
        <v>586</v>
      </c>
      <c r="K7" s="246" t="s">
        <v>576</v>
      </c>
      <c r="L7" s="246" t="s">
        <v>588</v>
      </c>
      <c r="M7" s="246"/>
      <c r="N7" s="248">
        <v>43052</v>
      </c>
      <c r="O7" s="275" t="s">
        <v>589</v>
      </c>
    </row>
    <row r="8" spans="1:15" ht="33.75" customHeight="1" x14ac:dyDescent="0.25">
      <c r="A8" s="248">
        <v>43111</v>
      </c>
      <c r="B8" s="246" t="s">
        <v>581</v>
      </c>
      <c r="C8" s="246" t="s">
        <v>590</v>
      </c>
      <c r="D8" s="246"/>
      <c r="E8" s="246" t="s">
        <v>6</v>
      </c>
      <c r="F8" s="246" t="s">
        <v>6</v>
      </c>
      <c r="G8" s="246"/>
      <c r="H8" s="246"/>
      <c r="I8" s="246" t="s">
        <v>951</v>
      </c>
      <c r="J8" s="246" t="s">
        <v>586</v>
      </c>
      <c r="K8" s="246" t="s">
        <v>576</v>
      </c>
      <c r="L8" s="249">
        <v>18001</v>
      </c>
      <c r="M8" s="249" t="s">
        <v>552</v>
      </c>
      <c r="N8" s="248">
        <v>43126</v>
      </c>
      <c r="O8" s="275" t="s">
        <v>591</v>
      </c>
    </row>
    <row r="9" spans="1:15" ht="33.75" customHeight="1" x14ac:dyDescent="0.25">
      <c r="A9" s="248">
        <v>43154</v>
      </c>
      <c r="B9" s="246" t="s">
        <v>592</v>
      </c>
      <c r="C9" s="246" t="s">
        <v>593</v>
      </c>
      <c r="D9" s="246"/>
      <c r="E9" s="246" t="s">
        <v>6</v>
      </c>
      <c r="F9" s="246" t="s">
        <v>6</v>
      </c>
      <c r="G9" s="246"/>
      <c r="H9" s="246"/>
      <c r="I9" s="246"/>
      <c r="J9" s="246" t="s">
        <v>586</v>
      </c>
      <c r="K9" s="246" t="s">
        <v>576</v>
      </c>
      <c r="L9" s="249">
        <v>18006</v>
      </c>
      <c r="M9" s="249"/>
      <c r="N9" s="280">
        <v>43175</v>
      </c>
      <c r="O9" s="275" t="s">
        <v>594</v>
      </c>
    </row>
    <row r="10" spans="1:15" ht="33.75" customHeight="1" x14ac:dyDescent="0.25">
      <c r="A10" s="248">
        <v>43222</v>
      </c>
      <c r="B10" s="246" t="s">
        <v>595</v>
      </c>
      <c r="C10" s="246" t="s">
        <v>7</v>
      </c>
      <c r="D10" s="246"/>
      <c r="E10" s="246" t="s">
        <v>6</v>
      </c>
      <c r="F10" s="246" t="s">
        <v>6</v>
      </c>
      <c r="G10" s="246"/>
      <c r="H10" s="246"/>
      <c r="I10" s="246"/>
      <c r="J10" s="246" t="s">
        <v>596</v>
      </c>
      <c r="K10" s="246" t="s">
        <v>576</v>
      </c>
      <c r="L10" s="249">
        <v>18011</v>
      </c>
      <c r="M10" s="249"/>
      <c r="N10" s="248">
        <v>43224</v>
      </c>
      <c r="O10" s="275" t="s">
        <v>597</v>
      </c>
    </row>
    <row r="11" spans="1:15" ht="33.75" customHeight="1" x14ac:dyDescent="0.25">
      <c r="A11" s="248">
        <v>43279</v>
      </c>
      <c r="B11" s="246" t="s">
        <v>598</v>
      </c>
      <c r="C11" s="246" t="s">
        <v>7</v>
      </c>
      <c r="D11" s="246"/>
      <c r="E11" s="246" t="s">
        <v>6</v>
      </c>
      <c r="F11" s="246" t="s">
        <v>6</v>
      </c>
      <c r="G11" s="246"/>
      <c r="H11" s="246"/>
      <c r="I11" s="246"/>
      <c r="J11" s="246" t="s">
        <v>586</v>
      </c>
      <c r="K11" s="246" t="s">
        <v>8</v>
      </c>
      <c r="L11" s="249">
        <v>18014</v>
      </c>
      <c r="M11" s="249"/>
      <c r="N11" s="248">
        <v>43279</v>
      </c>
      <c r="O11" s="275" t="s">
        <v>599</v>
      </c>
    </row>
    <row r="12" spans="1:15" ht="33.75" customHeight="1" x14ac:dyDescent="0.25">
      <c r="A12" s="248">
        <v>43286</v>
      </c>
      <c r="B12" s="246" t="s">
        <v>600</v>
      </c>
      <c r="C12" s="246" t="s">
        <v>601</v>
      </c>
      <c r="D12" s="246"/>
      <c r="E12" s="246" t="s">
        <v>6</v>
      </c>
      <c r="F12" s="246" t="s">
        <v>6</v>
      </c>
      <c r="G12" s="246"/>
      <c r="H12" s="246"/>
      <c r="I12" s="246"/>
      <c r="J12" s="246" t="s">
        <v>586</v>
      </c>
      <c r="K12" s="246" t="s">
        <v>8</v>
      </c>
      <c r="L12" s="249">
        <v>18015</v>
      </c>
      <c r="M12" s="249"/>
      <c r="N12" s="248">
        <v>43286</v>
      </c>
      <c r="O12" s="275" t="s">
        <v>602</v>
      </c>
    </row>
    <row r="13" spans="1:15" ht="33.75" customHeight="1" x14ac:dyDescent="0.25">
      <c r="A13" s="248">
        <v>43296</v>
      </c>
      <c r="B13" s="246" t="s">
        <v>603</v>
      </c>
      <c r="C13" s="246" t="s">
        <v>590</v>
      </c>
      <c r="D13" s="246"/>
      <c r="E13" s="246" t="s">
        <v>6</v>
      </c>
      <c r="F13" s="246" t="s">
        <v>6</v>
      </c>
      <c r="G13" s="246"/>
      <c r="H13" s="246"/>
      <c r="I13" s="246" t="s">
        <v>951</v>
      </c>
      <c r="J13" s="246" t="s">
        <v>586</v>
      </c>
      <c r="K13" s="246" t="s">
        <v>576</v>
      </c>
      <c r="L13" s="249" t="s">
        <v>604</v>
      </c>
      <c r="M13" s="249" t="s">
        <v>952</v>
      </c>
      <c r="N13" s="248">
        <v>43330</v>
      </c>
      <c r="O13" s="275" t="s">
        <v>605</v>
      </c>
    </row>
    <row r="14" spans="1:15" ht="33.75" customHeight="1" x14ac:dyDescent="0.25">
      <c r="A14" s="248">
        <v>43299</v>
      </c>
      <c r="B14" s="246" t="s">
        <v>606</v>
      </c>
      <c r="C14" s="246" t="s">
        <v>607</v>
      </c>
      <c r="D14" s="246"/>
      <c r="E14" s="246" t="s">
        <v>6</v>
      </c>
      <c r="F14" s="246" t="s">
        <v>6</v>
      </c>
      <c r="G14" s="246"/>
      <c r="H14" s="246"/>
      <c r="I14" s="246" t="s">
        <v>550</v>
      </c>
      <c r="J14" s="246" t="s">
        <v>586</v>
      </c>
      <c r="K14" s="246" t="s">
        <v>576</v>
      </c>
      <c r="L14" s="249">
        <v>18017</v>
      </c>
      <c r="M14" s="249" t="s">
        <v>953</v>
      </c>
      <c r="N14" s="248">
        <v>43363</v>
      </c>
      <c r="O14" s="275" t="s">
        <v>608</v>
      </c>
    </row>
    <row r="15" spans="1:15" ht="33.75" customHeight="1" x14ac:dyDescent="0.25">
      <c r="A15" s="248">
        <v>43346</v>
      </c>
      <c r="B15" s="246" t="s">
        <v>609</v>
      </c>
      <c r="C15" s="246" t="s">
        <v>610</v>
      </c>
      <c r="D15" s="246"/>
      <c r="E15" s="246" t="s">
        <v>6</v>
      </c>
      <c r="F15" s="246" t="s">
        <v>6</v>
      </c>
      <c r="G15" s="246"/>
      <c r="H15" s="246"/>
      <c r="I15" s="246"/>
      <c r="J15" s="246" t="s">
        <v>611</v>
      </c>
      <c r="K15" s="246" t="s">
        <v>8</v>
      </c>
      <c r="L15" s="249">
        <v>18020</v>
      </c>
      <c r="M15" s="249"/>
      <c r="N15" s="248">
        <v>43374</v>
      </c>
      <c r="O15" s="275"/>
    </row>
    <row r="16" spans="1:15" ht="33.75" customHeight="1" x14ac:dyDescent="0.25">
      <c r="A16" s="248">
        <v>43369</v>
      </c>
      <c r="B16" s="246" t="s">
        <v>612</v>
      </c>
      <c r="C16" s="246" t="s">
        <v>7</v>
      </c>
      <c r="D16" s="246"/>
      <c r="E16" s="246" t="s">
        <v>6</v>
      </c>
      <c r="F16" s="246" t="s">
        <v>6</v>
      </c>
      <c r="G16" s="246"/>
      <c r="H16" s="246"/>
      <c r="I16" s="246"/>
      <c r="J16" s="246" t="s">
        <v>586</v>
      </c>
      <c r="K16" s="246" t="s">
        <v>8</v>
      </c>
      <c r="L16" s="249">
        <v>18026</v>
      </c>
      <c r="M16" s="249"/>
      <c r="N16" s="248">
        <v>43370</v>
      </c>
      <c r="O16" s="275" t="s">
        <v>613</v>
      </c>
    </row>
    <row r="17" spans="1:15" ht="33.75" customHeight="1" x14ac:dyDescent="0.25">
      <c r="A17" s="248">
        <v>43377</v>
      </c>
      <c r="B17" s="246" t="s">
        <v>614</v>
      </c>
      <c r="C17" s="246" t="s">
        <v>9</v>
      </c>
      <c r="D17" s="246"/>
      <c r="E17" s="246" t="s">
        <v>6</v>
      </c>
      <c r="F17" s="246" t="s">
        <v>6</v>
      </c>
      <c r="G17" s="246"/>
      <c r="H17" s="246"/>
      <c r="I17" s="246"/>
      <c r="J17" s="246" t="s">
        <v>586</v>
      </c>
      <c r="K17" s="246" t="s">
        <v>8</v>
      </c>
      <c r="L17" s="249">
        <v>18026</v>
      </c>
      <c r="M17" s="249"/>
      <c r="N17" s="248">
        <v>43377</v>
      </c>
      <c r="O17" s="275" t="s">
        <v>615</v>
      </c>
    </row>
    <row r="18" spans="1:15" ht="33.75" customHeight="1" x14ac:dyDescent="0.25">
      <c r="A18" s="248">
        <v>43374</v>
      </c>
      <c r="B18" s="246" t="s">
        <v>616</v>
      </c>
      <c r="C18" s="246" t="s">
        <v>5</v>
      </c>
      <c r="D18" s="246"/>
      <c r="E18" s="246" t="s">
        <v>6</v>
      </c>
      <c r="F18" s="246" t="s">
        <v>6</v>
      </c>
      <c r="G18" s="246"/>
      <c r="H18" s="246"/>
      <c r="I18" s="246"/>
      <c r="J18" s="246" t="s">
        <v>10</v>
      </c>
      <c r="K18" s="246" t="s">
        <v>8</v>
      </c>
      <c r="L18" s="249">
        <v>18024</v>
      </c>
      <c r="M18" s="249"/>
      <c r="N18" s="248">
        <v>43414</v>
      </c>
      <c r="O18" s="275" t="s">
        <v>617</v>
      </c>
    </row>
    <row r="19" spans="1:15" ht="33.75" customHeight="1" x14ac:dyDescent="0.25">
      <c r="A19" s="248">
        <v>43374</v>
      </c>
      <c r="B19" s="246" t="s">
        <v>618</v>
      </c>
      <c r="C19" s="246" t="s">
        <v>5</v>
      </c>
      <c r="D19" s="246"/>
      <c r="E19" s="246" t="s">
        <v>6</v>
      </c>
      <c r="F19" s="246" t="s">
        <v>6</v>
      </c>
      <c r="G19" s="246"/>
      <c r="H19" s="246"/>
      <c r="I19" s="246"/>
      <c r="J19" s="246" t="s">
        <v>611</v>
      </c>
      <c r="K19" s="246" t="s">
        <v>8</v>
      </c>
      <c r="L19" s="249">
        <v>18024</v>
      </c>
      <c r="M19" s="249"/>
      <c r="N19" s="248">
        <v>43379</v>
      </c>
      <c r="O19" s="275" t="s">
        <v>619</v>
      </c>
    </row>
    <row r="20" spans="1:15" ht="33.75" customHeight="1" x14ac:dyDescent="0.25">
      <c r="A20" s="248">
        <v>43392</v>
      </c>
      <c r="B20" s="246" t="s">
        <v>620</v>
      </c>
      <c r="C20" s="246" t="s">
        <v>5</v>
      </c>
      <c r="D20" s="246"/>
      <c r="E20" s="246" t="s">
        <v>6</v>
      </c>
      <c r="F20" s="246" t="s">
        <v>6</v>
      </c>
      <c r="G20" s="246"/>
      <c r="H20" s="246"/>
      <c r="I20" s="246"/>
      <c r="J20" s="246" t="s">
        <v>621</v>
      </c>
      <c r="K20" s="246" t="s">
        <v>8</v>
      </c>
      <c r="L20" s="249">
        <v>18029</v>
      </c>
      <c r="M20" s="249"/>
      <c r="N20" s="248">
        <v>43409</v>
      </c>
      <c r="O20" s="275" t="s">
        <v>622</v>
      </c>
    </row>
    <row r="21" spans="1:15" ht="33.75" customHeight="1" x14ac:dyDescent="0.25">
      <c r="A21" s="248">
        <v>43396</v>
      </c>
      <c r="B21" s="246" t="s">
        <v>623</v>
      </c>
      <c r="C21" s="246" t="s">
        <v>11</v>
      </c>
      <c r="D21" s="246"/>
      <c r="E21" s="246" t="s">
        <v>6</v>
      </c>
      <c r="F21" s="246" t="s">
        <v>6</v>
      </c>
      <c r="G21" s="246"/>
      <c r="H21" s="246"/>
      <c r="I21" s="246" t="s">
        <v>550</v>
      </c>
      <c r="J21" s="246" t="s">
        <v>586</v>
      </c>
      <c r="K21" s="246" t="s">
        <v>624</v>
      </c>
      <c r="L21" s="249">
        <v>18031</v>
      </c>
      <c r="M21" s="249" t="s">
        <v>954</v>
      </c>
      <c r="N21" s="248">
        <v>43425</v>
      </c>
      <c r="O21" s="275" t="s">
        <v>625</v>
      </c>
    </row>
    <row r="22" spans="1:15" ht="33.75" customHeight="1" x14ac:dyDescent="0.25">
      <c r="A22" s="248">
        <v>43425</v>
      </c>
      <c r="B22" s="246" t="s">
        <v>626</v>
      </c>
      <c r="C22" s="246" t="s">
        <v>12</v>
      </c>
      <c r="D22" s="246"/>
      <c r="E22" s="246" t="s">
        <v>6</v>
      </c>
      <c r="F22" s="246" t="s">
        <v>6</v>
      </c>
      <c r="G22" s="246"/>
      <c r="H22" s="246"/>
      <c r="I22" s="246"/>
      <c r="J22" s="246" t="s">
        <v>621</v>
      </c>
      <c r="K22" s="246" t="s">
        <v>8</v>
      </c>
      <c r="L22" s="249">
        <v>18029</v>
      </c>
      <c r="M22" s="249"/>
      <c r="N22" s="248">
        <v>43430</v>
      </c>
      <c r="O22" s="275" t="s">
        <v>622</v>
      </c>
    </row>
    <row r="23" spans="1:15" ht="33.75" customHeight="1" x14ac:dyDescent="0.25">
      <c r="A23" s="248">
        <v>43443</v>
      </c>
      <c r="B23" s="246" t="s">
        <v>627</v>
      </c>
      <c r="C23" s="246" t="s">
        <v>12</v>
      </c>
      <c r="D23" s="246"/>
      <c r="E23" s="246" t="s">
        <v>6</v>
      </c>
      <c r="F23" s="246" t="s">
        <v>6</v>
      </c>
      <c r="G23" s="246"/>
      <c r="H23" s="246"/>
      <c r="I23" s="246"/>
      <c r="J23" s="246" t="s">
        <v>586</v>
      </c>
      <c r="K23" s="246" t="s">
        <v>8</v>
      </c>
      <c r="L23" s="249">
        <v>18033</v>
      </c>
      <c r="M23" s="249"/>
      <c r="N23" s="248">
        <v>43445</v>
      </c>
      <c r="O23" s="275" t="s">
        <v>615</v>
      </c>
    </row>
    <row r="24" spans="1:15" ht="33.75" customHeight="1" x14ac:dyDescent="0.25">
      <c r="A24" s="248">
        <v>43588</v>
      </c>
      <c r="B24" s="246" t="s">
        <v>628</v>
      </c>
      <c r="C24" s="246" t="s">
        <v>5</v>
      </c>
      <c r="D24" s="246"/>
      <c r="E24" s="248"/>
      <c r="F24" s="246"/>
      <c r="G24" s="246"/>
      <c r="H24" s="246"/>
      <c r="I24" s="246" t="s">
        <v>550</v>
      </c>
      <c r="J24" s="246" t="s">
        <v>551</v>
      </c>
      <c r="K24" s="246" t="s">
        <v>13</v>
      </c>
      <c r="L24" s="246" t="s">
        <v>629</v>
      </c>
      <c r="M24" s="246" t="s">
        <v>553</v>
      </c>
      <c r="N24" s="248">
        <v>43605</v>
      </c>
      <c r="O24" s="275" t="s">
        <v>630</v>
      </c>
    </row>
    <row r="25" spans="1:15" ht="33.75" customHeight="1" x14ac:dyDescent="0.25">
      <c r="A25" s="248">
        <v>43592</v>
      </c>
      <c r="B25" s="246" t="s">
        <v>631</v>
      </c>
      <c r="C25" s="246" t="s">
        <v>14</v>
      </c>
      <c r="D25" s="246"/>
      <c r="E25" s="248"/>
      <c r="F25" s="246"/>
      <c r="G25" s="246"/>
      <c r="H25" s="246"/>
      <c r="I25" s="246"/>
      <c r="J25" s="246" t="s">
        <v>632</v>
      </c>
      <c r="K25" s="246" t="s">
        <v>13</v>
      </c>
      <c r="L25" s="246" t="s">
        <v>633</v>
      </c>
      <c r="M25" s="246"/>
      <c r="N25" s="248">
        <v>43599</v>
      </c>
      <c r="O25" s="275" t="s">
        <v>634</v>
      </c>
    </row>
    <row r="26" spans="1:15" ht="33.75" customHeight="1" x14ac:dyDescent="0.25">
      <c r="A26" s="248">
        <v>43595</v>
      </c>
      <c r="B26" s="246" t="s">
        <v>631</v>
      </c>
      <c r="C26" s="246" t="s">
        <v>14</v>
      </c>
      <c r="D26" s="246"/>
      <c r="E26" s="248"/>
      <c r="F26" s="246"/>
      <c r="G26" s="246"/>
      <c r="H26" s="246"/>
      <c r="I26" s="246" t="s">
        <v>550</v>
      </c>
      <c r="J26" s="246" t="s">
        <v>635</v>
      </c>
      <c r="K26" s="246" t="s">
        <v>13</v>
      </c>
      <c r="L26" s="246" t="s">
        <v>955</v>
      </c>
      <c r="M26" s="246" t="s">
        <v>554</v>
      </c>
      <c r="N26" s="248">
        <v>43602</v>
      </c>
      <c r="O26" s="275"/>
    </row>
    <row r="27" spans="1:15" ht="33.75" customHeight="1" x14ac:dyDescent="0.25">
      <c r="A27" s="248">
        <v>43633</v>
      </c>
      <c r="B27" s="246" t="s">
        <v>631</v>
      </c>
      <c r="C27" s="246" t="s">
        <v>14</v>
      </c>
      <c r="D27" s="246"/>
      <c r="E27" s="248" t="s">
        <v>6</v>
      </c>
      <c r="F27" s="246" t="s">
        <v>6</v>
      </c>
      <c r="G27" s="246"/>
      <c r="H27" s="246"/>
      <c r="I27" s="246" t="s">
        <v>550</v>
      </c>
      <c r="J27" s="246" t="s">
        <v>635</v>
      </c>
      <c r="K27" s="246" t="s">
        <v>13</v>
      </c>
      <c r="L27" s="246" t="s">
        <v>636</v>
      </c>
      <c r="M27" s="246" t="s">
        <v>555</v>
      </c>
      <c r="N27" s="248">
        <v>43644</v>
      </c>
      <c r="O27" s="275" t="s">
        <v>637</v>
      </c>
    </row>
    <row r="28" spans="1:15" ht="33.75" customHeight="1" x14ac:dyDescent="0.25">
      <c r="A28" s="248">
        <v>43654</v>
      </c>
      <c r="B28" s="246" t="s">
        <v>628</v>
      </c>
      <c r="C28" s="246" t="s">
        <v>5</v>
      </c>
      <c r="D28" s="246"/>
      <c r="E28" s="248"/>
      <c r="F28" s="246"/>
      <c r="G28" s="246"/>
      <c r="H28" s="246"/>
      <c r="I28" s="246" t="s">
        <v>550</v>
      </c>
      <c r="J28" s="246" t="s">
        <v>638</v>
      </c>
      <c r="K28" s="246" t="s">
        <v>13</v>
      </c>
      <c r="L28" s="246" t="s">
        <v>639</v>
      </c>
      <c r="M28" s="246" t="s">
        <v>556</v>
      </c>
      <c r="N28" s="248">
        <v>43661</v>
      </c>
      <c r="O28" s="275" t="s">
        <v>640</v>
      </c>
    </row>
    <row r="29" spans="1:15" ht="33.75" customHeight="1" x14ac:dyDescent="0.25">
      <c r="A29" s="248">
        <v>43682</v>
      </c>
      <c r="B29" s="246" t="s">
        <v>628</v>
      </c>
      <c r="C29" s="246" t="s">
        <v>5</v>
      </c>
      <c r="D29" s="246"/>
      <c r="E29" s="248">
        <v>43698</v>
      </c>
      <c r="F29" s="246" t="s">
        <v>641</v>
      </c>
      <c r="G29" s="246"/>
      <c r="H29" s="246"/>
      <c r="I29" s="246" t="s">
        <v>550</v>
      </c>
      <c r="J29" s="246" t="s">
        <v>638</v>
      </c>
      <c r="K29" s="246" t="s">
        <v>13</v>
      </c>
      <c r="L29" s="246" t="s">
        <v>956</v>
      </c>
      <c r="M29" s="246" t="s">
        <v>557</v>
      </c>
      <c r="N29" s="248">
        <v>43706</v>
      </c>
      <c r="O29" s="275" t="s">
        <v>643</v>
      </c>
    </row>
    <row r="30" spans="1:15" ht="33.75" customHeight="1" x14ac:dyDescent="0.25">
      <c r="A30" s="248">
        <v>43683</v>
      </c>
      <c r="B30" s="246" t="s">
        <v>644</v>
      </c>
      <c r="C30" s="246" t="s">
        <v>645</v>
      </c>
      <c r="D30" s="246"/>
      <c r="E30" s="248"/>
      <c r="F30" s="246"/>
      <c r="G30" s="246"/>
      <c r="H30" s="246"/>
      <c r="I30" s="246"/>
      <c r="J30" s="246" t="s">
        <v>551</v>
      </c>
      <c r="K30" s="246" t="s">
        <v>13</v>
      </c>
      <c r="L30" s="246" t="s">
        <v>646</v>
      </c>
      <c r="M30" s="246"/>
      <c r="N30" s="248">
        <v>43704</v>
      </c>
      <c r="O30" s="275"/>
    </row>
    <row r="31" spans="1:15" ht="33.75" customHeight="1" x14ac:dyDescent="0.25">
      <c r="A31" s="248">
        <v>43717</v>
      </c>
      <c r="B31" s="246" t="s">
        <v>647</v>
      </c>
      <c r="C31" s="246" t="s">
        <v>601</v>
      </c>
      <c r="D31" s="246"/>
      <c r="E31" s="248" t="s">
        <v>6</v>
      </c>
      <c r="F31" s="246" t="s">
        <v>6</v>
      </c>
      <c r="G31" s="246"/>
      <c r="H31" s="246"/>
      <c r="I31" s="246"/>
      <c r="J31" s="246" t="s">
        <v>648</v>
      </c>
      <c r="K31" s="246" t="s">
        <v>8</v>
      </c>
      <c r="L31" s="246" t="s">
        <v>649</v>
      </c>
      <c r="M31" s="246"/>
      <c r="N31" s="248">
        <v>43728</v>
      </c>
      <c r="O31" s="275"/>
    </row>
    <row r="32" spans="1:15" ht="33.75" customHeight="1" x14ac:dyDescent="0.25">
      <c r="A32" s="248">
        <v>43742</v>
      </c>
      <c r="B32" s="246" t="s">
        <v>650</v>
      </c>
      <c r="C32" s="246" t="s">
        <v>11</v>
      </c>
      <c r="D32" s="246"/>
      <c r="E32" s="248"/>
      <c r="F32" s="246"/>
      <c r="G32" s="246"/>
      <c r="H32" s="246"/>
      <c r="I32" s="246"/>
      <c r="J32" s="246" t="s">
        <v>551</v>
      </c>
      <c r="K32" s="246" t="s">
        <v>13</v>
      </c>
      <c r="L32" s="246" t="s">
        <v>642</v>
      </c>
      <c r="M32" s="246"/>
      <c r="N32" s="248">
        <v>43754</v>
      </c>
      <c r="O32" s="275" t="s">
        <v>651</v>
      </c>
    </row>
    <row r="33" spans="1:15" ht="33.75" customHeight="1" x14ac:dyDescent="0.25">
      <c r="A33" s="248">
        <v>43612</v>
      </c>
      <c r="B33" s="246" t="s">
        <v>652</v>
      </c>
      <c r="C33" s="246" t="s">
        <v>11</v>
      </c>
      <c r="D33" s="246"/>
      <c r="E33" s="248">
        <v>43766</v>
      </c>
      <c r="F33" s="246" t="s">
        <v>653</v>
      </c>
      <c r="G33" s="246"/>
      <c r="H33" s="246"/>
      <c r="I33" s="246"/>
      <c r="J33" s="246" t="s">
        <v>654</v>
      </c>
      <c r="K33" s="246" t="s">
        <v>8</v>
      </c>
      <c r="L33" s="246" t="s">
        <v>655</v>
      </c>
      <c r="M33" s="246"/>
      <c r="N33" s="248">
        <v>43766</v>
      </c>
      <c r="O33" s="275" t="s">
        <v>656</v>
      </c>
    </row>
    <row r="34" spans="1:15" ht="33.75" customHeight="1" x14ac:dyDescent="0.25">
      <c r="A34" s="248">
        <v>43794</v>
      </c>
      <c r="B34" s="246" t="s">
        <v>657</v>
      </c>
      <c r="C34" s="246" t="s">
        <v>658</v>
      </c>
      <c r="D34" s="246"/>
      <c r="E34" s="248"/>
      <c r="F34" s="246"/>
      <c r="G34" s="246"/>
      <c r="H34" s="246"/>
      <c r="I34" s="246"/>
      <c r="J34" s="246" t="s">
        <v>638</v>
      </c>
      <c r="K34" s="246" t="s">
        <v>13</v>
      </c>
      <c r="L34" s="246" t="s">
        <v>659</v>
      </c>
      <c r="M34" s="246"/>
      <c r="N34" s="248"/>
      <c r="O34" s="275"/>
    </row>
    <row r="35" spans="1:15" ht="33.75" customHeight="1" x14ac:dyDescent="0.25">
      <c r="A35" s="248">
        <v>43809</v>
      </c>
      <c r="B35" s="246" t="s">
        <v>660</v>
      </c>
      <c r="C35" s="246" t="s">
        <v>12</v>
      </c>
      <c r="D35" s="246"/>
      <c r="E35" s="248"/>
      <c r="F35" s="246"/>
      <c r="G35" s="246"/>
      <c r="H35" s="246"/>
      <c r="I35" s="246"/>
      <c r="J35" s="246" t="s">
        <v>661</v>
      </c>
      <c r="K35" s="246" t="s">
        <v>8</v>
      </c>
      <c r="L35" s="246" t="s">
        <v>662</v>
      </c>
      <c r="M35" s="246"/>
      <c r="N35" s="248">
        <v>43813</v>
      </c>
      <c r="O35" s="275" t="s">
        <v>663</v>
      </c>
    </row>
    <row r="36" spans="1:15" ht="33.75" customHeight="1" x14ac:dyDescent="0.25">
      <c r="A36" s="248">
        <v>43836</v>
      </c>
      <c r="B36" s="246" t="s">
        <v>664</v>
      </c>
      <c r="C36" s="246" t="s">
        <v>665</v>
      </c>
      <c r="D36" s="246"/>
      <c r="E36" s="248"/>
      <c r="F36" s="246"/>
      <c r="G36" s="246"/>
      <c r="H36" s="246"/>
      <c r="I36" s="246"/>
      <c r="J36" s="246" t="s">
        <v>666</v>
      </c>
      <c r="K36" s="246" t="s">
        <v>13</v>
      </c>
      <c r="L36" s="246" t="s">
        <v>667</v>
      </c>
      <c r="M36" s="246"/>
      <c r="N36" s="248">
        <v>43847</v>
      </c>
      <c r="O36" s="246"/>
    </row>
    <row r="37" spans="1:15" ht="33.75" customHeight="1" x14ac:dyDescent="0.25">
      <c r="A37" s="248">
        <v>43846</v>
      </c>
      <c r="B37" s="246" t="s">
        <v>668</v>
      </c>
      <c r="C37" s="246" t="s">
        <v>14</v>
      </c>
      <c r="D37" s="246"/>
      <c r="E37" s="248"/>
      <c r="F37" s="246"/>
      <c r="G37" s="246"/>
      <c r="H37" s="246"/>
      <c r="I37" s="246" t="s">
        <v>550</v>
      </c>
      <c r="J37" s="246" t="s">
        <v>638</v>
      </c>
      <c r="K37" s="246" t="s">
        <v>13</v>
      </c>
      <c r="L37" s="246" t="s">
        <v>669</v>
      </c>
      <c r="M37" s="246" t="s">
        <v>558</v>
      </c>
      <c r="N37" s="248">
        <v>43908</v>
      </c>
      <c r="O37" s="246" t="s">
        <v>670</v>
      </c>
    </row>
    <row r="38" spans="1:15" ht="33.75" customHeight="1" x14ac:dyDescent="0.25">
      <c r="A38" s="248">
        <v>43860</v>
      </c>
      <c r="B38" s="246" t="s">
        <v>671</v>
      </c>
      <c r="C38" s="246" t="s">
        <v>5</v>
      </c>
      <c r="D38" s="246"/>
      <c r="E38" s="248"/>
      <c r="F38" s="246"/>
      <c r="G38" s="246"/>
      <c r="H38" s="246"/>
      <c r="I38" s="246"/>
      <c r="J38" s="246" t="s">
        <v>551</v>
      </c>
      <c r="K38" s="246" t="s">
        <v>8</v>
      </c>
      <c r="L38" s="246" t="s">
        <v>672</v>
      </c>
      <c r="M38" s="246"/>
      <c r="N38" s="248">
        <v>43902</v>
      </c>
      <c r="O38" s="246" t="s">
        <v>673</v>
      </c>
    </row>
    <row r="39" spans="1:15" ht="33.75" customHeight="1" x14ac:dyDescent="0.25">
      <c r="A39" s="248">
        <v>43860</v>
      </c>
      <c r="B39" s="246" t="s">
        <v>674</v>
      </c>
      <c r="C39" s="246" t="s">
        <v>5</v>
      </c>
      <c r="D39" s="246"/>
      <c r="E39" s="248"/>
      <c r="F39" s="246"/>
      <c r="G39" s="246"/>
      <c r="H39" s="246"/>
      <c r="I39" s="246"/>
      <c r="J39" s="246" t="s">
        <v>635</v>
      </c>
      <c r="K39" s="246" t="s">
        <v>8</v>
      </c>
      <c r="L39" s="246" t="s">
        <v>672</v>
      </c>
      <c r="M39" s="246"/>
      <c r="N39" s="248">
        <v>43901</v>
      </c>
      <c r="O39" s="246" t="s">
        <v>675</v>
      </c>
    </row>
    <row r="40" spans="1:15" ht="33.75" customHeight="1" x14ac:dyDescent="0.25">
      <c r="A40" s="248">
        <v>44021</v>
      </c>
      <c r="B40" s="246" t="s">
        <v>676</v>
      </c>
      <c r="C40" s="246" t="s">
        <v>658</v>
      </c>
      <c r="D40" s="246"/>
      <c r="E40" s="248"/>
      <c r="F40" s="246"/>
      <c r="G40" s="248"/>
      <c r="H40" s="246"/>
      <c r="I40" s="246"/>
      <c r="J40" s="246" t="s">
        <v>638</v>
      </c>
      <c r="K40" s="246" t="s">
        <v>13</v>
      </c>
      <c r="L40" s="246" t="s">
        <v>6</v>
      </c>
      <c r="M40" s="246"/>
      <c r="N40" s="248">
        <v>44022</v>
      </c>
      <c r="O40" s="246" t="s">
        <v>677</v>
      </c>
    </row>
    <row r="41" spans="1:15" ht="33.75" customHeight="1" x14ac:dyDescent="0.25">
      <c r="A41" s="248">
        <v>44025</v>
      </c>
      <c r="B41" s="246" t="s">
        <v>678</v>
      </c>
      <c r="C41" s="246" t="s">
        <v>5</v>
      </c>
      <c r="D41" s="246"/>
      <c r="E41" s="248"/>
      <c r="F41" s="246"/>
      <c r="G41" s="246"/>
      <c r="H41" s="246"/>
      <c r="I41" s="246"/>
      <c r="J41" s="246" t="s">
        <v>638</v>
      </c>
      <c r="K41" s="246" t="s">
        <v>13</v>
      </c>
      <c r="L41" s="249" t="s">
        <v>679</v>
      </c>
      <c r="M41" s="249"/>
      <c r="N41" s="248">
        <v>44049</v>
      </c>
      <c r="O41" s="246" t="s">
        <v>680</v>
      </c>
    </row>
    <row r="42" spans="1:15" ht="33.75" customHeight="1" x14ac:dyDescent="0.25">
      <c r="A42" s="248">
        <v>44074</v>
      </c>
      <c r="B42" s="246" t="s">
        <v>681</v>
      </c>
      <c r="C42" s="246" t="s">
        <v>12</v>
      </c>
      <c r="D42" s="246"/>
      <c r="E42" s="248"/>
      <c r="F42" s="246"/>
      <c r="G42" s="246"/>
      <c r="H42" s="246"/>
      <c r="I42" s="246"/>
      <c r="J42" s="246" t="s">
        <v>638</v>
      </c>
      <c r="K42" s="246" t="s">
        <v>13</v>
      </c>
      <c r="L42" s="249">
        <v>20019</v>
      </c>
      <c r="M42" s="249"/>
      <c r="N42" s="248">
        <v>44078</v>
      </c>
      <c r="O42" s="246"/>
    </row>
    <row r="43" spans="1:15" ht="33.75" customHeight="1" x14ac:dyDescent="0.25">
      <c r="A43" s="248">
        <v>44082</v>
      </c>
      <c r="B43" s="246" t="s">
        <v>682</v>
      </c>
      <c r="C43" s="246" t="s">
        <v>15</v>
      </c>
      <c r="D43" s="246"/>
      <c r="E43" s="248"/>
      <c r="F43" s="246"/>
      <c r="G43" s="246"/>
      <c r="H43" s="246"/>
      <c r="I43" s="246"/>
      <c r="J43" s="246" t="s">
        <v>638</v>
      </c>
      <c r="K43" s="246" t="s">
        <v>13</v>
      </c>
      <c r="L43" s="249" t="s">
        <v>683</v>
      </c>
      <c r="M43" s="249"/>
      <c r="N43" s="248">
        <v>44112</v>
      </c>
      <c r="O43" s="246"/>
    </row>
    <row r="44" spans="1:15" ht="33.75" customHeight="1" x14ac:dyDescent="0.25">
      <c r="A44" s="248">
        <v>44090</v>
      </c>
      <c r="B44" s="246" t="s">
        <v>684</v>
      </c>
      <c r="C44" s="246" t="s">
        <v>5</v>
      </c>
      <c r="D44" s="246"/>
      <c r="E44" s="248"/>
      <c r="F44" s="246"/>
      <c r="G44" s="246"/>
      <c r="H44" s="246"/>
      <c r="I44" s="246"/>
      <c r="J44" s="246" t="s">
        <v>685</v>
      </c>
      <c r="K44" s="246" t="s">
        <v>686</v>
      </c>
      <c r="L44" s="249">
        <v>20019</v>
      </c>
      <c r="M44" s="249" t="s">
        <v>560</v>
      </c>
      <c r="N44" s="248">
        <v>44099</v>
      </c>
      <c r="O44" s="246" t="s">
        <v>687</v>
      </c>
    </row>
    <row r="45" spans="1:15" ht="33.75" customHeight="1" x14ac:dyDescent="0.25">
      <c r="A45" s="248">
        <v>44090</v>
      </c>
      <c r="B45" s="246" t="s">
        <v>688</v>
      </c>
      <c r="C45" s="246" t="s">
        <v>7</v>
      </c>
      <c r="D45" s="246"/>
      <c r="E45" s="248"/>
      <c r="F45" s="246"/>
      <c r="G45" s="246"/>
      <c r="H45" s="246"/>
      <c r="I45" s="246"/>
      <c r="J45" s="246" t="s">
        <v>689</v>
      </c>
      <c r="K45" s="246" t="s">
        <v>8</v>
      </c>
      <c r="L45" s="249">
        <v>20017</v>
      </c>
      <c r="M45" s="249"/>
      <c r="N45" s="248">
        <v>44091</v>
      </c>
      <c r="O45" s="246"/>
    </row>
    <row r="46" spans="1:15" ht="33.75" customHeight="1" x14ac:dyDescent="0.25">
      <c r="A46" s="248">
        <v>44106</v>
      </c>
      <c r="B46" s="246" t="s">
        <v>690</v>
      </c>
      <c r="C46" s="246" t="s">
        <v>5</v>
      </c>
      <c r="D46" s="246"/>
      <c r="E46" s="248"/>
      <c r="F46" s="246"/>
      <c r="G46" s="246"/>
      <c r="H46" s="246"/>
      <c r="I46" s="246" t="s">
        <v>550</v>
      </c>
      <c r="J46" s="246" t="s">
        <v>691</v>
      </c>
      <c r="K46" s="246" t="s">
        <v>13</v>
      </c>
      <c r="L46" s="249" t="s">
        <v>692</v>
      </c>
      <c r="M46" s="249" t="s">
        <v>561</v>
      </c>
      <c r="N46" s="248"/>
      <c r="O46" s="246"/>
    </row>
    <row r="47" spans="1:15" ht="33.75" customHeight="1" x14ac:dyDescent="0.25">
      <c r="A47" s="248">
        <v>44118</v>
      </c>
      <c r="B47" s="246" t="s">
        <v>693</v>
      </c>
      <c r="C47" s="246" t="s">
        <v>7</v>
      </c>
      <c r="D47" s="246"/>
      <c r="E47" s="248"/>
      <c r="F47" s="246"/>
      <c r="G47" s="246"/>
      <c r="H47" s="246"/>
      <c r="I47" s="246"/>
      <c r="J47" s="246" t="s">
        <v>689</v>
      </c>
      <c r="K47" s="246" t="s">
        <v>8</v>
      </c>
      <c r="L47" s="249">
        <v>20017</v>
      </c>
      <c r="M47" s="249"/>
      <c r="N47" s="248">
        <v>44119</v>
      </c>
      <c r="O47" s="246"/>
    </row>
    <row r="48" spans="1:15" ht="33.75" customHeight="1" x14ac:dyDescent="0.25">
      <c r="A48" s="248">
        <v>44145</v>
      </c>
      <c r="B48" s="246" t="s">
        <v>694</v>
      </c>
      <c r="C48" s="246" t="s">
        <v>16</v>
      </c>
      <c r="D48" s="246"/>
      <c r="E48" s="248"/>
      <c r="F48" s="246"/>
      <c r="G48" s="246"/>
      <c r="H48" s="246"/>
      <c r="I48" s="246"/>
      <c r="J48" s="246" t="s">
        <v>689</v>
      </c>
      <c r="K48" s="246" t="s">
        <v>8</v>
      </c>
      <c r="L48" s="249">
        <v>20017</v>
      </c>
      <c r="M48" s="249"/>
      <c r="N48" s="248"/>
      <c r="O48" s="246"/>
    </row>
    <row r="49" spans="1:15" ht="33.75" customHeight="1" x14ac:dyDescent="0.25">
      <c r="A49" s="248">
        <v>44153</v>
      </c>
      <c r="B49" s="246" t="s">
        <v>17</v>
      </c>
      <c r="C49" s="246" t="s">
        <v>5</v>
      </c>
      <c r="D49" s="246"/>
      <c r="E49" s="248"/>
      <c r="F49" s="246"/>
      <c r="G49" s="246"/>
      <c r="H49" s="246"/>
      <c r="I49" s="246" t="s">
        <v>550</v>
      </c>
      <c r="J49" s="246" t="s">
        <v>635</v>
      </c>
      <c r="K49" s="246" t="s">
        <v>13</v>
      </c>
      <c r="L49" s="249" t="s">
        <v>695</v>
      </c>
      <c r="M49" s="249" t="s">
        <v>957</v>
      </c>
      <c r="N49" s="248">
        <v>44186</v>
      </c>
      <c r="O49" s="246"/>
    </row>
    <row r="50" spans="1:15" ht="33.75" customHeight="1" x14ac:dyDescent="0.25">
      <c r="A50" s="248">
        <v>44169</v>
      </c>
      <c r="B50" s="246" t="s">
        <v>696</v>
      </c>
      <c r="C50" s="246" t="s">
        <v>697</v>
      </c>
      <c r="D50" s="246"/>
      <c r="E50" s="248"/>
      <c r="F50" s="246"/>
      <c r="G50" s="246"/>
      <c r="H50" s="246"/>
      <c r="I50" s="246"/>
      <c r="J50" s="246" t="s">
        <v>685</v>
      </c>
      <c r="K50" s="246" t="s">
        <v>13</v>
      </c>
      <c r="L50" s="249"/>
      <c r="M50" s="249"/>
      <c r="N50" s="248">
        <v>44176</v>
      </c>
      <c r="O50" s="246"/>
    </row>
    <row r="51" spans="1:15" ht="33.75" customHeight="1" x14ac:dyDescent="0.25">
      <c r="A51" s="248">
        <v>44173</v>
      </c>
      <c r="B51" s="246" t="s">
        <v>698</v>
      </c>
      <c r="C51" s="246" t="s">
        <v>699</v>
      </c>
      <c r="D51" s="246"/>
      <c r="E51" s="248"/>
      <c r="F51" s="246"/>
      <c r="G51" s="246"/>
      <c r="H51" s="246"/>
      <c r="I51" s="246"/>
      <c r="J51" s="246" t="s">
        <v>689</v>
      </c>
      <c r="K51" s="246" t="s">
        <v>8</v>
      </c>
      <c r="L51" s="249">
        <v>20017</v>
      </c>
      <c r="M51" s="249"/>
      <c r="N51" s="248">
        <v>44175</v>
      </c>
      <c r="O51" s="246"/>
    </row>
    <row r="52" spans="1:15" ht="33.75" customHeight="1" x14ac:dyDescent="0.25">
      <c r="A52" s="248">
        <v>44208</v>
      </c>
      <c r="B52" s="246" t="s">
        <v>700</v>
      </c>
      <c r="C52" s="246" t="s">
        <v>701</v>
      </c>
      <c r="D52" s="246"/>
      <c r="E52" s="248"/>
      <c r="F52" s="246"/>
      <c r="G52" s="246"/>
      <c r="H52" s="246"/>
      <c r="I52" s="246"/>
      <c r="J52" s="246" t="s">
        <v>689</v>
      </c>
      <c r="K52" s="246" t="s">
        <v>8</v>
      </c>
      <c r="L52" s="249">
        <v>20017</v>
      </c>
      <c r="M52" s="249"/>
      <c r="N52" s="248">
        <v>44211</v>
      </c>
      <c r="O52" s="246"/>
    </row>
    <row r="53" spans="1:15" ht="33.75" customHeight="1" x14ac:dyDescent="0.25">
      <c r="A53" s="248">
        <v>44222</v>
      </c>
      <c r="B53" s="246" t="s">
        <v>702</v>
      </c>
      <c r="C53" s="246" t="s">
        <v>5</v>
      </c>
      <c r="D53" s="246"/>
      <c r="E53" s="246"/>
      <c r="F53" s="246" t="s">
        <v>703</v>
      </c>
      <c r="G53" s="246"/>
      <c r="H53" s="246"/>
      <c r="I53" s="246" t="s">
        <v>550</v>
      </c>
      <c r="J53" s="246" t="s">
        <v>704</v>
      </c>
      <c r="K53" s="246" t="s">
        <v>13</v>
      </c>
      <c r="L53" s="249">
        <v>21004</v>
      </c>
      <c r="M53" s="249" t="s">
        <v>562</v>
      </c>
      <c r="N53" s="248">
        <v>44303</v>
      </c>
      <c r="O53" s="246" t="s">
        <v>705</v>
      </c>
    </row>
    <row r="54" spans="1:15" ht="33.75" customHeight="1" x14ac:dyDescent="0.25">
      <c r="A54" s="248">
        <v>44236</v>
      </c>
      <c r="B54" s="246" t="s">
        <v>706</v>
      </c>
      <c r="C54" s="246" t="s">
        <v>86</v>
      </c>
      <c r="D54" s="246"/>
      <c r="E54" s="246"/>
      <c r="F54" s="246"/>
      <c r="G54" s="246"/>
      <c r="H54" s="246"/>
      <c r="I54" s="246"/>
      <c r="J54" s="246" t="s">
        <v>689</v>
      </c>
      <c r="K54" s="246" t="s">
        <v>8</v>
      </c>
      <c r="L54" s="249">
        <v>20017</v>
      </c>
      <c r="M54" s="249"/>
      <c r="N54" s="248"/>
      <c r="O54" s="246"/>
    </row>
    <row r="55" spans="1:15" ht="33.75" customHeight="1" x14ac:dyDescent="0.25">
      <c r="A55" s="248">
        <v>44241</v>
      </c>
      <c r="B55" s="246" t="s">
        <v>707</v>
      </c>
      <c r="C55" s="246" t="s">
        <v>5</v>
      </c>
      <c r="D55" s="246"/>
      <c r="E55" s="246"/>
      <c r="F55" s="246"/>
      <c r="G55" s="246"/>
      <c r="H55" s="246"/>
      <c r="I55" s="246"/>
      <c r="J55" s="246" t="s">
        <v>708</v>
      </c>
      <c r="K55" s="246" t="s">
        <v>13</v>
      </c>
      <c r="L55" s="249">
        <v>20005</v>
      </c>
      <c r="M55" s="249"/>
      <c r="N55" s="248">
        <v>44246</v>
      </c>
      <c r="O55" s="246"/>
    </row>
    <row r="56" spans="1:15" ht="33.75" customHeight="1" x14ac:dyDescent="0.25">
      <c r="A56" s="248">
        <v>44327</v>
      </c>
      <c r="B56" s="246" t="s">
        <v>709</v>
      </c>
      <c r="C56" s="246" t="s">
        <v>15</v>
      </c>
      <c r="D56" s="246"/>
      <c r="E56" s="246"/>
      <c r="F56" s="246"/>
      <c r="G56" s="246"/>
      <c r="H56" s="246"/>
      <c r="I56" s="246"/>
      <c r="J56" s="246" t="s">
        <v>710</v>
      </c>
      <c r="K56" s="246" t="s">
        <v>8</v>
      </c>
      <c r="L56" s="246" t="s">
        <v>711</v>
      </c>
      <c r="M56" s="246"/>
      <c r="N56" s="248">
        <v>44340</v>
      </c>
      <c r="O56" s="246" t="s">
        <v>712</v>
      </c>
    </row>
    <row r="57" spans="1:15" ht="33.75" customHeight="1" x14ac:dyDescent="0.25">
      <c r="A57" s="248">
        <v>44328</v>
      </c>
      <c r="B57" s="246" t="s">
        <v>713</v>
      </c>
      <c r="C57" s="246" t="s">
        <v>5</v>
      </c>
      <c r="D57" s="246"/>
      <c r="E57" s="246"/>
      <c r="F57" s="246"/>
      <c r="G57" s="246"/>
      <c r="H57" s="246"/>
      <c r="I57" s="246" t="s">
        <v>550</v>
      </c>
      <c r="J57" s="246" t="s">
        <v>564</v>
      </c>
      <c r="K57" s="246" t="s">
        <v>714</v>
      </c>
      <c r="L57" s="246" t="s">
        <v>958</v>
      </c>
      <c r="M57" s="246" t="s">
        <v>565</v>
      </c>
      <c r="N57" s="248">
        <v>44358</v>
      </c>
      <c r="O57" s="246"/>
    </row>
    <row r="58" spans="1:15" ht="33.75" customHeight="1" x14ac:dyDescent="0.25">
      <c r="A58" s="248">
        <v>44354</v>
      </c>
      <c r="B58" s="246" t="s">
        <v>715</v>
      </c>
      <c r="C58" s="246" t="s">
        <v>41</v>
      </c>
      <c r="D58" s="246"/>
      <c r="E58" s="246"/>
      <c r="F58" s="246"/>
      <c r="G58" s="246"/>
      <c r="H58" s="246"/>
      <c r="I58" s="246" t="s">
        <v>550</v>
      </c>
      <c r="J58" s="246" t="s">
        <v>704</v>
      </c>
      <c r="K58" s="246" t="s">
        <v>13</v>
      </c>
      <c r="L58" s="249">
        <v>21007</v>
      </c>
      <c r="M58" s="249" t="s">
        <v>566</v>
      </c>
      <c r="N58" s="248">
        <v>44358</v>
      </c>
      <c r="O58" s="246"/>
    </row>
    <row r="59" spans="1:15" ht="33.75" customHeight="1" x14ac:dyDescent="0.25">
      <c r="A59" s="248">
        <v>44368</v>
      </c>
      <c r="B59" s="246" t="s">
        <v>716</v>
      </c>
      <c r="C59" s="246" t="s">
        <v>86</v>
      </c>
      <c r="D59" s="246"/>
      <c r="E59" s="246"/>
      <c r="F59" s="246"/>
      <c r="G59" s="246"/>
      <c r="H59" s="246"/>
      <c r="I59" s="246"/>
      <c r="J59" s="246" t="s">
        <v>717</v>
      </c>
      <c r="K59" s="246" t="s">
        <v>13</v>
      </c>
      <c r="L59" s="249">
        <v>21008</v>
      </c>
      <c r="M59" s="249"/>
      <c r="N59" s="248">
        <v>44370</v>
      </c>
      <c r="O59" s="246"/>
    </row>
    <row r="60" spans="1:15" ht="33.75" customHeight="1" x14ac:dyDescent="0.25">
      <c r="A60" s="248">
        <v>44398</v>
      </c>
      <c r="B60" s="246" t="s">
        <v>718</v>
      </c>
      <c r="C60" s="246" t="s">
        <v>7</v>
      </c>
      <c r="D60" s="246"/>
      <c r="E60" s="246"/>
      <c r="F60" s="246"/>
      <c r="G60" s="246"/>
      <c r="H60" s="246"/>
      <c r="I60" s="246"/>
      <c r="J60" s="246" t="s">
        <v>717</v>
      </c>
      <c r="K60" s="246" t="s">
        <v>8</v>
      </c>
      <c r="L60" s="249">
        <v>21008</v>
      </c>
      <c r="M60" s="249"/>
      <c r="N60" s="248">
        <v>44400</v>
      </c>
      <c r="O60" s="246"/>
    </row>
    <row r="61" spans="1:15" s="276" customFormat="1" ht="33.75" customHeight="1" x14ac:dyDescent="0.25">
      <c r="A61" s="277">
        <v>44398</v>
      </c>
      <c r="B61" s="261" t="s">
        <v>719</v>
      </c>
      <c r="C61" s="261" t="s">
        <v>15</v>
      </c>
      <c r="D61" s="261"/>
      <c r="E61" s="261"/>
      <c r="F61" s="261"/>
      <c r="G61" s="261"/>
      <c r="H61" s="261"/>
      <c r="I61" s="261"/>
      <c r="J61" s="261" t="s">
        <v>717</v>
      </c>
      <c r="K61" s="261" t="s">
        <v>13</v>
      </c>
      <c r="L61" s="278">
        <v>21019</v>
      </c>
      <c r="M61" s="278"/>
      <c r="N61" s="277">
        <v>44480</v>
      </c>
      <c r="O61" s="261" t="s">
        <v>720</v>
      </c>
    </row>
    <row r="62" spans="1:15" ht="33.75" customHeight="1" x14ac:dyDescent="0.25">
      <c r="A62" s="248">
        <v>44407</v>
      </c>
      <c r="B62" s="246" t="s">
        <v>678</v>
      </c>
      <c r="C62" s="246" t="s">
        <v>5</v>
      </c>
      <c r="D62" s="246"/>
      <c r="E62" s="246"/>
      <c r="F62" s="246"/>
      <c r="G62" s="246"/>
      <c r="H62" s="246"/>
      <c r="I62" s="246" t="s">
        <v>550</v>
      </c>
      <c r="J62" s="246" t="s">
        <v>704</v>
      </c>
      <c r="K62" s="246" t="s">
        <v>13</v>
      </c>
      <c r="L62" s="249">
        <v>21019</v>
      </c>
      <c r="M62" s="249" t="s">
        <v>567</v>
      </c>
      <c r="N62" s="248">
        <v>44414</v>
      </c>
      <c r="O62" s="246"/>
    </row>
    <row r="63" spans="1:15" s="276" customFormat="1" ht="33.75" customHeight="1" x14ac:dyDescent="0.25">
      <c r="A63" s="277">
        <v>44449</v>
      </c>
      <c r="B63" s="261" t="s">
        <v>721</v>
      </c>
      <c r="C63" s="261" t="s">
        <v>5</v>
      </c>
      <c r="D63" s="261"/>
      <c r="E63" s="279" t="s">
        <v>722</v>
      </c>
      <c r="F63" s="261"/>
      <c r="G63" s="261"/>
      <c r="H63" s="261"/>
      <c r="I63" s="261"/>
      <c r="J63" s="261" t="s">
        <v>717</v>
      </c>
      <c r="K63" s="261" t="s">
        <v>13</v>
      </c>
      <c r="L63" s="278">
        <v>21022</v>
      </c>
      <c r="M63" s="278"/>
      <c r="N63" s="277">
        <v>44489</v>
      </c>
      <c r="O63" s="261" t="s">
        <v>723</v>
      </c>
    </row>
    <row r="64" spans="1:15" ht="33.75" customHeight="1" x14ac:dyDescent="0.25">
      <c r="A64" s="248">
        <v>44461</v>
      </c>
      <c r="B64" s="246" t="s">
        <v>724</v>
      </c>
      <c r="C64" s="246" t="s">
        <v>645</v>
      </c>
      <c r="D64" s="246"/>
      <c r="E64" s="246"/>
      <c r="F64" s="246"/>
      <c r="G64" s="246"/>
      <c r="H64" s="246"/>
      <c r="I64" s="246"/>
      <c r="J64" s="246" t="s">
        <v>704</v>
      </c>
      <c r="K64" s="246" t="s">
        <v>13</v>
      </c>
      <c r="L64" s="249">
        <v>21024</v>
      </c>
      <c r="M64" s="249"/>
      <c r="N64" s="248">
        <v>44466</v>
      </c>
      <c r="O64" s="246"/>
    </row>
    <row r="65" spans="1:15" s="276" customFormat="1" ht="33.75" customHeight="1" x14ac:dyDescent="0.25">
      <c r="A65" s="277">
        <v>44466</v>
      </c>
      <c r="B65" s="261" t="s">
        <v>725</v>
      </c>
      <c r="C65" s="261" t="s">
        <v>5</v>
      </c>
      <c r="D65" s="261"/>
      <c r="E65" s="261"/>
      <c r="F65" s="261"/>
      <c r="G65" s="261"/>
      <c r="H65" s="261"/>
      <c r="I65" s="261"/>
      <c r="J65" s="261" t="s">
        <v>704</v>
      </c>
      <c r="K65" s="261" t="s">
        <v>13</v>
      </c>
      <c r="L65" s="278">
        <v>21024</v>
      </c>
      <c r="M65" s="278"/>
      <c r="N65" s="277">
        <v>44478</v>
      </c>
      <c r="O65" s="261"/>
    </row>
    <row r="66" spans="1:15" s="276" customFormat="1" ht="33.75" customHeight="1" x14ac:dyDescent="0.25">
      <c r="A66" s="277">
        <v>44503</v>
      </c>
      <c r="B66" s="261" t="s">
        <v>726</v>
      </c>
      <c r="C66" s="261" t="s">
        <v>727</v>
      </c>
      <c r="D66" s="261"/>
      <c r="E66" s="261"/>
      <c r="F66" s="261"/>
      <c r="G66" s="261"/>
      <c r="H66" s="261"/>
      <c r="I66" s="261"/>
      <c r="J66" s="261" t="s">
        <v>728</v>
      </c>
      <c r="K66" s="261" t="s">
        <v>13</v>
      </c>
      <c r="L66" s="278">
        <v>21025</v>
      </c>
      <c r="M66" s="278"/>
      <c r="N66" s="277">
        <v>44505</v>
      </c>
      <c r="O66" s="261"/>
    </row>
    <row r="67" spans="1:15" ht="33.75" customHeight="1" x14ac:dyDescent="0.25">
      <c r="A67" s="277">
        <v>44505</v>
      </c>
      <c r="B67" s="246" t="s">
        <v>729</v>
      </c>
      <c r="C67" s="246" t="s">
        <v>5</v>
      </c>
      <c r="D67" s="246"/>
      <c r="E67" s="246"/>
      <c r="F67" s="246"/>
      <c r="G67" s="246"/>
      <c r="H67" s="246"/>
      <c r="I67" s="246" t="s">
        <v>550</v>
      </c>
      <c r="J67" s="246" t="s">
        <v>704</v>
      </c>
      <c r="K67" s="246" t="s">
        <v>13</v>
      </c>
      <c r="L67" s="249">
        <v>21020</v>
      </c>
      <c r="M67" s="249" t="s">
        <v>568</v>
      </c>
      <c r="N67" s="248">
        <v>44550</v>
      </c>
      <c r="O67" s="246"/>
    </row>
    <row r="68" spans="1:15" ht="33.75" customHeight="1" x14ac:dyDescent="0.25">
      <c r="A68" s="277">
        <v>44510</v>
      </c>
      <c r="B68" s="246" t="s">
        <v>730</v>
      </c>
      <c r="C68" s="246" t="s">
        <v>15</v>
      </c>
      <c r="D68" s="246"/>
      <c r="E68" s="246"/>
      <c r="F68" s="246"/>
      <c r="G68" s="246"/>
      <c r="H68" s="246"/>
      <c r="I68" s="246"/>
      <c r="J68" s="246" t="s">
        <v>728</v>
      </c>
      <c r="K68" s="246" t="s">
        <v>13</v>
      </c>
      <c r="L68" s="249">
        <v>21027</v>
      </c>
      <c r="M68" s="249"/>
      <c r="N68" s="248">
        <v>44510</v>
      </c>
      <c r="O68" s="246"/>
    </row>
    <row r="69" spans="1:15" ht="33.75" customHeight="1" x14ac:dyDescent="0.25">
      <c r="A69" s="277">
        <v>44515</v>
      </c>
      <c r="B69" s="246" t="s">
        <v>731</v>
      </c>
      <c r="C69" s="246" t="s">
        <v>40</v>
      </c>
      <c r="D69" s="246"/>
      <c r="E69" s="246"/>
      <c r="F69" s="246"/>
      <c r="G69" s="246"/>
      <c r="H69" s="246"/>
      <c r="I69" s="246"/>
      <c r="J69" s="246" t="s">
        <v>717</v>
      </c>
      <c r="K69" s="246" t="s">
        <v>13</v>
      </c>
      <c r="L69" s="249">
        <v>20024</v>
      </c>
      <c r="M69" s="249"/>
      <c r="N69" s="248">
        <v>44518</v>
      </c>
      <c r="O69" s="246"/>
    </row>
    <row r="70" spans="1:15" s="276" customFormat="1" ht="33.75" customHeight="1" x14ac:dyDescent="0.25">
      <c r="A70" s="277">
        <v>44565</v>
      </c>
      <c r="B70" s="261" t="s">
        <v>732</v>
      </c>
      <c r="C70" s="261" t="s">
        <v>5</v>
      </c>
      <c r="D70" s="261"/>
      <c r="E70" s="261"/>
      <c r="F70" s="261"/>
      <c r="G70" s="261"/>
      <c r="H70" s="261"/>
      <c r="I70" s="246" t="s">
        <v>550</v>
      </c>
      <c r="J70" s="261" t="s">
        <v>502</v>
      </c>
      <c r="K70" s="261" t="s">
        <v>13</v>
      </c>
      <c r="L70" s="278">
        <v>22201</v>
      </c>
      <c r="M70" s="278" t="s">
        <v>569</v>
      </c>
      <c r="N70" s="277">
        <v>44600</v>
      </c>
      <c r="O70" s="261"/>
    </row>
    <row r="71" spans="1:15" s="276" customFormat="1" ht="33.75" customHeight="1" x14ac:dyDescent="0.25">
      <c r="A71" s="277">
        <v>44571</v>
      </c>
      <c r="B71" s="261" t="s">
        <v>733</v>
      </c>
      <c r="C71" s="261" t="s">
        <v>5</v>
      </c>
      <c r="D71" s="261"/>
      <c r="E71" s="261"/>
      <c r="F71" s="261"/>
      <c r="G71" s="261"/>
      <c r="H71" s="261"/>
      <c r="I71" s="261"/>
      <c r="J71" s="261" t="s">
        <v>563</v>
      </c>
      <c r="K71" s="261" t="s">
        <v>13</v>
      </c>
      <c r="L71" s="278">
        <v>22202</v>
      </c>
      <c r="M71" s="278"/>
      <c r="N71" s="277">
        <v>44579</v>
      </c>
      <c r="O71" s="261"/>
    </row>
    <row r="72" spans="1:15" s="276" customFormat="1" ht="33.75" customHeight="1" x14ac:dyDescent="0.25">
      <c r="A72" s="277">
        <v>44634</v>
      </c>
      <c r="B72" s="261" t="s">
        <v>734</v>
      </c>
      <c r="C72" s="261" t="s">
        <v>173</v>
      </c>
      <c r="D72" s="261"/>
      <c r="E72" s="261"/>
      <c r="F72" s="261"/>
      <c r="G72" s="261"/>
      <c r="H72" s="261"/>
      <c r="I72" s="261"/>
      <c r="J72" s="261" t="s">
        <v>563</v>
      </c>
      <c r="K72" s="261" t="s">
        <v>160</v>
      </c>
      <c r="L72" s="278">
        <v>22009</v>
      </c>
      <c r="M72" s="278"/>
      <c r="N72" s="277">
        <v>44641</v>
      </c>
      <c r="O72" s="261"/>
    </row>
    <row r="73" spans="1:15" s="276" customFormat="1" ht="33.75" customHeight="1" x14ac:dyDescent="0.25">
      <c r="A73" s="277">
        <v>44641</v>
      </c>
      <c r="B73" s="261" t="s">
        <v>735</v>
      </c>
      <c r="C73" s="261" t="s">
        <v>5</v>
      </c>
      <c r="D73" s="261"/>
      <c r="E73" s="261"/>
      <c r="F73" s="261"/>
      <c r="G73" s="261"/>
      <c r="H73" s="261"/>
      <c r="I73" s="261"/>
      <c r="J73" s="261" t="s">
        <v>736</v>
      </c>
      <c r="K73" s="261" t="s">
        <v>13</v>
      </c>
      <c r="L73" s="278">
        <v>22010</v>
      </c>
      <c r="M73" s="278"/>
      <c r="N73" s="277">
        <v>44674</v>
      </c>
      <c r="O73" s="261" t="s">
        <v>737</v>
      </c>
    </row>
    <row r="74" spans="1:15" s="276" customFormat="1" ht="33.75" customHeight="1" x14ac:dyDescent="0.25">
      <c r="A74" s="277">
        <v>44649</v>
      </c>
      <c r="B74" s="261" t="s">
        <v>738</v>
      </c>
      <c r="C74" s="261" t="s">
        <v>5</v>
      </c>
      <c r="D74" s="261"/>
      <c r="E74" s="261"/>
      <c r="F74" s="261"/>
      <c r="G74" s="261"/>
      <c r="H74" s="261"/>
      <c r="I74" s="261"/>
      <c r="J74" s="261" t="s">
        <v>559</v>
      </c>
      <c r="K74" s="261" t="s">
        <v>160</v>
      </c>
      <c r="L74" s="278">
        <v>22011</v>
      </c>
      <c r="M74" s="278"/>
      <c r="N74" s="277">
        <v>44653</v>
      </c>
      <c r="O74" s="261"/>
    </row>
    <row r="75" spans="1:15" s="276" customFormat="1" ht="33.75" customHeight="1" x14ac:dyDescent="0.25">
      <c r="A75" s="277">
        <v>44655</v>
      </c>
      <c r="B75" s="261" t="s">
        <v>739</v>
      </c>
      <c r="C75" s="261" t="s">
        <v>5</v>
      </c>
      <c r="D75" s="261"/>
      <c r="E75" s="261"/>
      <c r="F75" s="261"/>
      <c r="G75" s="261"/>
      <c r="H75" s="261"/>
      <c r="I75" s="261"/>
      <c r="J75" s="261" t="s">
        <v>736</v>
      </c>
      <c r="K75" s="261" t="s">
        <v>160</v>
      </c>
      <c r="L75" s="278">
        <v>22010</v>
      </c>
      <c r="M75" s="278"/>
      <c r="N75" s="277">
        <v>44685</v>
      </c>
      <c r="O75" s="261"/>
    </row>
    <row r="76" spans="1:15" s="276" customFormat="1" ht="33.75" customHeight="1" x14ac:dyDescent="0.25">
      <c r="A76" s="277">
        <v>44658</v>
      </c>
      <c r="B76" s="261" t="s">
        <v>740</v>
      </c>
      <c r="C76" s="261" t="s">
        <v>5</v>
      </c>
      <c r="D76" s="261"/>
      <c r="E76" s="261"/>
      <c r="F76" s="261"/>
      <c r="G76" s="261"/>
      <c r="H76" s="261"/>
      <c r="I76" s="261"/>
      <c r="J76" s="261" t="s">
        <v>563</v>
      </c>
      <c r="K76" s="261" t="s">
        <v>13</v>
      </c>
      <c r="L76" s="278">
        <v>22010</v>
      </c>
      <c r="M76" s="278"/>
      <c r="N76" s="277">
        <v>44669</v>
      </c>
      <c r="O76" s="261"/>
    </row>
    <row r="77" spans="1:15" s="276" customFormat="1" ht="33.75" customHeight="1" x14ac:dyDescent="0.25">
      <c r="A77" s="277">
        <v>44678</v>
      </c>
      <c r="B77" s="261" t="s">
        <v>741</v>
      </c>
      <c r="C77" s="261" t="s">
        <v>5</v>
      </c>
      <c r="D77" s="261"/>
      <c r="E77" s="261"/>
      <c r="F77" s="261"/>
      <c r="G77" s="261"/>
      <c r="H77" s="261"/>
      <c r="I77" s="261"/>
      <c r="J77" s="261" t="s">
        <v>559</v>
      </c>
      <c r="K77" s="261" t="s">
        <v>13</v>
      </c>
      <c r="L77" s="278"/>
      <c r="M77" s="278"/>
      <c r="N77" s="277">
        <v>44701</v>
      </c>
      <c r="O77" s="261"/>
    </row>
    <row r="78" spans="1:15" s="276" customFormat="1" ht="33.75" customHeight="1" x14ac:dyDescent="0.25">
      <c r="A78" s="277">
        <v>44739</v>
      </c>
      <c r="B78" s="261" t="s">
        <v>742</v>
      </c>
      <c r="C78" s="261" t="s">
        <v>5</v>
      </c>
      <c r="D78" s="261"/>
      <c r="E78" s="261"/>
      <c r="F78" s="261"/>
      <c r="G78" s="261"/>
      <c r="H78" s="261"/>
      <c r="I78" s="261"/>
      <c r="J78" s="261" t="s">
        <v>559</v>
      </c>
      <c r="K78" s="261" t="s">
        <v>13</v>
      </c>
      <c r="L78" s="278">
        <v>22020</v>
      </c>
      <c r="M78" s="278"/>
      <c r="N78" s="277">
        <v>44741</v>
      </c>
      <c r="O78" s="261"/>
    </row>
    <row r="79" spans="1:15" s="276" customFormat="1" ht="33.75" customHeight="1" x14ac:dyDescent="0.25">
      <c r="A79" s="277">
        <v>44741</v>
      </c>
      <c r="B79" s="261" t="s">
        <v>743</v>
      </c>
      <c r="C79" s="261" t="s">
        <v>5</v>
      </c>
      <c r="D79" s="261"/>
      <c r="E79" s="261"/>
      <c r="F79" s="261"/>
      <c r="G79" s="261"/>
      <c r="H79" s="261"/>
      <c r="I79" s="261"/>
      <c r="J79" s="261" t="s">
        <v>744</v>
      </c>
      <c r="K79" s="261" t="s">
        <v>160</v>
      </c>
      <c r="L79" s="278" t="s">
        <v>745</v>
      </c>
      <c r="M79" s="278"/>
      <c r="N79" s="277">
        <v>44743</v>
      </c>
      <c r="O79" s="261"/>
    </row>
    <row r="80" spans="1:15" s="276" customFormat="1" ht="33.75" customHeight="1" x14ac:dyDescent="0.25">
      <c r="A80" s="277">
        <v>44753</v>
      </c>
      <c r="B80" s="261" t="s">
        <v>746</v>
      </c>
      <c r="C80" s="261" t="s">
        <v>15</v>
      </c>
      <c r="D80" s="261"/>
      <c r="E80" s="261"/>
      <c r="F80" s="261"/>
      <c r="G80" s="261"/>
      <c r="H80" s="261"/>
      <c r="I80" s="261"/>
      <c r="J80" s="261" t="s">
        <v>747</v>
      </c>
      <c r="K80" s="261" t="s">
        <v>8</v>
      </c>
      <c r="L80" s="278">
        <v>22019</v>
      </c>
      <c r="M80" s="278"/>
      <c r="N80" s="277">
        <v>44756</v>
      </c>
      <c r="O80" s="261"/>
    </row>
    <row r="81" spans="1:15" s="276" customFormat="1" ht="33.75" customHeight="1" x14ac:dyDescent="0.25">
      <c r="A81" s="277">
        <v>44755</v>
      </c>
      <c r="B81" s="261" t="s">
        <v>748</v>
      </c>
      <c r="C81" s="261" t="s">
        <v>32</v>
      </c>
      <c r="D81" s="261"/>
      <c r="E81" s="261"/>
      <c r="F81" s="261"/>
      <c r="G81" s="261"/>
      <c r="H81" s="261"/>
      <c r="I81" s="261"/>
      <c r="J81" s="261" t="s">
        <v>563</v>
      </c>
      <c r="K81" s="261" t="s">
        <v>13</v>
      </c>
      <c r="L81" s="278" t="s">
        <v>749</v>
      </c>
      <c r="M81" s="278"/>
      <c r="N81" s="277">
        <v>44789</v>
      </c>
      <c r="O81" s="261" t="s">
        <v>750</v>
      </c>
    </row>
    <row r="82" spans="1:15" s="276" customFormat="1" ht="33.75" customHeight="1" x14ac:dyDescent="0.25">
      <c r="A82" s="277">
        <v>44760</v>
      </c>
      <c r="B82" s="261" t="s">
        <v>751</v>
      </c>
      <c r="C82" s="261" t="s">
        <v>32</v>
      </c>
      <c r="D82" s="261"/>
      <c r="E82" s="261"/>
      <c r="F82" s="261"/>
      <c r="G82" s="261"/>
      <c r="H82" s="261"/>
      <c r="I82" s="261"/>
      <c r="J82" s="261" t="s">
        <v>564</v>
      </c>
      <c r="K82" s="261" t="s">
        <v>13</v>
      </c>
      <c r="L82" s="278" t="s">
        <v>752</v>
      </c>
      <c r="M82" s="278"/>
      <c r="N82" s="277">
        <v>44974</v>
      </c>
      <c r="O82" s="261"/>
    </row>
    <row r="83" spans="1:15" s="276" customFormat="1" ht="33.75" customHeight="1" x14ac:dyDescent="0.25">
      <c r="A83" s="277">
        <v>44765</v>
      </c>
      <c r="B83" s="261" t="s">
        <v>753</v>
      </c>
      <c r="C83" s="261" t="s">
        <v>32</v>
      </c>
      <c r="D83" s="261"/>
      <c r="E83" s="261"/>
      <c r="F83" s="261"/>
      <c r="G83" s="261"/>
      <c r="H83" s="261"/>
      <c r="I83" s="261"/>
      <c r="J83" s="261" t="s">
        <v>502</v>
      </c>
      <c r="K83" s="261" t="s">
        <v>8</v>
      </c>
      <c r="L83" s="278" t="s">
        <v>754</v>
      </c>
      <c r="M83" s="278"/>
      <c r="N83" s="277"/>
      <c r="O83" s="261" t="s">
        <v>755</v>
      </c>
    </row>
    <row r="84" spans="1:15" s="276" customFormat="1" ht="33.75" customHeight="1" x14ac:dyDescent="0.25">
      <c r="A84" s="277">
        <v>44776</v>
      </c>
      <c r="B84" s="261" t="s">
        <v>756</v>
      </c>
      <c r="C84" s="261" t="s">
        <v>757</v>
      </c>
      <c r="D84" s="261"/>
      <c r="E84" s="261"/>
      <c r="F84" s="261"/>
      <c r="G84" s="261"/>
      <c r="H84" s="261"/>
      <c r="I84" s="261"/>
      <c r="J84" s="261" t="s">
        <v>736</v>
      </c>
      <c r="K84" s="261" t="s">
        <v>8</v>
      </c>
      <c r="L84" s="278">
        <v>22025</v>
      </c>
      <c r="M84" s="278"/>
      <c r="N84" s="277">
        <v>44777</v>
      </c>
      <c r="O84" s="261" t="s">
        <v>758</v>
      </c>
    </row>
    <row r="85" spans="1:15" s="276" customFormat="1" ht="33.75" customHeight="1" x14ac:dyDescent="0.25">
      <c r="A85" s="277">
        <v>44781</v>
      </c>
      <c r="B85" s="261" t="s">
        <v>759</v>
      </c>
      <c r="C85" s="261" t="s">
        <v>247</v>
      </c>
      <c r="D85" s="261"/>
      <c r="E85" s="261"/>
      <c r="F85" s="261"/>
      <c r="G85" s="261"/>
      <c r="H85" s="261"/>
      <c r="I85" s="261"/>
      <c r="J85" s="261" t="s">
        <v>559</v>
      </c>
      <c r="K85" s="261" t="s">
        <v>8</v>
      </c>
      <c r="L85" s="278">
        <v>22022</v>
      </c>
      <c r="M85" s="278"/>
      <c r="N85" s="277">
        <v>44785</v>
      </c>
      <c r="O85" s="261"/>
    </row>
    <row r="86" spans="1:15" s="276" customFormat="1" ht="33.75" customHeight="1" x14ac:dyDescent="0.25">
      <c r="A86" s="277">
        <v>44787</v>
      </c>
      <c r="B86" s="261" t="s">
        <v>760</v>
      </c>
      <c r="C86" s="261" t="s">
        <v>62</v>
      </c>
      <c r="D86" s="261"/>
      <c r="E86" s="261"/>
      <c r="F86" s="261"/>
      <c r="G86" s="261"/>
      <c r="H86" s="261"/>
      <c r="I86" s="261"/>
      <c r="J86" s="261" t="s">
        <v>736</v>
      </c>
      <c r="K86" s="261" t="s">
        <v>8</v>
      </c>
      <c r="L86" s="278">
        <v>22006</v>
      </c>
      <c r="M86" s="278"/>
      <c r="N86" s="277">
        <v>44792</v>
      </c>
      <c r="O86" s="261"/>
    </row>
    <row r="87" spans="1:15" s="276" customFormat="1" ht="33.75" customHeight="1" x14ac:dyDescent="0.25">
      <c r="A87" s="277">
        <v>44809</v>
      </c>
      <c r="B87" s="261" t="s">
        <v>761</v>
      </c>
      <c r="C87" s="261" t="s">
        <v>247</v>
      </c>
      <c r="D87" s="261"/>
      <c r="E87" s="277">
        <v>44814</v>
      </c>
      <c r="F87" s="261" t="s">
        <v>761</v>
      </c>
      <c r="G87" s="277">
        <v>44838</v>
      </c>
      <c r="H87" s="261" t="s">
        <v>762</v>
      </c>
      <c r="I87" s="261"/>
      <c r="J87" s="261" t="s">
        <v>763</v>
      </c>
      <c r="K87" s="261" t="s">
        <v>13</v>
      </c>
      <c r="L87" s="278">
        <v>22030</v>
      </c>
      <c r="M87" s="278"/>
      <c r="N87" s="277"/>
      <c r="O87" s="261" t="s">
        <v>764</v>
      </c>
    </row>
    <row r="88" spans="1:15" s="276" customFormat="1" ht="33.75" customHeight="1" x14ac:dyDescent="0.25">
      <c r="A88" s="277">
        <v>44814</v>
      </c>
      <c r="B88" s="261" t="s">
        <v>765</v>
      </c>
      <c r="C88" s="261" t="s">
        <v>247</v>
      </c>
      <c r="D88" s="261"/>
      <c r="E88" s="261"/>
      <c r="F88" s="261"/>
      <c r="G88" s="261"/>
      <c r="H88" s="261"/>
      <c r="I88" s="261"/>
      <c r="J88" s="261" t="s">
        <v>766</v>
      </c>
      <c r="K88" s="261" t="s">
        <v>13</v>
      </c>
      <c r="L88" s="278">
        <v>22005</v>
      </c>
      <c r="M88" s="278"/>
      <c r="N88" s="277">
        <v>44827</v>
      </c>
      <c r="O88" s="261"/>
    </row>
    <row r="89" spans="1:15" s="276" customFormat="1" ht="33.75" customHeight="1" x14ac:dyDescent="0.25">
      <c r="A89" s="277">
        <v>44825</v>
      </c>
      <c r="B89" s="261" t="s">
        <v>767</v>
      </c>
      <c r="C89" s="261" t="s">
        <v>16</v>
      </c>
      <c r="D89" s="261"/>
      <c r="E89" s="261"/>
      <c r="F89" s="261"/>
      <c r="G89" s="261"/>
      <c r="H89" s="261"/>
      <c r="I89" s="261"/>
      <c r="J89" s="261" t="s">
        <v>736</v>
      </c>
      <c r="K89" s="261" t="s">
        <v>13</v>
      </c>
      <c r="L89" s="278">
        <v>22010</v>
      </c>
      <c r="M89" s="278"/>
      <c r="N89" s="277">
        <v>44827</v>
      </c>
      <c r="O89" s="261"/>
    </row>
    <row r="90" spans="1:15" s="276" customFormat="1" ht="33.75" customHeight="1" x14ac:dyDescent="0.25">
      <c r="A90" s="277">
        <v>44841</v>
      </c>
      <c r="B90" s="261" t="s">
        <v>768</v>
      </c>
      <c r="C90" s="261" t="s">
        <v>769</v>
      </c>
      <c r="D90" s="261"/>
      <c r="E90" s="261"/>
      <c r="F90" s="261"/>
      <c r="G90" s="261"/>
      <c r="H90" s="261"/>
      <c r="I90" s="261"/>
      <c r="J90" s="261" t="s">
        <v>559</v>
      </c>
      <c r="K90" s="261" t="s">
        <v>13</v>
      </c>
      <c r="L90" s="278">
        <v>22034</v>
      </c>
      <c r="M90" s="278"/>
      <c r="N90" s="277">
        <v>44842</v>
      </c>
      <c r="O90" s="261"/>
    </row>
    <row r="91" spans="1:15" s="276" customFormat="1" ht="33.75" customHeight="1" x14ac:dyDescent="0.25">
      <c r="A91" s="277">
        <v>44843</v>
      </c>
      <c r="B91" s="261" t="s">
        <v>770</v>
      </c>
      <c r="C91" s="261">
        <v>208</v>
      </c>
      <c r="D91" s="261"/>
      <c r="E91" s="261"/>
      <c r="F91" s="261"/>
      <c r="G91" s="261"/>
      <c r="H91" s="261"/>
      <c r="I91" s="261"/>
      <c r="J91" s="261" t="s">
        <v>736</v>
      </c>
      <c r="K91" s="261" t="s">
        <v>13</v>
      </c>
      <c r="L91" s="278">
        <v>22006</v>
      </c>
      <c r="M91" s="278"/>
      <c r="N91" s="277">
        <v>44847</v>
      </c>
      <c r="O91" s="261"/>
    </row>
    <row r="92" spans="1:15" s="276" customFormat="1" ht="33.75" customHeight="1" x14ac:dyDescent="0.25">
      <c r="A92" s="277">
        <v>45216</v>
      </c>
      <c r="B92" s="261" t="s">
        <v>771</v>
      </c>
      <c r="C92" s="261" t="s">
        <v>53</v>
      </c>
      <c r="D92" s="261"/>
      <c r="E92" s="261"/>
      <c r="F92" s="261"/>
      <c r="G92" s="261"/>
      <c r="H92" s="261"/>
      <c r="I92" s="261"/>
      <c r="J92" s="261" t="s">
        <v>563</v>
      </c>
      <c r="K92" s="261" t="s">
        <v>13</v>
      </c>
      <c r="L92" s="278"/>
      <c r="M92" s="278"/>
      <c r="N92" s="277">
        <v>45289</v>
      </c>
      <c r="O92" s="261"/>
    </row>
    <row r="93" spans="1:15" s="276" customFormat="1" ht="33.75" customHeight="1" x14ac:dyDescent="0.25">
      <c r="A93" s="277">
        <v>44851</v>
      </c>
      <c r="B93" s="261" t="s">
        <v>772</v>
      </c>
      <c r="C93" s="261" t="s">
        <v>40</v>
      </c>
      <c r="D93" s="261"/>
      <c r="E93" s="261"/>
      <c r="F93" s="261"/>
      <c r="G93" s="261"/>
      <c r="H93" s="261"/>
      <c r="I93" s="261"/>
      <c r="J93" s="261" t="s">
        <v>773</v>
      </c>
      <c r="K93" s="261" t="s">
        <v>13</v>
      </c>
      <c r="L93" s="278">
        <v>22015</v>
      </c>
      <c r="M93" s="278"/>
      <c r="N93" s="277">
        <v>44856</v>
      </c>
      <c r="O93" s="261"/>
    </row>
    <row r="94" spans="1:15" s="276" customFormat="1" ht="33.75" customHeight="1" x14ac:dyDescent="0.25">
      <c r="A94" s="277">
        <v>44858</v>
      </c>
      <c r="B94" s="261" t="s">
        <v>774</v>
      </c>
      <c r="C94" s="261" t="s">
        <v>5</v>
      </c>
      <c r="D94" s="261"/>
      <c r="E94" s="261"/>
      <c r="F94" s="261"/>
      <c r="G94" s="261"/>
      <c r="H94" s="261"/>
      <c r="I94" s="261"/>
      <c r="J94" s="261" t="s">
        <v>736</v>
      </c>
      <c r="K94" s="261" t="s">
        <v>13</v>
      </c>
      <c r="L94" s="278"/>
      <c r="M94" s="278"/>
      <c r="N94" s="277">
        <v>44860</v>
      </c>
      <c r="O94" s="261" t="s">
        <v>775</v>
      </c>
    </row>
    <row r="95" spans="1:15" s="276" customFormat="1" ht="33.75" customHeight="1" x14ac:dyDescent="0.25">
      <c r="A95" s="277">
        <v>44867</v>
      </c>
      <c r="B95" s="261" t="s">
        <v>776</v>
      </c>
      <c r="C95" s="261" t="s">
        <v>109</v>
      </c>
      <c r="D95" s="261"/>
      <c r="E95" s="261"/>
      <c r="F95" s="261"/>
      <c r="G95" s="261"/>
      <c r="H95" s="261"/>
      <c r="I95" s="261"/>
      <c r="J95" s="261" t="s">
        <v>777</v>
      </c>
      <c r="K95" s="261" t="s">
        <v>8</v>
      </c>
      <c r="L95" s="278">
        <v>22015</v>
      </c>
      <c r="M95" s="278"/>
      <c r="N95" s="277"/>
      <c r="O95" s="261"/>
    </row>
    <row r="96" spans="1:15" s="276" customFormat="1" ht="33.75" customHeight="1" x14ac:dyDescent="0.25">
      <c r="A96" s="277">
        <v>44869</v>
      </c>
      <c r="B96" s="261" t="s">
        <v>778</v>
      </c>
      <c r="C96" s="261" t="s">
        <v>53</v>
      </c>
      <c r="D96" s="261"/>
      <c r="E96" s="261"/>
      <c r="F96" s="261"/>
      <c r="G96" s="261"/>
      <c r="H96" s="261"/>
      <c r="I96" s="261"/>
      <c r="J96" s="261" t="s">
        <v>502</v>
      </c>
      <c r="K96" s="261" t="s">
        <v>13</v>
      </c>
      <c r="L96" s="278"/>
      <c r="M96" s="278"/>
      <c r="N96" s="277">
        <v>44947</v>
      </c>
      <c r="O96" s="261"/>
    </row>
    <row r="97" spans="1:15" s="276" customFormat="1" ht="33.75" customHeight="1" x14ac:dyDescent="0.25">
      <c r="A97" s="277">
        <v>44871</v>
      </c>
      <c r="B97" s="261" t="s">
        <v>779</v>
      </c>
      <c r="C97" s="261" t="s">
        <v>53</v>
      </c>
      <c r="D97" s="261"/>
      <c r="E97" s="277">
        <v>44943</v>
      </c>
      <c r="F97" s="261" t="s">
        <v>780</v>
      </c>
      <c r="G97" s="261"/>
      <c r="H97" s="261"/>
      <c r="I97" s="261"/>
      <c r="J97" s="261" t="s">
        <v>559</v>
      </c>
      <c r="K97" s="261" t="s">
        <v>13</v>
      </c>
      <c r="L97" s="278" t="s">
        <v>781</v>
      </c>
      <c r="M97" s="278"/>
      <c r="N97" s="277">
        <v>45000</v>
      </c>
      <c r="O97" s="261" t="s">
        <v>782</v>
      </c>
    </row>
    <row r="98" spans="1:15" s="276" customFormat="1" ht="33.75" customHeight="1" x14ac:dyDescent="0.25">
      <c r="A98" s="277">
        <v>44906</v>
      </c>
      <c r="B98" s="261" t="s">
        <v>783</v>
      </c>
      <c r="C98" s="261" t="s">
        <v>5</v>
      </c>
      <c r="D98" s="261"/>
      <c r="E98" s="261"/>
      <c r="F98" s="261"/>
      <c r="G98" s="261"/>
      <c r="H98" s="261"/>
      <c r="I98" s="261"/>
      <c r="J98" s="261" t="s">
        <v>559</v>
      </c>
      <c r="K98" s="261" t="s">
        <v>13</v>
      </c>
      <c r="L98" s="278">
        <v>22010</v>
      </c>
      <c r="M98" s="278"/>
      <c r="N98" s="277">
        <v>44910</v>
      </c>
      <c r="O98" s="261"/>
    </row>
    <row r="99" spans="1:15" s="276" customFormat="1" ht="33.75" customHeight="1" x14ac:dyDescent="0.25">
      <c r="A99" s="277">
        <v>44921</v>
      </c>
      <c r="B99" s="261" t="s">
        <v>784</v>
      </c>
      <c r="C99" s="261" t="s">
        <v>360</v>
      </c>
      <c r="D99" s="261"/>
      <c r="E99" s="261"/>
      <c r="F99" s="261"/>
      <c r="G99" s="261"/>
      <c r="H99" s="261"/>
      <c r="I99" s="261"/>
      <c r="J99" s="261" t="s">
        <v>736</v>
      </c>
      <c r="K99" s="261" t="s">
        <v>8</v>
      </c>
      <c r="L99" s="278">
        <v>22014</v>
      </c>
      <c r="M99" s="278"/>
      <c r="N99" s="277"/>
      <c r="O99" s="261"/>
    </row>
    <row r="100" spans="1:15" s="276" customFormat="1" ht="33.75" customHeight="1" x14ac:dyDescent="0.25">
      <c r="A100" s="277">
        <v>44942</v>
      </c>
      <c r="B100" s="261" t="s">
        <v>785</v>
      </c>
      <c r="C100" s="261" t="s">
        <v>786</v>
      </c>
      <c r="D100" s="261"/>
      <c r="E100" s="261"/>
      <c r="F100" s="261"/>
      <c r="G100" s="261"/>
      <c r="H100" s="261"/>
      <c r="I100" s="261"/>
      <c r="J100" s="261" t="s">
        <v>777</v>
      </c>
      <c r="K100" s="261" t="s">
        <v>8</v>
      </c>
      <c r="L100" s="278">
        <v>23003</v>
      </c>
      <c r="M100" s="278" t="s">
        <v>976</v>
      </c>
      <c r="N100" s="277">
        <v>44947</v>
      </c>
      <c r="O100" s="261"/>
    </row>
    <row r="101" spans="1:15" s="276" customFormat="1" ht="33.75" customHeight="1" x14ac:dyDescent="0.25">
      <c r="A101" s="277">
        <v>44949</v>
      </c>
      <c r="B101" s="261" t="s">
        <v>787</v>
      </c>
      <c r="C101" s="261" t="s">
        <v>304</v>
      </c>
      <c r="D101" s="261"/>
      <c r="E101" s="261"/>
      <c r="F101" s="261"/>
      <c r="G101" s="261"/>
      <c r="H101" s="261"/>
      <c r="I101" s="261"/>
      <c r="J101" s="261" t="s">
        <v>92</v>
      </c>
      <c r="K101" s="261" t="s">
        <v>8</v>
      </c>
      <c r="L101" s="278">
        <v>22035</v>
      </c>
      <c r="M101" s="278" t="s">
        <v>975</v>
      </c>
      <c r="N101" s="277">
        <v>44955</v>
      </c>
      <c r="O101" s="261"/>
    </row>
    <row r="102" spans="1:15" s="276" customFormat="1" ht="33.75" customHeight="1" x14ac:dyDescent="0.25">
      <c r="A102" s="277">
        <v>44957</v>
      </c>
      <c r="B102" s="261" t="s">
        <v>788</v>
      </c>
      <c r="C102" s="261" t="s">
        <v>789</v>
      </c>
      <c r="D102" s="261"/>
      <c r="E102" s="261"/>
      <c r="F102" s="261"/>
      <c r="G102" s="261"/>
      <c r="H102" s="261"/>
      <c r="I102" s="261"/>
      <c r="J102" s="261" t="s">
        <v>777</v>
      </c>
      <c r="K102" s="261" t="s">
        <v>13</v>
      </c>
      <c r="L102" s="278">
        <v>23005</v>
      </c>
      <c r="M102" s="278" t="s">
        <v>973</v>
      </c>
      <c r="N102" s="277">
        <v>44961</v>
      </c>
      <c r="O102" s="261"/>
    </row>
    <row r="103" spans="1:15" s="276" customFormat="1" ht="33.75" customHeight="1" x14ac:dyDescent="0.25">
      <c r="A103" s="277">
        <v>44962</v>
      </c>
      <c r="B103" s="261" t="s">
        <v>790</v>
      </c>
      <c r="C103" s="261" t="s">
        <v>791</v>
      </c>
      <c r="D103" s="261"/>
      <c r="E103" s="261"/>
      <c r="F103" s="261"/>
      <c r="G103" s="261"/>
      <c r="H103" s="261"/>
      <c r="I103" s="261"/>
      <c r="J103" s="261" t="s">
        <v>777</v>
      </c>
      <c r="K103" s="261" t="s">
        <v>13</v>
      </c>
      <c r="L103" s="278">
        <v>23005</v>
      </c>
      <c r="M103" s="278" t="s">
        <v>974</v>
      </c>
      <c r="N103" s="277">
        <v>44965</v>
      </c>
      <c r="O103" s="261"/>
    </row>
    <row r="104" spans="1:15" s="276" customFormat="1" ht="33.75" customHeight="1" x14ac:dyDescent="0.25">
      <c r="A104" s="277">
        <v>44998</v>
      </c>
      <c r="B104" s="261" t="s">
        <v>792</v>
      </c>
      <c r="C104" s="261" t="s">
        <v>53</v>
      </c>
      <c r="D104" s="261"/>
      <c r="E104" s="277">
        <v>45001</v>
      </c>
      <c r="F104" s="261" t="s">
        <v>793</v>
      </c>
      <c r="G104" s="261"/>
      <c r="H104" s="261"/>
      <c r="I104" s="261"/>
      <c r="J104" s="261" t="s">
        <v>794</v>
      </c>
      <c r="K104" s="261" t="s">
        <v>13</v>
      </c>
      <c r="L104" s="278">
        <v>23006</v>
      </c>
      <c r="M104" s="249" t="s">
        <v>967</v>
      </c>
      <c r="N104" s="277"/>
      <c r="O104" s="261"/>
    </row>
    <row r="105" spans="1:15" s="276" customFormat="1" ht="33.75" customHeight="1" x14ac:dyDescent="0.25">
      <c r="A105" s="277">
        <v>45002</v>
      </c>
      <c r="B105" s="261" t="s">
        <v>795</v>
      </c>
      <c r="C105" s="261" t="s">
        <v>5</v>
      </c>
      <c r="D105" s="261"/>
      <c r="E105" s="277"/>
      <c r="F105" s="261"/>
      <c r="G105" s="261"/>
      <c r="H105" s="261"/>
      <c r="I105" s="261"/>
      <c r="J105" s="261" t="s">
        <v>563</v>
      </c>
      <c r="K105" s="261" t="s">
        <v>13</v>
      </c>
      <c r="L105" s="278">
        <v>23006</v>
      </c>
      <c r="M105" s="249" t="s">
        <v>967</v>
      </c>
      <c r="N105" s="277">
        <v>45002</v>
      </c>
      <c r="O105" s="261"/>
    </row>
    <row r="106" spans="1:15" s="276" customFormat="1" ht="33.75" customHeight="1" x14ac:dyDescent="0.25">
      <c r="A106" s="277">
        <v>45005</v>
      </c>
      <c r="B106" s="261" t="s">
        <v>796</v>
      </c>
      <c r="C106" s="261" t="s">
        <v>5</v>
      </c>
      <c r="D106" s="261"/>
      <c r="E106" s="277"/>
      <c r="F106" s="261"/>
      <c r="G106" s="261"/>
      <c r="H106" s="261"/>
      <c r="I106" s="246" t="s">
        <v>550</v>
      </c>
      <c r="J106" s="261" t="s">
        <v>708</v>
      </c>
      <c r="K106" s="261" t="s">
        <v>13</v>
      </c>
      <c r="L106" s="278">
        <v>23006</v>
      </c>
      <c r="M106" s="278" t="s">
        <v>959</v>
      </c>
      <c r="N106" s="277">
        <v>45035</v>
      </c>
      <c r="O106" s="261"/>
    </row>
    <row r="107" spans="1:15" ht="33.75" customHeight="1" x14ac:dyDescent="0.25">
      <c r="A107" s="277">
        <v>45034</v>
      </c>
      <c r="B107" s="261" t="s">
        <v>802</v>
      </c>
      <c r="C107" s="261" t="s">
        <v>5</v>
      </c>
      <c r="D107" s="261"/>
      <c r="E107" s="277"/>
      <c r="F107" s="261"/>
      <c r="G107" s="261"/>
      <c r="H107" s="261"/>
      <c r="I107" s="261"/>
      <c r="J107" s="261" t="s">
        <v>570</v>
      </c>
      <c r="K107" s="261" t="s">
        <v>13</v>
      </c>
      <c r="L107" s="278">
        <v>23006</v>
      </c>
      <c r="M107" s="249" t="s">
        <v>967</v>
      </c>
      <c r="N107" s="277"/>
      <c r="O107" s="261"/>
    </row>
    <row r="108" spans="1:15" s="276" customFormat="1" ht="33.75" customHeight="1" x14ac:dyDescent="0.25">
      <c r="A108" s="277">
        <v>45068</v>
      </c>
      <c r="B108" s="261" t="s">
        <v>796</v>
      </c>
      <c r="C108" s="261" t="s">
        <v>5</v>
      </c>
      <c r="D108" s="261"/>
      <c r="E108" s="277"/>
      <c r="F108" s="261"/>
      <c r="G108" s="261"/>
      <c r="H108" s="261"/>
      <c r="I108" s="261"/>
      <c r="J108" s="261" t="s">
        <v>708</v>
      </c>
      <c r="K108" s="261" t="s">
        <v>13</v>
      </c>
      <c r="L108" s="278">
        <v>23006</v>
      </c>
      <c r="M108" s="278" t="s">
        <v>961</v>
      </c>
      <c r="N108" s="277">
        <v>45096</v>
      </c>
      <c r="O108" s="261"/>
    </row>
    <row r="109" spans="1:15" ht="33.75" customHeight="1" x14ac:dyDescent="0.25">
      <c r="A109" s="248">
        <v>45124</v>
      </c>
      <c r="B109" s="246" t="s">
        <v>753</v>
      </c>
      <c r="C109" s="261" t="s">
        <v>791</v>
      </c>
      <c r="D109" s="261"/>
      <c r="E109" s="246" t="s">
        <v>834</v>
      </c>
      <c r="F109" s="246"/>
      <c r="G109" s="246"/>
      <c r="H109" s="246"/>
      <c r="I109" s="246"/>
      <c r="J109" s="246" t="s">
        <v>835</v>
      </c>
      <c r="K109" s="246" t="s">
        <v>8</v>
      </c>
      <c r="L109" s="249">
        <v>22010</v>
      </c>
      <c r="M109" s="249" t="s">
        <v>962</v>
      </c>
      <c r="N109" s="248" t="s">
        <v>913</v>
      </c>
      <c r="O109" s="246"/>
    </row>
    <row r="110" spans="1:15" ht="33.75" customHeight="1" x14ac:dyDescent="0.25">
      <c r="A110" s="307">
        <v>45125</v>
      </c>
      <c r="B110" s="274" t="s">
        <v>836</v>
      </c>
      <c r="C110" s="274" t="s">
        <v>5</v>
      </c>
      <c r="D110" s="274"/>
      <c r="E110" s="274" t="s">
        <v>837</v>
      </c>
      <c r="F110" s="274"/>
      <c r="G110" s="274"/>
      <c r="H110" s="274"/>
      <c r="I110" s="274"/>
      <c r="J110" s="274" t="s">
        <v>838</v>
      </c>
      <c r="K110" s="274" t="s">
        <v>13</v>
      </c>
      <c r="L110" s="309">
        <v>23015</v>
      </c>
      <c r="M110" s="309" t="s">
        <v>963</v>
      </c>
      <c r="N110" s="274" t="s">
        <v>914</v>
      </c>
      <c r="O110" s="274" t="s">
        <v>915</v>
      </c>
    </row>
    <row r="111" spans="1:15" ht="33.75" customHeight="1" x14ac:dyDescent="0.25">
      <c r="A111" s="248">
        <v>45131</v>
      </c>
      <c r="B111" s="246" t="s">
        <v>796</v>
      </c>
      <c r="C111" s="246" t="s">
        <v>5</v>
      </c>
      <c r="D111" s="246"/>
      <c r="E111" s="246" t="s">
        <v>839</v>
      </c>
      <c r="F111" s="246"/>
      <c r="G111" s="246"/>
      <c r="H111" s="246"/>
      <c r="I111" s="246"/>
      <c r="J111" s="246" t="s">
        <v>916</v>
      </c>
      <c r="K111" s="246" t="s">
        <v>13</v>
      </c>
      <c r="L111" s="249">
        <v>23009</v>
      </c>
      <c r="M111" s="249" t="s">
        <v>964</v>
      </c>
      <c r="N111" s="246" t="s">
        <v>917</v>
      </c>
      <c r="O111" s="246"/>
    </row>
    <row r="112" spans="1:15" ht="33.75" customHeight="1" x14ac:dyDescent="0.25">
      <c r="A112" s="248">
        <v>45138</v>
      </c>
      <c r="B112" s="246" t="s">
        <v>918</v>
      </c>
      <c r="C112" s="261" t="s">
        <v>791</v>
      </c>
      <c r="D112" s="261"/>
      <c r="E112" s="246" t="s">
        <v>919</v>
      </c>
      <c r="F112" s="246"/>
      <c r="G112" s="246"/>
      <c r="H112" s="246"/>
      <c r="I112" s="246"/>
      <c r="J112" s="246" t="s">
        <v>920</v>
      </c>
      <c r="K112" s="246" t="s">
        <v>13</v>
      </c>
      <c r="L112" s="249">
        <v>23017</v>
      </c>
      <c r="M112" s="249" t="s">
        <v>965</v>
      </c>
      <c r="N112" s="246" t="s">
        <v>921</v>
      </c>
      <c r="O112" s="246"/>
    </row>
    <row r="113" spans="1:15" ht="33.75" customHeight="1" x14ac:dyDescent="0.25">
      <c r="A113" s="248">
        <v>45148</v>
      </c>
      <c r="B113" s="261" t="s">
        <v>802</v>
      </c>
      <c r="C113" s="246" t="s">
        <v>5</v>
      </c>
      <c r="D113" s="246"/>
      <c r="E113" s="246" t="s">
        <v>922</v>
      </c>
      <c r="F113" s="246"/>
      <c r="G113" s="246"/>
      <c r="H113" s="246"/>
      <c r="I113" s="246" t="s">
        <v>550</v>
      </c>
      <c r="J113" s="246" t="s">
        <v>923</v>
      </c>
      <c r="K113" s="246" t="s">
        <v>13</v>
      </c>
      <c r="L113" s="249">
        <v>23015</v>
      </c>
      <c r="M113" s="249" t="s">
        <v>963</v>
      </c>
      <c r="N113" s="246" t="s">
        <v>924</v>
      </c>
      <c r="O113" s="246"/>
    </row>
    <row r="114" spans="1:15" ht="33.75" customHeight="1" x14ac:dyDescent="0.25">
      <c r="A114" s="248">
        <v>45152</v>
      </c>
      <c r="B114" s="246" t="s">
        <v>753</v>
      </c>
      <c r="C114" s="261" t="s">
        <v>791</v>
      </c>
      <c r="D114" s="261"/>
      <c r="E114" s="246" t="s">
        <v>922</v>
      </c>
      <c r="F114" s="246"/>
      <c r="G114" s="246"/>
      <c r="H114" s="246"/>
      <c r="I114" s="246"/>
      <c r="J114" s="246" t="s">
        <v>925</v>
      </c>
      <c r="K114" s="246" t="s">
        <v>8</v>
      </c>
      <c r="L114" s="249" t="s">
        <v>926</v>
      </c>
      <c r="M114" s="249" t="s">
        <v>968</v>
      </c>
      <c r="N114" s="246" t="s">
        <v>927</v>
      </c>
      <c r="O114" s="246"/>
    </row>
    <row r="115" spans="1:15" ht="33.75" customHeight="1" x14ac:dyDescent="0.25">
      <c r="A115" s="248">
        <v>45158</v>
      </c>
      <c r="B115" s="246" t="s">
        <v>928</v>
      </c>
      <c r="C115" s="246" t="s">
        <v>5</v>
      </c>
      <c r="D115" s="246"/>
      <c r="E115" s="246" t="s">
        <v>929</v>
      </c>
      <c r="F115" s="246"/>
      <c r="G115" s="246"/>
      <c r="H115" s="246"/>
      <c r="I115" s="246"/>
      <c r="J115" s="246" t="s">
        <v>805</v>
      </c>
      <c r="K115" s="246" t="s">
        <v>13</v>
      </c>
      <c r="L115" s="249">
        <v>23020</v>
      </c>
      <c r="M115" s="249" t="s">
        <v>969</v>
      </c>
      <c r="N115" s="246" t="s">
        <v>985</v>
      </c>
      <c r="O115" s="246" t="s">
        <v>1002</v>
      </c>
    </row>
    <row r="116" spans="1:15" ht="33.75" customHeight="1" x14ac:dyDescent="0.25">
      <c r="A116" s="248">
        <v>45160</v>
      </c>
      <c r="B116" s="246" t="s">
        <v>796</v>
      </c>
      <c r="C116" s="246" t="s">
        <v>5</v>
      </c>
      <c r="D116" s="246"/>
      <c r="E116" s="246" t="s">
        <v>930</v>
      </c>
      <c r="F116" s="246"/>
      <c r="G116" s="246"/>
      <c r="H116" s="246"/>
      <c r="I116" s="246"/>
      <c r="J116" s="246" t="s">
        <v>916</v>
      </c>
      <c r="K116" s="246" t="s">
        <v>13</v>
      </c>
      <c r="L116" s="249">
        <v>23006</v>
      </c>
      <c r="M116" s="249" t="s">
        <v>972</v>
      </c>
      <c r="N116" s="246" t="s">
        <v>931</v>
      </c>
      <c r="O116" s="246"/>
    </row>
    <row r="117" spans="1:15" ht="33.75" customHeight="1" x14ac:dyDescent="0.25">
      <c r="A117" s="248">
        <v>45160</v>
      </c>
      <c r="B117" s="261" t="s">
        <v>802</v>
      </c>
      <c r="C117" s="246" t="s">
        <v>5</v>
      </c>
      <c r="D117" s="246"/>
      <c r="E117" s="246" t="s">
        <v>930</v>
      </c>
      <c r="F117" s="246"/>
      <c r="G117" s="246"/>
      <c r="H117" s="246"/>
      <c r="I117" s="246" t="s">
        <v>550</v>
      </c>
      <c r="J117" s="246" t="s">
        <v>923</v>
      </c>
      <c r="K117" s="246" t="s">
        <v>13</v>
      </c>
      <c r="L117" s="249">
        <v>23021</v>
      </c>
      <c r="M117" s="249" t="s">
        <v>960</v>
      </c>
      <c r="N117" s="246" t="s">
        <v>931</v>
      </c>
      <c r="O117" s="246"/>
    </row>
    <row r="118" spans="1:15" ht="33.75" customHeight="1" x14ac:dyDescent="0.25">
      <c r="A118" s="307">
        <v>45173</v>
      </c>
      <c r="B118" s="274" t="s">
        <v>796</v>
      </c>
      <c r="C118" s="246" t="s">
        <v>5</v>
      </c>
      <c r="D118" s="246"/>
      <c r="E118" s="246" t="s">
        <v>932</v>
      </c>
      <c r="F118" s="246"/>
      <c r="G118" s="246"/>
      <c r="H118" s="246"/>
      <c r="I118" s="246"/>
      <c r="J118" s="246" t="s">
        <v>916</v>
      </c>
      <c r="K118" s="246" t="s">
        <v>13</v>
      </c>
      <c r="L118" s="249" t="s">
        <v>933</v>
      </c>
      <c r="M118" s="249" t="s">
        <v>971</v>
      </c>
      <c r="N118" s="246" t="s">
        <v>1017</v>
      </c>
      <c r="O118" s="274" t="s">
        <v>1022</v>
      </c>
    </row>
    <row r="119" spans="1:15" ht="33.75" customHeight="1" x14ac:dyDescent="0.25">
      <c r="A119" s="248">
        <v>45180</v>
      </c>
      <c r="B119" s="246" t="s">
        <v>802</v>
      </c>
      <c r="C119" s="246" t="s">
        <v>5</v>
      </c>
      <c r="D119" s="246"/>
      <c r="E119" s="246" t="s">
        <v>934</v>
      </c>
      <c r="F119" s="246"/>
      <c r="G119" s="246"/>
      <c r="H119" s="246"/>
      <c r="I119" s="246" t="s">
        <v>550</v>
      </c>
      <c r="J119" s="246" t="s">
        <v>923</v>
      </c>
      <c r="K119" s="246" t="s">
        <v>13</v>
      </c>
      <c r="L119" s="249" t="s">
        <v>935</v>
      </c>
      <c r="M119" s="249" t="s">
        <v>970</v>
      </c>
      <c r="N119" s="246" t="s">
        <v>979</v>
      </c>
      <c r="O119" s="246"/>
    </row>
    <row r="120" spans="1:15" ht="33.75" customHeight="1" x14ac:dyDescent="0.25">
      <c r="A120" s="248">
        <v>45188</v>
      </c>
      <c r="B120" s="246" t="s">
        <v>753</v>
      </c>
      <c r="C120" s="261" t="s">
        <v>791</v>
      </c>
      <c r="D120" s="261"/>
      <c r="E120" s="246" t="s">
        <v>943</v>
      </c>
      <c r="F120" s="246"/>
      <c r="G120" s="246"/>
      <c r="H120" s="246"/>
      <c r="I120" s="246"/>
      <c r="J120" s="246" t="s">
        <v>984</v>
      </c>
      <c r="K120" s="246" t="s">
        <v>8</v>
      </c>
      <c r="L120" s="249">
        <v>23018</v>
      </c>
      <c r="M120" s="249" t="s">
        <v>966</v>
      </c>
      <c r="N120" s="246" t="s">
        <v>1003</v>
      </c>
      <c r="O120" s="246"/>
    </row>
    <row r="121" spans="1:15" ht="33.75" customHeight="1" x14ac:dyDescent="0.25">
      <c r="A121" s="248">
        <v>45195</v>
      </c>
      <c r="B121" s="246" t="s">
        <v>753</v>
      </c>
      <c r="C121" s="261" t="s">
        <v>791</v>
      </c>
      <c r="D121" s="261"/>
      <c r="E121" s="246"/>
      <c r="F121" s="246"/>
      <c r="G121" s="246"/>
      <c r="H121" s="246"/>
      <c r="I121" s="246"/>
      <c r="J121" s="246" t="s">
        <v>1004</v>
      </c>
      <c r="K121" s="246" t="s">
        <v>8</v>
      </c>
      <c r="L121" s="249">
        <v>23018</v>
      </c>
      <c r="M121" s="249" t="s">
        <v>966</v>
      </c>
      <c r="N121" s="246" t="s">
        <v>1005</v>
      </c>
      <c r="O121" s="246"/>
    </row>
    <row r="122" spans="1:15" ht="33.75" customHeight="1" x14ac:dyDescent="0.25">
      <c r="A122" s="307">
        <v>45202</v>
      </c>
      <c r="B122" s="308" t="s">
        <v>802</v>
      </c>
      <c r="C122" s="274" t="s">
        <v>5</v>
      </c>
      <c r="D122" s="274"/>
      <c r="E122" s="274"/>
      <c r="F122" s="274"/>
      <c r="G122" s="274"/>
      <c r="H122" s="274"/>
      <c r="I122" s="274"/>
      <c r="J122" s="274" t="s">
        <v>1009</v>
      </c>
      <c r="K122" s="274" t="s">
        <v>13</v>
      </c>
      <c r="L122" s="274"/>
      <c r="M122" s="274"/>
      <c r="N122" s="274" t="s">
        <v>1010</v>
      </c>
      <c r="O122" s="274" t="s">
        <v>1014</v>
      </c>
    </row>
    <row r="123" spans="1:15" ht="33.75" customHeight="1" x14ac:dyDescent="0.25">
      <c r="A123" s="277">
        <v>45209</v>
      </c>
      <c r="B123" s="246" t="s">
        <v>753</v>
      </c>
      <c r="C123" s="261" t="s">
        <v>791</v>
      </c>
      <c r="D123" s="261"/>
      <c r="E123" s="246" t="s">
        <v>1021</v>
      </c>
      <c r="F123" s="246"/>
      <c r="G123" s="246"/>
      <c r="H123" s="246"/>
      <c r="I123" s="246"/>
      <c r="J123" s="246" t="s">
        <v>1012</v>
      </c>
      <c r="K123" s="246" t="s">
        <v>8</v>
      </c>
      <c r="L123" s="249">
        <v>23021</v>
      </c>
      <c r="M123" s="249" t="s">
        <v>960</v>
      </c>
      <c r="N123" s="246" t="s">
        <v>1020</v>
      </c>
      <c r="O123" s="246"/>
    </row>
    <row r="124" spans="1:15" ht="33.75" customHeight="1" x14ac:dyDescent="0.25">
      <c r="A124" s="277">
        <v>45217</v>
      </c>
      <c r="B124" s="246" t="s">
        <v>753</v>
      </c>
      <c r="C124" s="261" t="s">
        <v>791</v>
      </c>
      <c r="D124" s="261"/>
      <c r="E124" s="246" t="s">
        <v>1023</v>
      </c>
      <c r="F124" s="246"/>
      <c r="G124" s="246"/>
      <c r="H124" s="246"/>
      <c r="I124" s="246"/>
      <c r="J124" s="246" t="s">
        <v>1024</v>
      </c>
      <c r="K124" s="246" t="s">
        <v>8</v>
      </c>
      <c r="L124" s="249">
        <v>23020</v>
      </c>
      <c r="M124" s="249" t="s">
        <v>1025</v>
      </c>
      <c r="N124" s="248">
        <v>45241</v>
      </c>
      <c r="O124" s="246"/>
    </row>
    <row r="125" spans="1:15" ht="33.75" customHeight="1" x14ac:dyDescent="0.25">
      <c r="A125" s="248">
        <v>45250</v>
      </c>
      <c r="B125" s="246" t="s">
        <v>753</v>
      </c>
      <c r="C125" s="261" t="s">
        <v>791</v>
      </c>
      <c r="D125" s="261"/>
      <c r="E125" s="246" t="s">
        <v>1060</v>
      </c>
      <c r="F125" s="246"/>
      <c r="G125" s="246"/>
      <c r="H125" s="246"/>
      <c r="I125" s="246"/>
      <c r="J125" s="246" t="s">
        <v>1061</v>
      </c>
      <c r="K125" s="246" t="s">
        <v>8</v>
      </c>
      <c r="L125" s="249">
        <v>23018</v>
      </c>
      <c r="M125" s="246" t="s">
        <v>966</v>
      </c>
      <c r="N125" s="248">
        <v>45254</v>
      </c>
      <c r="O125" s="246"/>
    </row>
    <row r="126" spans="1:15" ht="33.75" customHeight="1" x14ac:dyDescent="0.25">
      <c r="A126" s="248">
        <v>45259</v>
      </c>
      <c r="B126" s="246" t="s">
        <v>753</v>
      </c>
      <c r="C126" s="261" t="s">
        <v>791</v>
      </c>
      <c r="D126" s="261"/>
      <c r="E126" s="246" t="s">
        <v>1069</v>
      </c>
      <c r="F126" s="246"/>
      <c r="G126" s="246"/>
      <c r="H126" s="246"/>
      <c r="I126" s="246"/>
      <c r="J126" s="246" t="s">
        <v>1070</v>
      </c>
      <c r="K126" s="246" t="s">
        <v>8</v>
      </c>
      <c r="L126" s="249">
        <v>23020</v>
      </c>
      <c r="M126" s="249" t="s">
        <v>1025</v>
      </c>
      <c r="N126" s="248">
        <v>45280</v>
      </c>
      <c r="O126" s="246"/>
    </row>
    <row r="127" spans="1:15" ht="33.75" customHeight="1" x14ac:dyDescent="0.25">
      <c r="A127" s="248">
        <v>45264</v>
      </c>
      <c r="B127" s="246" t="s">
        <v>1075</v>
      </c>
      <c r="C127" s="261" t="s">
        <v>53</v>
      </c>
      <c r="D127" s="261"/>
      <c r="E127" s="246" t="s">
        <v>1079</v>
      </c>
      <c r="F127" s="246"/>
      <c r="G127" s="246"/>
      <c r="H127" s="246"/>
      <c r="I127" s="246"/>
      <c r="J127" s="246" t="s">
        <v>1117</v>
      </c>
      <c r="K127" s="246" t="s">
        <v>13</v>
      </c>
      <c r="L127" s="249" t="s">
        <v>1076</v>
      </c>
      <c r="M127" s="342" t="s">
        <v>1077</v>
      </c>
      <c r="N127" s="248">
        <v>45281</v>
      </c>
      <c r="O127" s="274" t="s">
        <v>1078</v>
      </c>
    </row>
    <row r="128" spans="1:15" ht="33.75" customHeight="1" x14ac:dyDescent="0.25">
      <c r="A128" s="248">
        <v>45294</v>
      </c>
      <c r="B128" s="246" t="s">
        <v>1084</v>
      </c>
      <c r="C128" s="261" t="s">
        <v>791</v>
      </c>
      <c r="D128" s="261"/>
      <c r="E128" s="246"/>
      <c r="F128" s="246"/>
      <c r="G128" s="246"/>
      <c r="H128" s="246"/>
      <c r="I128" s="246"/>
      <c r="J128" s="246" t="s">
        <v>1116</v>
      </c>
      <c r="K128" s="246" t="s">
        <v>13</v>
      </c>
      <c r="L128" s="249" t="s">
        <v>1177</v>
      </c>
      <c r="M128" s="342" t="s">
        <v>1132</v>
      </c>
      <c r="N128" s="248">
        <v>45329</v>
      </c>
      <c r="O128" s="389" t="s">
        <v>1113</v>
      </c>
    </row>
    <row r="129" spans="1:15" ht="33.75" customHeight="1" x14ac:dyDescent="0.25">
      <c r="A129" s="307">
        <v>45294</v>
      </c>
      <c r="B129" s="274" t="s">
        <v>1089</v>
      </c>
      <c r="C129" s="308" t="s">
        <v>53</v>
      </c>
      <c r="D129" s="308"/>
      <c r="E129" s="274"/>
      <c r="F129" s="274"/>
      <c r="G129" s="274"/>
      <c r="H129" s="274"/>
      <c r="I129" s="246" t="s">
        <v>550</v>
      </c>
      <c r="J129" s="274" t="s">
        <v>570</v>
      </c>
      <c r="K129" s="274" t="s">
        <v>13</v>
      </c>
      <c r="L129" s="309"/>
      <c r="M129" s="343"/>
      <c r="N129" s="307" t="s">
        <v>1090</v>
      </c>
      <c r="O129" s="274"/>
    </row>
    <row r="130" spans="1:15" ht="33.75" customHeight="1" x14ac:dyDescent="0.25">
      <c r="A130" s="307">
        <v>45295</v>
      </c>
      <c r="B130" s="274" t="s">
        <v>1091</v>
      </c>
      <c r="C130" s="308" t="s">
        <v>14</v>
      </c>
      <c r="D130" s="308"/>
      <c r="E130" s="274" t="s">
        <v>1092</v>
      </c>
      <c r="F130" s="274"/>
      <c r="G130" s="274"/>
      <c r="H130" s="274"/>
      <c r="I130" s="274"/>
      <c r="J130" s="274" t="s">
        <v>1095</v>
      </c>
      <c r="K130" s="274" t="s">
        <v>8</v>
      </c>
      <c r="L130" s="309"/>
      <c r="M130" s="343"/>
      <c r="N130" s="274" t="s">
        <v>1092</v>
      </c>
      <c r="O130" s="274" t="s">
        <v>1223</v>
      </c>
    </row>
    <row r="131" spans="1:15" ht="33.75" customHeight="1" x14ac:dyDescent="0.25">
      <c r="A131" s="248">
        <v>45295</v>
      </c>
      <c r="B131" s="246" t="s">
        <v>1089</v>
      </c>
      <c r="C131" s="261" t="s">
        <v>53</v>
      </c>
      <c r="D131" s="261"/>
      <c r="E131" s="246" t="s">
        <v>1093</v>
      </c>
      <c r="F131" s="246"/>
      <c r="G131" s="246"/>
      <c r="H131" s="246"/>
      <c r="I131" s="246"/>
      <c r="J131" s="246" t="s">
        <v>1118</v>
      </c>
      <c r="K131" s="246" t="s">
        <v>13</v>
      </c>
      <c r="L131" s="249">
        <v>24001</v>
      </c>
      <c r="M131" s="344" t="s">
        <v>1094</v>
      </c>
      <c r="N131" s="248" t="s">
        <v>1111</v>
      </c>
      <c r="O131" s="246"/>
    </row>
    <row r="132" spans="1:15" ht="33.75" customHeight="1" x14ac:dyDescent="0.25">
      <c r="A132" s="248">
        <v>45295</v>
      </c>
      <c r="B132" s="246" t="s">
        <v>1091</v>
      </c>
      <c r="C132" s="261" t="s">
        <v>14</v>
      </c>
      <c r="D132" s="261"/>
      <c r="E132" s="246" t="s">
        <v>1096</v>
      </c>
      <c r="F132" s="246"/>
      <c r="G132" s="246"/>
      <c r="H132" s="246"/>
      <c r="I132" s="246"/>
      <c r="J132" s="246" t="s">
        <v>1115</v>
      </c>
      <c r="K132" s="246" t="s">
        <v>8</v>
      </c>
      <c r="L132" s="249">
        <v>24001</v>
      </c>
      <c r="M132" s="344" t="s">
        <v>1097</v>
      </c>
      <c r="N132" s="248">
        <v>45323</v>
      </c>
      <c r="O132" s="389" t="s">
        <v>1128</v>
      </c>
    </row>
    <row r="133" spans="1:15" ht="33.75" customHeight="1" x14ac:dyDescent="0.25">
      <c r="A133" s="307">
        <v>45299</v>
      </c>
      <c r="B133" s="274" t="s">
        <v>1101</v>
      </c>
      <c r="C133" s="308" t="s">
        <v>1098</v>
      </c>
      <c r="D133" s="308"/>
      <c r="E133" s="274" t="s">
        <v>1100</v>
      </c>
      <c r="F133" s="274"/>
      <c r="G133" s="274"/>
      <c r="H133" s="274"/>
      <c r="I133" s="274"/>
      <c r="J133" s="274" t="s">
        <v>805</v>
      </c>
      <c r="K133" s="274" t="s">
        <v>13</v>
      </c>
      <c r="L133" s="309">
        <v>23028</v>
      </c>
      <c r="M133" s="384" t="s">
        <v>1099</v>
      </c>
      <c r="N133" s="307" t="s">
        <v>1112</v>
      </c>
      <c r="O133" s="246"/>
    </row>
    <row r="134" spans="1:15" ht="33.75" customHeight="1" x14ac:dyDescent="0.25">
      <c r="A134" s="307">
        <v>45307</v>
      </c>
      <c r="B134" s="274" t="s">
        <v>1089</v>
      </c>
      <c r="C134" s="308" t="s">
        <v>53</v>
      </c>
      <c r="D134" s="308"/>
      <c r="E134" s="274"/>
      <c r="F134" s="274"/>
      <c r="G134" s="274"/>
      <c r="H134" s="274"/>
      <c r="I134" s="274"/>
      <c r="J134" s="274" t="s">
        <v>570</v>
      </c>
      <c r="K134" s="274" t="s">
        <v>13</v>
      </c>
      <c r="L134" s="309"/>
      <c r="M134" s="384"/>
      <c r="N134" s="307" t="s">
        <v>1126</v>
      </c>
      <c r="O134" s="246"/>
    </row>
    <row r="135" spans="1:15" ht="33.75" customHeight="1" x14ac:dyDescent="0.25">
      <c r="A135" s="307">
        <v>45313</v>
      </c>
      <c r="B135" s="274" t="s">
        <v>1123</v>
      </c>
      <c r="C135" s="308" t="s">
        <v>53</v>
      </c>
      <c r="D135" s="308"/>
      <c r="E135" s="274" t="s">
        <v>1124</v>
      </c>
      <c r="F135" s="274"/>
      <c r="G135" s="274"/>
      <c r="H135" s="274"/>
      <c r="I135" s="274"/>
      <c r="J135" s="274" t="s">
        <v>570</v>
      </c>
      <c r="K135" s="274" t="s">
        <v>13</v>
      </c>
      <c r="L135" s="309"/>
      <c r="M135" s="384"/>
      <c r="N135" s="307"/>
      <c r="O135" s="246"/>
    </row>
    <row r="136" spans="1:15" ht="33.75" customHeight="1" x14ac:dyDescent="0.25">
      <c r="A136" s="248">
        <v>45314</v>
      </c>
      <c r="B136" s="246" t="s">
        <v>1123</v>
      </c>
      <c r="C136" s="261" t="s">
        <v>53</v>
      </c>
      <c r="D136" s="261"/>
      <c r="E136" s="246" t="s">
        <v>1125</v>
      </c>
      <c r="F136" s="274"/>
      <c r="G136" s="274"/>
      <c r="H136" s="274"/>
      <c r="I136" s="246" t="s">
        <v>550</v>
      </c>
      <c r="J136" s="246" t="s">
        <v>1118</v>
      </c>
      <c r="K136" s="246" t="s">
        <v>13</v>
      </c>
      <c r="L136" s="249">
        <v>24001</v>
      </c>
      <c r="M136" s="344" t="s">
        <v>1094</v>
      </c>
      <c r="N136" s="307" t="s">
        <v>1162</v>
      </c>
      <c r="O136" s="246"/>
    </row>
    <row r="137" spans="1:15" ht="33.75" customHeight="1" x14ac:dyDescent="0.25">
      <c r="A137" s="307">
        <v>45327</v>
      </c>
      <c r="B137" s="274" t="s">
        <v>1145</v>
      </c>
      <c r="C137" s="308" t="s">
        <v>5</v>
      </c>
      <c r="D137" s="308"/>
      <c r="E137" s="274"/>
      <c r="F137" s="274"/>
      <c r="G137" s="274"/>
      <c r="H137" s="274"/>
      <c r="I137" s="274"/>
      <c r="J137" s="274" t="s">
        <v>920</v>
      </c>
      <c r="K137" s="274" t="s">
        <v>8</v>
      </c>
      <c r="L137" s="309"/>
      <c r="M137" s="384"/>
      <c r="N137" s="307" t="s">
        <v>1146</v>
      </c>
      <c r="O137" s="274" t="s">
        <v>1147</v>
      </c>
    </row>
    <row r="138" spans="1:15" ht="33.75" customHeight="1" x14ac:dyDescent="0.25">
      <c r="A138" s="307">
        <v>45338</v>
      </c>
      <c r="B138" s="274" t="s">
        <v>1123</v>
      </c>
      <c r="C138" s="308" t="s">
        <v>53</v>
      </c>
      <c r="D138" s="308"/>
      <c r="E138" s="274"/>
      <c r="F138" s="274"/>
      <c r="G138" s="274"/>
      <c r="H138" s="274"/>
      <c r="I138" s="274"/>
      <c r="J138" s="274" t="s">
        <v>570</v>
      </c>
      <c r="K138" s="274" t="s">
        <v>13</v>
      </c>
      <c r="L138" s="309"/>
      <c r="M138" s="384"/>
      <c r="N138" s="307" t="s">
        <v>1168</v>
      </c>
      <c r="O138" s="274" t="s">
        <v>1169</v>
      </c>
    </row>
    <row r="139" spans="1:15" ht="33.75" customHeight="1" x14ac:dyDescent="0.25">
      <c r="A139" s="307">
        <v>45331</v>
      </c>
      <c r="B139" s="274" t="s">
        <v>1084</v>
      </c>
      <c r="C139" s="308" t="s">
        <v>14</v>
      </c>
      <c r="D139" s="308"/>
      <c r="E139" s="274"/>
      <c r="F139" s="274"/>
      <c r="G139" s="274"/>
      <c r="H139" s="274"/>
      <c r="I139" s="274"/>
      <c r="J139" s="274" t="s">
        <v>1170</v>
      </c>
      <c r="K139" s="274" t="s">
        <v>13</v>
      </c>
      <c r="L139" s="309"/>
      <c r="M139" s="384"/>
      <c r="N139" s="307" t="s">
        <v>1171</v>
      </c>
      <c r="O139" s="274" t="s">
        <v>1147</v>
      </c>
    </row>
    <row r="141" spans="1:15" ht="33.75" customHeight="1" x14ac:dyDescent="0.25">
      <c r="A141" s="307">
        <v>45342</v>
      </c>
      <c r="B141" s="274" t="s">
        <v>1176</v>
      </c>
      <c r="C141" s="308" t="s">
        <v>5</v>
      </c>
      <c r="D141" s="308"/>
      <c r="E141" s="274" t="s">
        <v>1175</v>
      </c>
      <c r="F141" s="274"/>
      <c r="G141" s="274"/>
      <c r="H141" s="274"/>
      <c r="I141" s="246"/>
      <c r="J141" s="274" t="s">
        <v>1186</v>
      </c>
      <c r="K141" s="274" t="s">
        <v>13</v>
      </c>
      <c r="L141" s="249">
        <v>24004</v>
      </c>
      <c r="M141" s="384" t="s">
        <v>1174</v>
      </c>
      <c r="N141" s="246" t="s">
        <v>1185</v>
      </c>
      <c r="O141" s="274"/>
    </row>
    <row r="142" spans="1:15" ht="33.75" customHeight="1" x14ac:dyDescent="0.25">
      <c r="A142" s="307">
        <v>45342</v>
      </c>
      <c r="B142" s="274" t="s">
        <v>1123</v>
      </c>
      <c r="C142" s="308" t="s">
        <v>53</v>
      </c>
      <c r="D142" s="308"/>
      <c r="E142" s="274" t="s">
        <v>1124</v>
      </c>
      <c r="F142" s="274"/>
      <c r="G142" s="274"/>
      <c r="H142" s="274"/>
      <c r="I142" s="274"/>
      <c r="J142" s="274" t="s">
        <v>1187</v>
      </c>
      <c r="K142" s="274" t="s">
        <v>13</v>
      </c>
      <c r="L142" s="249">
        <v>24004</v>
      </c>
      <c r="M142" s="384" t="s">
        <v>1174</v>
      </c>
      <c r="N142" s="246" t="s">
        <v>1185</v>
      </c>
      <c r="O142" s="274"/>
    </row>
    <row r="143" spans="1:15" ht="33.75" customHeight="1" x14ac:dyDescent="0.25">
      <c r="A143" s="307">
        <v>45355</v>
      </c>
      <c r="B143" s="274" t="s">
        <v>1176</v>
      </c>
      <c r="C143" s="308" t="s">
        <v>5</v>
      </c>
      <c r="D143" s="308"/>
      <c r="E143" s="274"/>
      <c r="F143" s="274"/>
      <c r="G143" s="274"/>
      <c r="H143" s="274"/>
      <c r="I143" s="274"/>
      <c r="J143" s="274" t="s">
        <v>1188</v>
      </c>
      <c r="K143" s="274" t="s">
        <v>13</v>
      </c>
      <c r="L143" s="249">
        <v>24007</v>
      </c>
      <c r="M143" s="384" t="s">
        <v>1196</v>
      </c>
      <c r="N143" s="246" t="s">
        <v>1208</v>
      </c>
      <c r="O143" s="274"/>
    </row>
    <row r="144" spans="1:15" ht="33.75" customHeight="1" x14ac:dyDescent="0.25">
      <c r="A144" s="307">
        <v>45356</v>
      </c>
      <c r="B144" s="274" t="s">
        <v>1123</v>
      </c>
      <c r="C144" s="308" t="s">
        <v>53</v>
      </c>
      <c r="D144" s="308"/>
      <c r="E144" s="274"/>
      <c r="F144" s="274"/>
      <c r="G144" s="274"/>
      <c r="H144" s="274"/>
      <c r="I144" s="274"/>
      <c r="J144" s="274" t="s">
        <v>563</v>
      </c>
      <c r="K144" s="274" t="s">
        <v>13</v>
      </c>
      <c r="L144" s="249">
        <v>24004</v>
      </c>
      <c r="M144" s="384"/>
      <c r="N144" s="274" t="s">
        <v>1198</v>
      </c>
      <c r="O144" s="274"/>
    </row>
    <row r="145" spans="1:15" ht="33.75" customHeight="1" x14ac:dyDescent="0.25">
      <c r="A145" s="307">
        <v>45373</v>
      </c>
      <c r="B145" s="274" t="s">
        <v>1176</v>
      </c>
      <c r="C145" s="308" t="s">
        <v>5</v>
      </c>
      <c r="D145" s="308"/>
      <c r="E145" s="274"/>
      <c r="F145" s="274"/>
      <c r="G145" s="274"/>
      <c r="H145" s="274"/>
      <c r="I145" s="274"/>
      <c r="J145" s="274" t="s">
        <v>1225</v>
      </c>
      <c r="K145" s="274" t="s">
        <v>13</v>
      </c>
      <c r="L145" s="249">
        <v>24007</v>
      </c>
      <c r="M145" s="384" t="s">
        <v>1224</v>
      </c>
      <c r="N145" s="307" t="s">
        <v>1226</v>
      </c>
      <c r="O145" s="274"/>
    </row>
    <row r="147" spans="1:15" ht="33.75" customHeight="1" x14ac:dyDescent="0.25">
      <c r="A147" s="307">
        <v>45390</v>
      </c>
      <c r="B147" s="274" t="s">
        <v>1257</v>
      </c>
      <c r="C147" s="308" t="s">
        <v>53</v>
      </c>
      <c r="D147" s="308"/>
      <c r="E147" s="307">
        <v>45419</v>
      </c>
      <c r="F147" s="274" t="s">
        <v>1321</v>
      </c>
      <c r="G147" s="274"/>
      <c r="H147" s="274"/>
      <c r="I147" s="246" t="s">
        <v>550</v>
      </c>
      <c r="J147" s="274" t="s">
        <v>570</v>
      </c>
      <c r="K147" s="274" t="s">
        <v>13</v>
      </c>
      <c r="L147" s="309" t="s">
        <v>1255</v>
      </c>
      <c r="M147" s="384" t="s">
        <v>1224</v>
      </c>
      <c r="N147" s="307"/>
      <c r="O147" s="274" t="s">
        <v>1320</v>
      </c>
    </row>
    <row r="148" spans="1:15" ht="33.75" customHeight="1" x14ac:dyDescent="0.25">
      <c r="A148" s="307">
        <v>45390</v>
      </c>
      <c r="B148" s="274" t="s">
        <v>1263</v>
      </c>
      <c r="C148" s="308" t="s">
        <v>53</v>
      </c>
      <c r="D148" s="308"/>
      <c r="E148" s="274"/>
      <c r="F148" s="274"/>
      <c r="G148" s="274"/>
      <c r="H148" s="274"/>
      <c r="I148" s="274"/>
      <c r="J148" s="274" t="s">
        <v>920</v>
      </c>
      <c r="K148" s="274" t="s">
        <v>1256</v>
      </c>
      <c r="L148" s="309" t="s">
        <v>1255</v>
      </c>
      <c r="M148" s="384" t="s">
        <v>1224</v>
      </c>
      <c r="N148" s="307"/>
      <c r="O148" s="274"/>
    </row>
    <row r="149" spans="1:15" ht="33.75" customHeight="1" x14ac:dyDescent="0.25">
      <c r="A149" s="307">
        <v>45390</v>
      </c>
      <c r="B149" s="274" t="s">
        <v>1288</v>
      </c>
      <c r="C149" s="308" t="s">
        <v>15</v>
      </c>
      <c r="D149" s="308"/>
      <c r="E149" s="274"/>
      <c r="F149" s="274"/>
      <c r="G149" s="274"/>
      <c r="H149" s="274"/>
      <c r="I149" s="274"/>
      <c r="J149" s="274" t="s">
        <v>794</v>
      </c>
      <c r="K149" s="274" t="s">
        <v>8</v>
      </c>
      <c r="L149" s="309" t="s">
        <v>1255</v>
      </c>
      <c r="M149" s="384" t="s">
        <v>1224</v>
      </c>
      <c r="N149" s="307"/>
      <c r="O149" s="274"/>
    </row>
    <row r="150" spans="1:15" ht="33.75" customHeight="1" x14ac:dyDescent="0.25">
      <c r="A150" s="307">
        <v>45391</v>
      </c>
      <c r="B150" s="274" t="s">
        <v>1257</v>
      </c>
      <c r="C150" s="308" t="s">
        <v>53</v>
      </c>
      <c r="D150" s="308"/>
      <c r="E150" s="274"/>
      <c r="F150" s="274"/>
      <c r="G150" s="274"/>
      <c r="H150" s="274"/>
      <c r="I150" s="246" t="s">
        <v>550</v>
      </c>
      <c r="J150" s="274" t="s">
        <v>1186</v>
      </c>
      <c r="K150" s="274" t="s">
        <v>13</v>
      </c>
      <c r="L150" s="249" t="s">
        <v>1266</v>
      </c>
      <c r="M150" s="384" t="s">
        <v>1267</v>
      </c>
      <c r="N150" s="274" t="s">
        <v>1307</v>
      </c>
      <c r="O150" s="274"/>
    </row>
    <row r="151" spans="1:15" ht="33.75" customHeight="1" x14ac:dyDescent="0.25">
      <c r="A151" s="307">
        <v>45390</v>
      </c>
      <c r="B151" s="274" t="s">
        <v>1263</v>
      </c>
      <c r="C151" s="308" t="s">
        <v>53</v>
      </c>
      <c r="D151" s="308"/>
      <c r="E151" s="274"/>
      <c r="F151" s="274"/>
      <c r="G151" s="274"/>
      <c r="H151" s="274"/>
      <c r="I151" s="274"/>
      <c r="J151" s="274" t="s">
        <v>1262</v>
      </c>
      <c r="K151" s="274" t="s">
        <v>1256</v>
      </c>
      <c r="L151" s="249">
        <v>24010</v>
      </c>
      <c r="M151" s="384" t="s">
        <v>1251</v>
      </c>
      <c r="N151" s="307" t="s">
        <v>1343</v>
      </c>
      <c r="O151" s="274" t="s">
        <v>1310</v>
      </c>
    </row>
    <row r="152" spans="1:15" ht="33.75" customHeight="1" x14ac:dyDescent="0.25">
      <c r="A152" s="307">
        <v>45390</v>
      </c>
      <c r="B152" s="274" t="s">
        <v>1288</v>
      </c>
      <c r="C152" s="308" t="s">
        <v>15</v>
      </c>
      <c r="D152" s="308"/>
      <c r="E152" s="274"/>
      <c r="F152" s="274"/>
      <c r="G152" s="274"/>
      <c r="H152" s="274"/>
      <c r="I152" s="274"/>
      <c r="J152" s="274" t="s">
        <v>1250</v>
      </c>
      <c r="K152" s="274" t="s">
        <v>8</v>
      </c>
      <c r="L152" s="249" t="s">
        <v>1265</v>
      </c>
      <c r="M152" s="384" t="s">
        <v>1268</v>
      </c>
      <c r="N152" s="307" t="s">
        <v>1351</v>
      </c>
      <c r="O152" s="274" t="s">
        <v>1309</v>
      </c>
    </row>
    <row r="153" spans="1:15" ht="33.75" customHeight="1" x14ac:dyDescent="0.25">
      <c r="A153" s="307">
        <v>45390</v>
      </c>
      <c r="B153" s="274" t="s">
        <v>1264</v>
      </c>
      <c r="C153" s="274" t="s">
        <v>5</v>
      </c>
      <c r="D153" s="274"/>
      <c r="E153" s="246" t="s">
        <v>1277</v>
      </c>
      <c r="F153" s="246"/>
      <c r="G153" s="246"/>
      <c r="H153" s="246"/>
      <c r="I153" s="246"/>
      <c r="J153" s="274" t="s">
        <v>1252</v>
      </c>
      <c r="K153" s="274" t="s">
        <v>13</v>
      </c>
      <c r="L153" s="249">
        <v>24010</v>
      </c>
      <c r="M153" s="384" t="s">
        <v>1251</v>
      </c>
      <c r="N153" s="274" t="s">
        <v>1278</v>
      </c>
      <c r="O153" s="246"/>
    </row>
    <row r="154" spans="1:15" ht="33.75" customHeight="1" x14ac:dyDescent="0.25">
      <c r="A154" s="307">
        <v>45397</v>
      </c>
      <c r="B154" s="274" t="s">
        <v>1276</v>
      </c>
      <c r="C154" s="274" t="s">
        <v>53</v>
      </c>
      <c r="D154" s="274"/>
      <c r="E154" s="307">
        <v>45419</v>
      </c>
      <c r="F154" s="274" t="s">
        <v>1322</v>
      </c>
      <c r="G154" s="246"/>
      <c r="H154" s="246"/>
      <c r="I154" s="246"/>
      <c r="J154" s="274" t="s">
        <v>835</v>
      </c>
      <c r="K154" s="274" t="s">
        <v>13</v>
      </c>
      <c r="L154" s="309" t="s">
        <v>1274</v>
      </c>
      <c r="M154" s="384"/>
      <c r="N154" s="246"/>
      <c r="O154" s="246"/>
    </row>
    <row r="155" spans="1:15" ht="33.75" customHeight="1" x14ac:dyDescent="0.25">
      <c r="A155" s="307">
        <v>45397</v>
      </c>
      <c r="B155" s="274" t="s">
        <v>1276</v>
      </c>
      <c r="C155" s="274" t="s">
        <v>53</v>
      </c>
      <c r="D155" s="274"/>
      <c r="E155" s="246"/>
      <c r="F155" s="246"/>
      <c r="G155" s="246"/>
      <c r="H155" s="246"/>
      <c r="I155" s="246"/>
      <c r="J155" s="274" t="s">
        <v>835</v>
      </c>
      <c r="K155" s="274" t="s">
        <v>13</v>
      </c>
      <c r="L155" s="249">
        <v>24015</v>
      </c>
      <c r="M155" s="384" t="s">
        <v>1275</v>
      </c>
      <c r="N155" s="246"/>
      <c r="O155" s="246"/>
    </row>
    <row r="156" spans="1:15" ht="33.75" customHeight="1" x14ac:dyDescent="0.25">
      <c r="A156" s="307">
        <v>45404</v>
      </c>
      <c r="B156" s="274" t="s">
        <v>1276</v>
      </c>
      <c r="C156" s="274" t="s">
        <v>53</v>
      </c>
      <c r="D156" s="274"/>
      <c r="E156" s="246"/>
      <c r="F156" s="246"/>
      <c r="G156" s="246"/>
      <c r="H156" s="246"/>
      <c r="I156" s="246"/>
      <c r="J156" s="274" t="s">
        <v>1281</v>
      </c>
      <c r="K156" s="274" t="s">
        <v>13</v>
      </c>
      <c r="L156" s="249">
        <v>24015</v>
      </c>
      <c r="M156" s="384" t="s">
        <v>1275</v>
      </c>
      <c r="N156" s="274" t="s">
        <v>1307</v>
      </c>
      <c r="O156" s="246"/>
    </row>
    <row r="157" spans="1:15" ht="33.75" customHeight="1" x14ac:dyDescent="0.25">
      <c r="A157" s="307">
        <v>45404</v>
      </c>
      <c r="B157" s="274" t="s">
        <v>1276</v>
      </c>
      <c r="C157" s="274" t="s">
        <v>53</v>
      </c>
      <c r="D157" s="274"/>
      <c r="E157" s="246"/>
      <c r="F157" s="246"/>
      <c r="G157" s="246"/>
      <c r="H157" s="246"/>
      <c r="I157" s="246"/>
      <c r="J157" s="274" t="s">
        <v>1281</v>
      </c>
      <c r="K157" s="274" t="s">
        <v>13</v>
      </c>
      <c r="L157" s="249">
        <v>24015</v>
      </c>
      <c r="M157" s="384" t="s">
        <v>1275</v>
      </c>
      <c r="N157" s="274" t="s">
        <v>1307</v>
      </c>
      <c r="O157" s="246"/>
    </row>
    <row r="159" spans="1:15" ht="33.75" customHeight="1" x14ac:dyDescent="0.25">
      <c r="A159" s="307">
        <v>45414</v>
      </c>
      <c r="B159" s="274" t="s">
        <v>1332</v>
      </c>
      <c r="C159" s="274" t="s">
        <v>5</v>
      </c>
      <c r="D159" s="274"/>
      <c r="E159" s="246"/>
      <c r="F159" s="246"/>
      <c r="G159" s="246"/>
      <c r="H159" s="246"/>
      <c r="I159" s="246" t="s">
        <v>550</v>
      </c>
      <c r="J159" s="274" t="s">
        <v>1186</v>
      </c>
      <c r="K159" s="274" t="s">
        <v>13</v>
      </c>
      <c r="L159" s="249">
        <v>24013</v>
      </c>
      <c r="M159" s="384" t="s">
        <v>1345</v>
      </c>
      <c r="N159" s="274" t="s">
        <v>1367</v>
      </c>
      <c r="O159" s="246"/>
    </row>
    <row r="160" spans="1:15" ht="33.75" customHeight="1" x14ac:dyDescent="0.25">
      <c r="A160" s="307">
        <v>45433</v>
      </c>
      <c r="B160" s="274" t="s">
        <v>1288</v>
      </c>
      <c r="C160" s="308" t="s">
        <v>15</v>
      </c>
      <c r="D160" s="308"/>
      <c r="E160" s="246"/>
      <c r="F160" s="246"/>
      <c r="G160" s="246"/>
      <c r="H160" s="246"/>
      <c r="I160" s="246"/>
      <c r="J160" s="274" t="s">
        <v>794</v>
      </c>
      <c r="K160" s="274" t="s">
        <v>8</v>
      </c>
      <c r="L160" s="249"/>
      <c r="M160" s="384" t="s">
        <v>1352</v>
      </c>
      <c r="N160" s="274"/>
      <c r="O160" s="246"/>
    </row>
    <row r="161" spans="1:15" ht="33.75" customHeight="1" x14ac:dyDescent="0.25">
      <c r="A161" s="307">
        <v>45432</v>
      </c>
      <c r="B161" s="274" t="s">
        <v>1176</v>
      </c>
      <c r="C161" s="308" t="s">
        <v>5</v>
      </c>
      <c r="D161" s="308"/>
      <c r="E161" s="246"/>
      <c r="F161" s="246"/>
      <c r="G161" s="246"/>
      <c r="H161" s="246"/>
      <c r="I161" s="246"/>
      <c r="J161" s="274" t="s">
        <v>920</v>
      </c>
      <c r="K161" s="274" t="s">
        <v>13</v>
      </c>
      <c r="L161" s="249" t="s">
        <v>1338</v>
      </c>
      <c r="M161" s="384" t="s">
        <v>1337</v>
      </c>
      <c r="N161" s="274" t="s">
        <v>1362</v>
      </c>
      <c r="O161" s="246"/>
    </row>
    <row r="162" spans="1:15" ht="33.75" customHeight="1" x14ac:dyDescent="0.25">
      <c r="A162" s="307">
        <v>45427</v>
      </c>
      <c r="B162" s="274" t="s">
        <v>1263</v>
      </c>
      <c r="C162" s="308" t="s">
        <v>53</v>
      </c>
      <c r="D162" s="308"/>
      <c r="E162" s="246"/>
      <c r="F162" s="246"/>
      <c r="G162" s="246"/>
      <c r="H162" s="246"/>
      <c r="I162" s="246"/>
      <c r="J162" s="274" t="s">
        <v>920</v>
      </c>
      <c r="K162" s="274" t="s">
        <v>1256</v>
      </c>
      <c r="L162" s="249">
        <v>24010</v>
      </c>
      <c r="M162" s="384" t="s">
        <v>1251</v>
      </c>
      <c r="N162" s="274" t="s">
        <v>1348</v>
      </c>
      <c r="O162" s="246"/>
    </row>
    <row r="163" spans="1:15" ht="33.75" customHeight="1" x14ac:dyDescent="0.25">
      <c r="A163" s="307">
        <v>45428</v>
      </c>
      <c r="B163" s="274" t="s">
        <v>1349</v>
      </c>
      <c r="C163" s="308" t="s">
        <v>14</v>
      </c>
      <c r="D163" s="308"/>
      <c r="E163" s="246"/>
      <c r="F163" s="246"/>
      <c r="G163" s="246"/>
      <c r="H163" s="246"/>
      <c r="I163" s="246"/>
      <c r="J163" s="274" t="s">
        <v>1252</v>
      </c>
      <c r="K163" s="274" t="s">
        <v>13</v>
      </c>
      <c r="L163" s="249" t="s">
        <v>1391</v>
      </c>
      <c r="M163" s="384" t="s">
        <v>1344</v>
      </c>
      <c r="N163" s="274"/>
      <c r="O163" s="246"/>
    </row>
    <row r="164" spans="1:15" ht="33.75" customHeight="1" x14ac:dyDescent="0.25">
      <c r="A164" s="307">
        <v>45441</v>
      </c>
      <c r="B164" s="274" t="s">
        <v>1356</v>
      </c>
      <c r="C164" s="308" t="s">
        <v>5</v>
      </c>
      <c r="D164" s="308"/>
      <c r="E164" s="246"/>
      <c r="F164" s="246"/>
      <c r="G164" s="246"/>
      <c r="H164" s="246"/>
      <c r="I164" s="246"/>
      <c r="J164" s="274" t="s">
        <v>794</v>
      </c>
      <c r="K164" s="274" t="s">
        <v>13</v>
      </c>
      <c r="L164" s="249"/>
      <c r="M164" s="384"/>
      <c r="N164" s="384" t="s">
        <v>1357</v>
      </c>
      <c r="O164" s="246"/>
    </row>
    <row r="165" spans="1:15" ht="33.75" customHeight="1" x14ac:dyDescent="0.25">
      <c r="A165" s="307">
        <v>45441</v>
      </c>
      <c r="B165" s="274" t="s">
        <v>1356</v>
      </c>
      <c r="C165" s="308" t="s">
        <v>5</v>
      </c>
      <c r="D165" s="308"/>
      <c r="E165" s="246"/>
      <c r="F165" s="246"/>
      <c r="G165" s="246"/>
      <c r="H165" s="246"/>
      <c r="I165" s="246"/>
      <c r="J165" s="274" t="s">
        <v>794</v>
      </c>
      <c r="K165" s="274" t="s">
        <v>13</v>
      </c>
      <c r="L165" s="249" t="s">
        <v>1381</v>
      </c>
      <c r="M165" s="384" t="s">
        <v>1380</v>
      </c>
      <c r="N165" s="482">
        <v>45478</v>
      </c>
      <c r="O165" s="246" t="s">
        <v>1382</v>
      </c>
    </row>
    <row r="166" spans="1:15" ht="33.75" customHeight="1" x14ac:dyDescent="0.25">
      <c r="A166" s="477"/>
      <c r="B166" s="478"/>
      <c r="C166" s="479"/>
      <c r="D166" s="479"/>
      <c r="J166" s="478"/>
      <c r="K166" s="478"/>
      <c r="L166" s="480"/>
      <c r="M166" s="481"/>
      <c r="N166" s="481"/>
    </row>
    <row r="167" spans="1:15" ht="33.75" customHeight="1" x14ac:dyDescent="0.25">
      <c r="A167" s="307">
        <v>45461</v>
      </c>
      <c r="B167" s="274" t="s">
        <v>1176</v>
      </c>
      <c r="C167" s="308" t="s">
        <v>5</v>
      </c>
      <c r="D167" s="308"/>
      <c r="E167" s="246"/>
      <c r="F167" s="246"/>
      <c r="G167" s="246"/>
      <c r="H167" s="246"/>
      <c r="I167" s="246"/>
      <c r="J167" s="274" t="s">
        <v>1364</v>
      </c>
      <c r="K167" s="274" t="s">
        <v>13</v>
      </c>
      <c r="L167" s="249">
        <v>24020</v>
      </c>
      <c r="M167" s="384" t="s">
        <v>1363</v>
      </c>
      <c r="N167" s="482">
        <v>45462</v>
      </c>
      <c r="O167" s="246"/>
    </row>
    <row r="168" spans="1:15" ht="33.75" customHeight="1" x14ac:dyDescent="0.25">
      <c r="A168" s="307">
        <v>45461</v>
      </c>
      <c r="B168" s="274" t="s">
        <v>1332</v>
      </c>
      <c r="C168" s="308" t="s">
        <v>5</v>
      </c>
      <c r="D168" s="308"/>
      <c r="E168" s="246"/>
      <c r="F168" s="246"/>
      <c r="G168" s="246"/>
      <c r="H168" s="246"/>
      <c r="I168" s="246"/>
      <c r="J168" s="274" t="s">
        <v>1186</v>
      </c>
      <c r="K168" s="274" t="s">
        <v>13</v>
      </c>
      <c r="L168" s="249">
        <v>24020</v>
      </c>
      <c r="M168" s="384" t="s">
        <v>1363</v>
      </c>
      <c r="N168" s="482"/>
      <c r="O168" s="246"/>
    </row>
    <row r="169" spans="1:15" ht="33.75" customHeight="1" x14ac:dyDescent="0.25">
      <c r="A169" s="307">
        <v>45468</v>
      </c>
      <c r="B169" s="274" t="s">
        <v>1176</v>
      </c>
      <c r="C169" s="308" t="s">
        <v>5</v>
      </c>
      <c r="D169" s="308"/>
      <c r="E169" s="246"/>
      <c r="F169" s="246"/>
      <c r="G169" s="246"/>
      <c r="H169" s="246"/>
      <c r="I169" s="246"/>
      <c r="J169" s="274" t="s">
        <v>1386</v>
      </c>
      <c r="K169" s="274" t="s">
        <v>13</v>
      </c>
      <c r="L169" s="249" t="s">
        <v>1369</v>
      </c>
      <c r="M169" s="384" t="s">
        <v>1379</v>
      </c>
      <c r="N169" s="482">
        <v>45477</v>
      </c>
      <c r="O169" s="246" t="s">
        <v>1383</v>
      </c>
    </row>
    <row r="171" spans="1:15" ht="33.75" customHeight="1" x14ac:dyDescent="0.25">
      <c r="A171" s="307">
        <v>45484</v>
      </c>
      <c r="B171" s="274" t="s">
        <v>1356</v>
      </c>
      <c r="C171" s="308" t="s">
        <v>5</v>
      </c>
      <c r="D171" s="308"/>
      <c r="E171" s="246"/>
      <c r="F171" s="246"/>
      <c r="G171" s="246"/>
      <c r="H171" s="246"/>
      <c r="I171" s="246"/>
      <c r="J171" s="274" t="s">
        <v>1406</v>
      </c>
      <c r="K171" s="274" t="s">
        <v>13</v>
      </c>
      <c r="L171" s="249">
        <v>24022</v>
      </c>
      <c r="M171" s="384" t="s">
        <v>1405</v>
      </c>
      <c r="N171" s="482">
        <v>45506</v>
      </c>
      <c r="O171" s="246" t="s">
        <v>1425</v>
      </c>
    </row>
    <row r="172" spans="1:15" ht="33.75" customHeight="1" x14ac:dyDescent="0.25">
      <c r="A172" s="307">
        <v>45488</v>
      </c>
      <c r="B172" s="274" t="s">
        <v>1176</v>
      </c>
      <c r="C172" s="308" t="s">
        <v>5</v>
      </c>
      <c r="D172" s="308"/>
      <c r="E172" s="246"/>
      <c r="F172" s="246"/>
      <c r="G172" s="246"/>
      <c r="H172" s="246"/>
      <c r="I172" s="246"/>
      <c r="J172" s="246" t="s">
        <v>1409</v>
      </c>
      <c r="K172" s="274" t="s">
        <v>13</v>
      </c>
      <c r="L172" s="249" t="s">
        <v>1412</v>
      </c>
      <c r="M172" s="384" t="s">
        <v>1410</v>
      </c>
      <c r="N172" s="482">
        <v>45526</v>
      </c>
      <c r="O172" s="246" t="s">
        <v>1411</v>
      </c>
    </row>
    <row r="173" spans="1:15" ht="33.75" customHeight="1" x14ac:dyDescent="0.25">
      <c r="A173" s="307">
        <v>45497</v>
      </c>
      <c r="B173" s="274" t="s">
        <v>1332</v>
      </c>
      <c r="C173" s="308" t="s">
        <v>5</v>
      </c>
      <c r="D173" s="308"/>
      <c r="E173" s="246"/>
      <c r="F173" s="246"/>
      <c r="G173" s="246"/>
      <c r="H173" s="246"/>
      <c r="I173" s="246" t="s">
        <v>550</v>
      </c>
      <c r="J173" s="274" t="s">
        <v>570</v>
      </c>
      <c r="K173" s="274" t="s">
        <v>13</v>
      </c>
      <c r="L173" s="249" t="s">
        <v>1454</v>
      </c>
      <c r="M173" s="384" t="s">
        <v>1453</v>
      </c>
      <c r="N173" s="482">
        <v>45526</v>
      </c>
      <c r="O173" s="246" t="s">
        <v>1452</v>
      </c>
    </row>
    <row r="174" spans="1:15" ht="33.75" customHeight="1" x14ac:dyDescent="0.25">
      <c r="A174" s="477"/>
      <c r="B174" s="478"/>
      <c r="C174" s="479"/>
      <c r="D174" s="479"/>
      <c r="J174" s="478"/>
      <c r="K174" s="478"/>
      <c r="L174" s="480"/>
      <c r="M174" s="481"/>
      <c r="N174" s="547"/>
    </row>
    <row r="175" spans="1:15" ht="33.75" customHeight="1" x14ac:dyDescent="0.25">
      <c r="A175" s="307">
        <v>45512</v>
      </c>
      <c r="B175" s="274" t="s">
        <v>1467</v>
      </c>
      <c r="C175" s="274" t="s">
        <v>1468</v>
      </c>
      <c r="D175" s="246"/>
      <c r="E175" s="246"/>
      <c r="F175" s="246"/>
      <c r="G175" s="246"/>
      <c r="H175" s="246"/>
      <c r="I175" s="246"/>
      <c r="J175" s="274" t="s">
        <v>400</v>
      </c>
      <c r="K175" s="274" t="s">
        <v>13</v>
      </c>
      <c r="L175" s="246" t="s">
        <v>1469</v>
      </c>
      <c r="M175" s="246" t="s">
        <v>1470</v>
      </c>
      <c r="N175" s="307">
        <v>45566</v>
      </c>
      <c r="O175" s="246" t="s">
        <v>1496</v>
      </c>
    </row>
    <row r="176" spans="1:15" ht="33.75" customHeight="1" x14ac:dyDescent="0.25">
      <c r="A176" s="307">
        <v>45510</v>
      </c>
      <c r="B176" s="274" t="s">
        <v>1356</v>
      </c>
      <c r="C176" s="308" t="s">
        <v>5</v>
      </c>
      <c r="D176" s="308" t="s">
        <v>542</v>
      </c>
      <c r="E176" s="246"/>
      <c r="F176" s="246"/>
      <c r="G176" s="246"/>
      <c r="H176" s="246"/>
      <c r="I176" s="246"/>
      <c r="J176" s="246" t="s">
        <v>805</v>
      </c>
      <c r="K176" s="274" t="s">
        <v>13</v>
      </c>
      <c r="L176" s="249">
        <v>24022</v>
      </c>
      <c r="M176" s="384" t="s">
        <v>1405</v>
      </c>
      <c r="N176" s="482">
        <v>45520</v>
      </c>
      <c r="O176" s="246"/>
    </row>
    <row r="177" spans="1:15" ht="33.75" customHeight="1" x14ac:dyDescent="0.25">
      <c r="A177" s="307">
        <v>45525</v>
      </c>
      <c r="B177" s="274" t="s">
        <v>1356</v>
      </c>
      <c r="C177" s="308" t="s">
        <v>5</v>
      </c>
      <c r="D177" s="308" t="s">
        <v>542</v>
      </c>
      <c r="E177" s="246"/>
      <c r="F177" s="246"/>
      <c r="G177" s="246"/>
      <c r="H177" s="246"/>
      <c r="I177" s="246"/>
      <c r="J177" s="246" t="s">
        <v>1451</v>
      </c>
      <c r="K177" s="274" t="s">
        <v>13</v>
      </c>
      <c r="L177" s="249" t="s">
        <v>1480</v>
      </c>
      <c r="M177" s="384" t="s">
        <v>1479</v>
      </c>
      <c r="N177" s="274" t="s">
        <v>1498</v>
      </c>
      <c r="O177" s="246" t="s">
        <v>1497</v>
      </c>
    </row>
    <row r="178" spans="1:15" ht="33.75" customHeight="1" x14ac:dyDescent="0.25">
      <c r="A178" s="307">
        <v>45530</v>
      </c>
      <c r="B178" s="274" t="s">
        <v>1332</v>
      </c>
      <c r="C178" s="308" t="s">
        <v>5</v>
      </c>
      <c r="D178" s="308"/>
      <c r="E178" s="246"/>
      <c r="F178" s="246"/>
      <c r="G178" s="246"/>
      <c r="H178" s="246"/>
      <c r="I178" s="246" t="s">
        <v>550</v>
      </c>
      <c r="J178" s="274" t="s">
        <v>1463</v>
      </c>
      <c r="K178" s="274" t="s">
        <v>13</v>
      </c>
      <c r="L178" s="249" t="s">
        <v>1504</v>
      </c>
      <c r="M178" s="546" t="s">
        <v>1503</v>
      </c>
      <c r="N178" s="274" t="s">
        <v>1573</v>
      </c>
      <c r="O178" s="246"/>
    </row>
    <row r="179" spans="1:15" ht="33.75" customHeight="1" x14ac:dyDescent="0.25">
      <c r="A179" s="307">
        <v>45531</v>
      </c>
      <c r="B179" s="274" t="s">
        <v>1176</v>
      </c>
      <c r="C179" s="308" t="s">
        <v>5</v>
      </c>
      <c r="D179" s="308"/>
      <c r="E179" s="246"/>
      <c r="F179" s="246"/>
      <c r="G179" s="246"/>
      <c r="H179" s="246"/>
      <c r="I179" s="246"/>
      <c r="J179" s="274" t="s">
        <v>1464</v>
      </c>
      <c r="K179" s="274" t="s">
        <v>13</v>
      </c>
      <c r="L179" s="249" t="s">
        <v>1466</v>
      </c>
      <c r="M179" s="546" t="s">
        <v>1465</v>
      </c>
      <c r="N179" s="482">
        <v>45541</v>
      </c>
      <c r="O179" s="246"/>
    </row>
    <row r="181" spans="1:15" ht="33.75" customHeight="1" x14ac:dyDescent="0.25">
      <c r="A181" s="307">
        <v>45546</v>
      </c>
      <c r="B181" s="274" t="s">
        <v>1176</v>
      </c>
      <c r="C181" s="308" t="s">
        <v>5</v>
      </c>
      <c r="D181" s="246"/>
      <c r="E181" s="246"/>
      <c r="F181" s="246"/>
      <c r="G181" s="246"/>
      <c r="H181" s="246"/>
      <c r="I181" s="246"/>
      <c r="J181" s="274" t="s">
        <v>1492</v>
      </c>
      <c r="K181" s="274" t="s">
        <v>13</v>
      </c>
      <c r="L181" s="274" t="s">
        <v>1493</v>
      </c>
      <c r="M181" s="246"/>
      <c r="N181" s="307">
        <v>45546</v>
      </c>
      <c r="O181" s="246"/>
    </row>
    <row r="182" spans="1:15" ht="33.75" customHeight="1" x14ac:dyDescent="0.25">
      <c r="A182" s="307">
        <v>45558</v>
      </c>
      <c r="B182" s="274" t="s">
        <v>1356</v>
      </c>
      <c r="C182" s="308" t="s">
        <v>5</v>
      </c>
      <c r="D182" s="246"/>
      <c r="E182" s="246"/>
      <c r="F182" s="246"/>
      <c r="G182" s="246"/>
      <c r="H182" s="246"/>
      <c r="I182" s="246"/>
      <c r="J182" s="274" t="s">
        <v>1500</v>
      </c>
      <c r="K182" s="274" t="s">
        <v>13</v>
      </c>
      <c r="L182" s="249">
        <v>24030</v>
      </c>
      <c r="M182" s="246" t="s">
        <v>1499</v>
      </c>
      <c r="N182" s="307">
        <v>45562</v>
      </c>
      <c r="O182" s="246"/>
    </row>
    <row r="183" spans="1:15" ht="33.75" customHeight="1" x14ac:dyDescent="0.25">
      <c r="A183" s="307">
        <v>45566</v>
      </c>
      <c r="B183" s="274" t="s">
        <v>1356</v>
      </c>
      <c r="C183" s="308" t="s">
        <v>5</v>
      </c>
      <c r="D183" s="246"/>
      <c r="E183" s="246"/>
      <c r="F183" s="246"/>
      <c r="G183" s="246"/>
      <c r="H183" s="246"/>
      <c r="I183" s="246"/>
      <c r="J183" s="274" t="s">
        <v>1464</v>
      </c>
      <c r="K183" s="274" t="s">
        <v>13</v>
      </c>
      <c r="L183" s="274" t="s">
        <v>1493</v>
      </c>
      <c r="M183" s="246"/>
      <c r="N183" s="307"/>
      <c r="O183" s="246"/>
    </row>
    <row r="184" spans="1:15" ht="33.75" customHeight="1" x14ac:dyDescent="0.25">
      <c r="A184" s="307">
        <v>45566</v>
      </c>
      <c r="B184" s="274" t="s">
        <v>1467</v>
      </c>
      <c r="C184" s="274" t="s">
        <v>1468</v>
      </c>
      <c r="D184" s="246"/>
      <c r="E184" s="246"/>
      <c r="F184" s="246"/>
      <c r="G184" s="246"/>
      <c r="H184" s="246"/>
      <c r="I184" s="246"/>
      <c r="J184" s="274" t="s">
        <v>400</v>
      </c>
      <c r="K184" s="274" t="s">
        <v>13</v>
      </c>
      <c r="L184" s="274" t="s">
        <v>1493</v>
      </c>
      <c r="M184" s="246"/>
      <c r="N184" s="246" t="s">
        <v>1536</v>
      </c>
      <c r="O184" s="246"/>
    </row>
    <row r="185" spans="1:15" ht="33.75" customHeight="1" x14ac:dyDescent="0.25">
      <c r="A185" s="307">
        <v>45565</v>
      </c>
      <c r="B185" s="274" t="s">
        <v>1547</v>
      </c>
      <c r="C185" s="274" t="s">
        <v>1546</v>
      </c>
      <c r="D185" s="246"/>
      <c r="E185" s="246"/>
      <c r="F185" s="246"/>
      <c r="G185" s="246"/>
      <c r="H185" s="246"/>
      <c r="I185" s="246"/>
      <c r="J185" s="274" t="s">
        <v>1543</v>
      </c>
      <c r="K185" s="274" t="s">
        <v>1544</v>
      </c>
      <c r="L185" s="249">
        <v>24029</v>
      </c>
      <c r="M185" s="246" t="s">
        <v>1545</v>
      </c>
      <c r="N185" s="246"/>
      <c r="O185" s="246"/>
    </row>
  </sheetData>
  <autoFilter ref="A2:O119" xr:uid="{00000000-0009-0000-0000-000004000000}"/>
  <mergeCells count="2">
    <mergeCell ref="C1:O1"/>
    <mergeCell ref="A1:B1"/>
  </mergeCells>
  <pageMargins left="0.511811024" right="0.511811024" top="0.78740157499999996" bottom="0.78740157499999996" header="0.31496062000000002" footer="0.31496062000000002"/>
  <pageSetup paperSize="9" orientation="portrait" horizontalDpi="300" verticalDpi="3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U20"/>
  <sheetViews>
    <sheetView zoomScale="75" zoomScaleNormal="75" workbookViewId="0">
      <pane xSplit="4" ySplit="4" topLeftCell="E5" activePane="bottomRight" state="frozen"/>
      <selection pane="topRight" activeCell="E1" sqref="E1"/>
      <selection pane="bottomLeft" activeCell="A5" sqref="A5"/>
      <selection pane="bottomRight" activeCell="Y24" sqref="Y24"/>
    </sheetView>
  </sheetViews>
  <sheetFormatPr defaultRowHeight="15" x14ac:dyDescent="0.25"/>
  <cols>
    <col min="2" max="2" width="15.28515625" customWidth="1"/>
    <col min="3" max="3" width="13.140625" customWidth="1"/>
    <col min="4" max="4" width="14.42578125" customWidth="1"/>
    <col min="5" max="5" width="13.5703125" customWidth="1"/>
    <col min="6" max="6" width="13.140625" bestFit="1" customWidth="1"/>
    <col min="7" max="7" width="9.7109375" bestFit="1" customWidth="1"/>
    <col min="8" max="8" width="7.42578125" customWidth="1"/>
    <col min="9" max="9" width="17" bestFit="1" customWidth="1"/>
    <col min="10" max="10" width="9.7109375" bestFit="1" customWidth="1"/>
    <col min="11" max="11" width="7.42578125" customWidth="1"/>
    <col min="12" max="12" width="16.5703125" style="434" customWidth="1"/>
    <col min="13" max="13" width="8.28515625" bestFit="1" customWidth="1"/>
    <col min="14" max="14" width="7.42578125" customWidth="1"/>
    <col min="15" max="15" width="16.85546875" bestFit="1" customWidth="1"/>
    <col min="16" max="16" width="14.28515625" bestFit="1" customWidth="1"/>
    <col min="17" max="17" width="7.42578125" customWidth="1"/>
    <col min="18" max="18" width="14.5703125" customWidth="1"/>
    <col min="19" max="19" width="9.7109375" bestFit="1" customWidth="1"/>
    <col min="20" max="20" width="7.42578125" customWidth="1"/>
    <col min="21" max="21" width="14.42578125" customWidth="1"/>
    <col min="22" max="22" width="9.140625" customWidth="1"/>
    <col min="23" max="23" width="7.42578125" customWidth="1"/>
    <col min="24" max="24" width="15" customWidth="1"/>
    <col min="25" max="25" width="9.140625" customWidth="1"/>
    <col min="26" max="26" width="9.5703125" customWidth="1"/>
    <col min="27" max="27" width="14.5703125" bestFit="1" customWidth="1"/>
    <col min="28" max="28" width="9.140625" customWidth="1"/>
    <col min="29" max="29" width="9.5703125" customWidth="1"/>
    <col min="30" max="30" width="17.85546875" bestFit="1" customWidth="1"/>
    <col min="31" max="31" width="9.140625" customWidth="1"/>
    <col min="32" max="32" width="9.5703125" customWidth="1"/>
    <col min="33" max="33" width="14.5703125" customWidth="1"/>
    <col min="34" max="34" width="14.28515625" bestFit="1" customWidth="1"/>
    <col min="35" max="35" width="9.7109375" bestFit="1" customWidth="1"/>
    <col min="36" max="36" width="16" customWidth="1"/>
    <col min="37" max="37" width="9.42578125" bestFit="1" customWidth="1"/>
    <col min="38" max="38" width="9.7109375" bestFit="1" customWidth="1"/>
    <col min="39" max="39" width="14.85546875" bestFit="1" customWidth="1"/>
    <col min="40" max="40" width="9.42578125" bestFit="1" customWidth="1"/>
    <col min="41" max="41" width="9.7109375" bestFit="1" customWidth="1"/>
    <col min="42" max="42" width="13.7109375" bestFit="1" customWidth="1"/>
    <col min="43" max="43" width="30.7109375" customWidth="1"/>
    <col min="45" max="45" width="11.7109375" bestFit="1" customWidth="1"/>
    <col min="46" max="46" width="14.7109375" bestFit="1" customWidth="1"/>
  </cols>
  <sheetData>
    <row r="1" spans="1:47" ht="32.25" customHeight="1" x14ac:dyDescent="0.25">
      <c r="A1" s="719"/>
      <c r="B1" s="720"/>
      <c r="C1" s="233" t="s">
        <v>463</v>
      </c>
      <c r="D1" s="234" t="s">
        <v>506</v>
      </c>
      <c r="E1" s="734" t="s">
        <v>416</v>
      </c>
      <c r="F1" s="735"/>
      <c r="G1" s="735"/>
      <c r="H1" s="735"/>
      <c r="I1" s="735"/>
      <c r="J1" s="735"/>
      <c r="K1" s="735"/>
      <c r="L1" s="735"/>
      <c r="M1" s="735"/>
      <c r="N1" s="735"/>
      <c r="O1" s="735"/>
      <c r="P1" s="735"/>
      <c r="Q1" s="735"/>
      <c r="R1" s="735"/>
      <c r="S1" s="735"/>
      <c r="T1" s="735"/>
      <c r="U1" s="735"/>
      <c r="V1" s="735"/>
      <c r="W1" s="735"/>
      <c r="X1" s="735"/>
      <c r="Y1" s="213"/>
      <c r="Z1" s="213"/>
      <c r="AA1" s="213"/>
      <c r="AB1" s="213"/>
      <c r="AC1" s="213"/>
      <c r="AD1" s="213"/>
      <c r="AE1" s="213"/>
      <c r="AF1" s="213"/>
      <c r="AG1" s="213"/>
      <c r="AH1" s="213"/>
      <c r="AI1" s="213"/>
      <c r="AJ1" s="213"/>
      <c r="AK1" s="213"/>
      <c r="AL1" s="213"/>
      <c r="AM1" s="213"/>
      <c r="AN1" s="213"/>
      <c r="AO1" s="213"/>
      <c r="AP1" s="213"/>
      <c r="AQ1" s="214" t="s">
        <v>512</v>
      </c>
    </row>
    <row r="2" spans="1:47" ht="32.25" customHeight="1" x14ac:dyDescent="0.25">
      <c r="A2" s="721"/>
      <c r="B2" s="722"/>
      <c r="C2" s="235">
        <f>COUNTIF(E5:E82,"ATIVA")</f>
        <v>8</v>
      </c>
      <c r="D2" s="235">
        <f>SUM(D5:D82)</f>
        <v>8</v>
      </c>
      <c r="E2" s="736"/>
      <c r="F2" s="737"/>
      <c r="G2" s="737"/>
      <c r="H2" s="737"/>
      <c r="I2" s="737"/>
      <c r="J2" s="737"/>
      <c r="K2" s="737"/>
      <c r="L2" s="737"/>
      <c r="M2" s="737"/>
      <c r="N2" s="737"/>
      <c r="O2" s="737"/>
      <c r="P2" s="737"/>
      <c r="Q2" s="737"/>
      <c r="R2" s="737"/>
      <c r="S2" s="737"/>
      <c r="T2" s="737"/>
      <c r="U2" s="737"/>
      <c r="V2" s="737"/>
      <c r="W2" s="737"/>
      <c r="X2" s="737"/>
      <c r="Y2" s="256"/>
      <c r="Z2" s="256"/>
      <c r="AA2" s="256"/>
      <c r="AB2" s="256"/>
      <c r="AC2" s="256"/>
      <c r="AD2" s="256"/>
      <c r="AE2" s="256"/>
      <c r="AF2" s="256"/>
      <c r="AG2" s="256"/>
      <c r="AH2" s="256"/>
      <c r="AI2" s="256"/>
      <c r="AJ2" s="256"/>
      <c r="AK2" s="256"/>
      <c r="AL2" s="256"/>
      <c r="AM2" s="256"/>
      <c r="AN2" s="256"/>
      <c r="AO2" s="256"/>
      <c r="AP2" s="256"/>
      <c r="AQ2" s="257">
        <v>45348</v>
      </c>
    </row>
    <row r="3" spans="1:47" ht="26.25" customHeight="1" x14ac:dyDescent="0.25">
      <c r="A3" s="723" t="s">
        <v>3</v>
      </c>
      <c r="B3" s="725" t="s">
        <v>417</v>
      </c>
      <c r="C3" s="726"/>
      <c r="D3" s="729" t="s">
        <v>507</v>
      </c>
      <c r="E3" s="729" t="s">
        <v>418</v>
      </c>
      <c r="F3" s="729" t="s">
        <v>510</v>
      </c>
      <c r="G3" s="716" t="s">
        <v>419</v>
      </c>
      <c r="H3" s="717"/>
      <c r="I3" s="718"/>
      <c r="J3" s="716" t="s">
        <v>420</v>
      </c>
      <c r="K3" s="717"/>
      <c r="L3" s="718"/>
      <c r="M3" s="716" t="s">
        <v>421</v>
      </c>
      <c r="N3" s="717"/>
      <c r="O3" s="718"/>
      <c r="P3" s="716" t="s">
        <v>422</v>
      </c>
      <c r="Q3" s="717"/>
      <c r="R3" s="718"/>
      <c r="S3" s="716" t="s">
        <v>423</v>
      </c>
      <c r="T3" s="717"/>
      <c r="U3" s="718"/>
      <c r="V3" s="716" t="s">
        <v>424</v>
      </c>
      <c r="W3" s="717"/>
      <c r="X3" s="718"/>
      <c r="Y3" s="716" t="s">
        <v>425</v>
      </c>
      <c r="Z3" s="717"/>
      <c r="AA3" s="718"/>
      <c r="AB3" s="716" t="s">
        <v>426</v>
      </c>
      <c r="AC3" s="717"/>
      <c r="AD3" s="718"/>
      <c r="AE3" s="716" t="s">
        <v>427</v>
      </c>
      <c r="AF3" s="717"/>
      <c r="AG3" s="718"/>
      <c r="AH3" s="716" t="s">
        <v>428</v>
      </c>
      <c r="AI3" s="717"/>
      <c r="AJ3" s="718"/>
      <c r="AK3" s="716" t="s">
        <v>429</v>
      </c>
      <c r="AL3" s="717"/>
      <c r="AM3" s="718"/>
      <c r="AN3" s="716" t="s">
        <v>430</v>
      </c>
      <c r="AO3" s="717"/>
      <c r="AP3" s="718"/>
      <c r="AQ3" s="738" t="s">
        <v>464</v>
      </c>
    </row>
    <row r="4" spans="1:47" ht="26.25" customHeight="1" x14ac:dyDescent="0.25">
      <c r="A4" s="724"/>
      <c r="B4" s="727"/>
      <c r="C4" s="728"/>
      <c r="D4" s="730"/>
      <c r="E4" s="730"/>
      <c r="F4" s="730"/>
      <c r="G4" s="202" t="s">
        <v>431</v>
      </c>
      <c r="H4" s="255" t="s">
        <v>823</v>
      </c>
      <c r="I4" s="203" t="s">
        <v>432</v>
      </c>
      <c r="J4" s="202" t="s">
        <v>431</v>
      </c>
      <c r="K4" s="255" t="s">
        <v>823</v>
      </c>
      <c r="L4" s="203" t="s">
        <v>432</v>
      </c>
      <c r="M4" s="202" t="s">
        <v>431</v>
      </c>
      <c r="N4" s="255" t="s">
        <v>823</v>
      </c>
      <c r="O4" s="203" t="s">
        <v>432</v>
      </c>
      <c r="P4" s="202" t="s">
        <v>431</v>
      </c>
      <c r="Q4" s="255" t="s">
        <v>823</v>
      </c>
      <c r="R4" s="203" t="s">
        <v>432</v>
      </c>
      <c r="S4" s="202" t="s">
        <v>431</v>
      </c>
      <c r="T4" s="255" t="s">
        <v>823</v>
      </c>
      <c r="U4" s="203" t="s">
        <v>432</v>
      </c>
      <c r="V4" s="202" t="s">
        <v>431</v>
      </c>
      <c r="W4" s="255" t="s">
        <v>823</v>
      </c>
      <c r="X4" s="203" t="s">
        <v>432</v>
      </c>
      <c r="Y4" s="202" t="s">
        <v>431</v>
      </c>
      <c r="Z4" s="202" t="s">
        <v>509</v>
      </c>
      <c r="AA4" s="203" t="s">
        <v>432</v>
      </c>
      <c r="AB4" s="202" t="s">
        <v>431</v>
      </c>
      <c r="AC4" s="202" t="s">
        <v>509</v>
      </c>
      <c r="AD4" s="203" t="s">
        <v>432</v>
      </c>
      <c r="AE4" s="202" t="s">
        <v>431</v>
      </c>
      <c r="AF4" s="202" t="s">
        <v>509</v>
      </c>
      <c r="AG4" s="203" t="s">
        <v>432</v>
      </c>
      <c r="AH4" s="202" t="s">
        <v>431</v>
      </c>
      <c r="AI4" s="202" t="s">
        <v>509</v>
      </c>
      <c r="AJ4" s="203" t="s">
        <v>432</v>
      </c>
      <c r="AK4" s="202" t="s">
        <v>431</v>
      </c>
      <c r="AL4" s="202" t="s">
        <v>509</v>
      </c>
      <c r="AM4" s="203" t="s">
        <v>432</v>
      </c>
      <c r="AN4" s="202" t="s">
        <v>431</v>
      </c>
      <c r="AO4" s="202" t="s">
        <v>509</v>
      </c>
      <c r="AP4" s="204" t="s">
        <v>432</v>
      </c>
      <c r="AQ4" s="739"/>
    </row>
    <row r="5" spans="1:47" s="182" customFormat="1" ht="26.25" customHeight="1" x14ac:dyDescent="0.25">
      <c r="A5" s="183">
        <v>22023</v>
      </c>
      <c r="B5" s="743" t="s">
        <v>355</v>
      </c>
      <c r="C5" s="744"/>
      <c r="D5" s="184">
        <f>COUNTIF('22039_ARINOS'!D5:D24,"ATIVO")</f>
        <v>0</v>
      </c>
      <c r="E5" s="184" t="s">
        <v>433</v>
      </c>
      <c r="F5" s="201">
        <f>SUM(H5+K5+N5+Q5+T5+W5+Z5+AC5+AF5+AI5+AL5+AO5)</f>
        <v>70</v>
      </c>
      <c r="G5" s="185">
        <f>SUM('22039_ARINOS'!G5:G6)</f>
        <v>3433</v>
      </c>
      <c r="H5" s="185">
        <f>SUM('22039_ARINOS'!H5:H6)</f>
        <v>2</v>
      </c>
      <c r="I5" s="186">
        <f>SUM('22039_ARINOS'!J5:J6)</f>
        <v>745.95</v>
      </c>
      <c r="J5" s="185">
        <f>SUM('22039_ARINOS'!G7:G8)</f>
        <v>3319</v>
      </c>
      <c r="K5" s="185">
        <f>SUM('22039_ARINOS'!H7:H8)</f>
        <v>7</v>
      </c>
      <c r="L5" s="186">
        <f>SUM('22039_ARINOS'!J7:J8)</f>
        <v>1683.7199999999998</v>
      </c>
      <c r="M5" s="185">
        <f>SUM('22039_ARINOS'!G9:G10)</f>
        <v>4673</v>
      </c>
      <c r="N5" s="201">
        <f>SUM('22039_ARINOS'!H9:H10)</f>
        <v>9</v>
      </c>
      <c r="O5" s="181">
        <f>SUM('22039_ARINOS'!J9:J10)</f>
        <v>2344.12</v>
      </c>
      <c r="P5" s="185">
        <f>SUM('22039_ARINOS'!G11:G13)</f>
        <v>3922</v>
      </c>
      <c r="Q5" s="201">
        <f>SUM('22039_ARINOS'!H11:H13)</f>
        <v>11</v>
      </c>
      <c r="R5" s="181">
        <f>SUM('22039_ARINOS'!J11:J13)</f>
        <v>2734.83</v>
      </c>
      <c r="S5" s="185">
        <f>SUM('22039_ARINOS'!G14:G15)</f>
        <v>5004</v>
      </c>
      <c r="T5" s="201">
        <f>SUM('22039_ARINOS'!H14:H15)</f>
        <v>5</v>
      </c>
      <c r="U5" s="180">
        <f>SUM('22039_ARINOS'!J14:J15)</f>
        <v>1603.3400000000001</v>
      </c>
      <c r="V5" s="185">
        <f>SUM('22039_ARINOS'!G16)</f>
        <v>2610</v>
      </c>
      <c r="W5" s="201">
        <f>SUM('22039_ARINOS'!H16)</f>
        <v>4</v>
      </c>
      <c r="X5" s="186">
        <f>SUM('22039_ARINOS'!J16)</f>
        <v>1458.97</v>
      </c>
      <c r="Y5" s="185">
        <f>SUM('22039_ARINOS'!G17:G18)</f>
        <v>4186</v>
      </c>
      <c r="Z5" s="201">
        <f>SUM('22039_ARINOS'!H17:H18)</f>
        <v>6</v>
      </c>
      <c r="AA5" s="186">
        <f>SUM('22039_ARINOS'!J17:J18)</f>
        <v>2712.12</v>
      </c>
      <c r="AB5" s="185">
        <f>SUM('22039_ARINOS'!G19:G20)</f>
        <v>6455</v>
      </c>
      <c r="AC5" s="201">
        <f>SUM('22039_ARINOS'!H19:H20)</f>
        <v>13</v>
      </c>
      <c r="AD5" s="186">
        <f>SUM('22039_ARINOS'!H19:J20)</f>
        <v>4394.25</v>
      </c>
      <c r="AE5" s="185">
        <f>SUM('22039_ARINOS'!G21:G22)</f>
        <v>4903</v>
      </c>
      <c r="AF5" s="201">
        <f>SUM('22039_ARINOS'!H21:H22)</f>
        <v>13</v>
      </c>
      <c r="AG5" s="186">
        <f>SUM('22039_ARINOS'!H21:J22)</f>
        <v>3990.1009999999997</v>
      </c>
      <c r="AH5" s="185"/>
      <c r="AI5" s="201"/>
      <c r="AJ5" s="186"/>
      <c r="AK5" s="185"/>
      <c r="AL5" s="201"/>
      <c r="AM5" s="186"/>
      <c r="AN5" s="185"/>
      <c r="AO5" s="201"/>
      <c r="AP5" s="187"/>
      <c r="AQ5" s="258"/>
      <c r="AT5" s="197"/>
    </row>
    <row r="6" spans="1:47" s="182" customFormat="1" ht="26.25" customHeight="1" x14ac:dyDescent="0.25">
      <c r="A6" s="183">
        <v>22007</v>
      </c>
      <c r="B6" s="743" t="s">
        <v>434</v>
      </c>
      <c r="C6" s="744"/>
      <c r="D6" s="184">
        <f>COUNTIF('22007_LDV-V'!D3:D47,"ATIVO")</f>
        <v>2</v>
      </c>
      <c r="E6" s="184" t="s">
        <v>433</v>
      </c>
      <c r="F6" s="201">
        <f t="shared" ref="F6:F14" si="0">SUM(H6+K6+N6+Q6+T6+W6+Z6+AC6+AF6+AI6+AL6+AO6)</f>
        <v>157</v>
      </c>
      <c r="G6" s="185">
        <f>SUM('22007_LDV-V'!G3:G10)</f>
        <v>21980</v>
      </c>
      <c r="H6" s="185">
        <f>SUM('22007_LDV-V'!I3:I10)</f>
        <v>29</v>
      </c>
      <c r="I6" s="186">
        <f>SUM('22007_LDV-V'!H3:H10)</f>
        <v>7071.1599999999989</v>
      </c>
      <c r="J6" s="185">
        <f>SUM('22007_LDV-V'!G11:G17)</f>
        <v>14221</v>
      </c>
      <c r="K6" s="185">
        <f>SUM('22007_LDV-V'!I11:I17)</f>
        <v>18</v>
      </c>
      <c r="L6" s="186">
        <f>SUM('22007_LDV-V'!H11:H17)</f>
        <v>4173.1100000000006</v>
      </c>
      <c r="M6" s="185">
        <f>SUM('22007_LDV-V'!G18:G21)</f>
        <v>10784</v>
      </c>
      <c r="N6" s="185">
        <f>SUM('22007_LDV-V'!I18:I21)</f>
        <v>19</v>
      </c>
      <c r="O6" s="181">
        <f>SUM('22007_LDV-V'!H18:H21)</f>
        <v>3674.26</v>
      </c>
      <c r="P6" s="185">
        <f>SUM('22007_LDV-V'!G22:G25)</f>
        <v>10094</v>
      </c>
      <c r="Q6" s="185">
        <f>SUM('22007_LDV-V'!I22:I25)</f>
        <v>19</v>
      </c>
      <c r="R6" s="181">
        <f>SUM('22007_LDV-V'!H22:H25)</f>
        <v>3461.17</v>
      </c>
      <c r="S6" s="185">
        <f>SUM('22007_LDV-V'!G26:G28)</f>
        <v>8629</v>
      </c>
      <c r="T6" s="201">
        <f>SUM('22007_LDV-V'!I26:I28)</f>
        <v>18</v>
      </c>
      <c r="U6" s="180">
        <f>SUM('22007_LDV-V'!H26:H28)</f>
        <v>3283.73</v>
      </c>
      <c r="V6" s="185">
        <f>SUM('22007_LDV-V'!G29:G31)</f>
        <v>7953</v>
      </c>
      <c r="W6" s="201">
        <f>SUM('22007_LDV-V'!I29:I31)</f>
        <v>15</v>
      </c>
      <c r="X6" s="186">
        <f>SUM('22007_LDV-V'!H29:H31)</f>
        <v>2788.51</v>
      </c>
      <c r="Y6" s="185">
        <f>SUM('22007_LDV-V'!G32:G34)</f>
        <v>9416</v>
      </c>
      <c r="Z6" s="201">
        <f>SUM('22007_LDV-V'!I32:I34)</f>
        <v>16</v>
      </c>
      <c r="AA6" s="186">
        <f>SUM('22007_LDV-V'!H32:H34)</f>
        <v>3189.1399999999994</v>
      </c>
      <c r="AB6" s="185">
        <f>SUM('22007_LDV-V'!G35:G37)</f>
        <v>6798</v>
      </c>
      <c r="AC6" s="201">
        <f>SUM('22007_LDV-V'!I35:I37)</f>
        <v>15</v>
      </c>
      <c r="AD6" s="186">
        <f>SUM('22007_LDV-V'!H35:H37)</f>
        <v>2899.27</v>
      </c>
      <c r="AE6" s="185">
        <f>SUM('22007_LDV-V'!G38:G40)</f>
        <v>9254</v>
      </c>
      <c r="AF6" s="201">
        <f>SUM('22007_LDV-V'!I38:I40)</f>
        <v>8</v>
      </c>
      <c r="AG6" s="186">
        <f>SUM('22007_LDV-V'!I38:I40)</f>
        <v>8</v>
      </c>
      <c r="AH6" s="185"/>
      <c r="AI6" s="201"/>
      <c r="AJ6" s="186"/>
      <c r="AK6" s="185"/>
      <c r="AL6" s="201"/>
      <c r="AM6" s="186"/>
      <c r="AN6" s="185"/>
      <c r="AO6" s="201"/>
      <c r="AP6" s="187"/>
      <c r="AQ6" s="258"/>
      <c r="AT6" s="243"/>
    </row>
    <row r="7" spans="1:47" s="182" customFormat="1" ht="26.25" customHeight="1" x14ac:dyDescent="0.25">
      <c r="A7" s="183">
        <v>23018</v>
      </c>
      <c r="B7" s="743" t="s">
        <v>856</v>
      </c>
      <c r="C7" s="744"/>
      <c r="D7" s="184">
        <v>4</v>
      </c>
      <c r="E7" s="184" t="s">
        <v>433</v>
      </c>
      <c r="F7" s="201">
        <f t="shared" si="0"/>
        <v>217</v>
      </c>
      <c r="G7" s="185">
        <f>SUM('23018_IBIMIRIM'!G3:G7)</f>
        <v>13920</v>
      </c>
      <c r="H7" s="185">
        <f>SUM('23018_IBIMIRIM'!I3:I7)</f>
        <v>39</v>
      </c>
      <c r="I7" s="186">
        <f>SUM('23018_IBIMIRIM'!H3:H7)</f>
        <v>7821.9999999999991</v>
      </c>
      <c r="J7" s="185">
        <f>SUM('23018_IBIMIRIM'!G8:G13)</f>
        <v>9298</v>
      </c>
      <c r="K7" s="185">
        <f>SUM('23018_IBIMIRIM'!I8:I13)</f>
        <v>28</v>
      </c>
      <c r="L7" s="186">
        <f>SUM('23018_IBIMIRIM'!H8:H13)</f>
        <v>6023.17</v>
      </c>
      <c r="M7" s="185">
        <f>SUM('23018_IBIMIRIM'!G14:G21)</f>
        <v>13843</v>
      </c>
      <c r="N7" s="185">
        <f>SUM('23018_IBIMIRIM'!I14:I21)</f>
        <v>23</v>
      </c>
      <c r="O7" s="185">
        <f>SUM('23018_IBIMIRIM'!H14:H21)</f>
        <v>5401.18</v>
      </c>
      <c r="P7" s="185">
        <f>SUM('23018_IBIMIRIM'!G22:G26)</f>
        <v>10038</v>
      </c>
      <c r="Q7" s="185">
        <f>SUM('23018_IBIMIRIM'!I22:I26)</f>
        <v>20</v>
      </c>
      <c r="R7" s="185">
        <f>SUM('23018_IBIMIRIM'!H22:H26)</f>
        <v>3627.5699999999997</v>
      </c>
      <c r="S7" s="185">
        <f>SUM('23018_IBIMIRIM'!G27:G31)</f>
        <v>7338</v>
      </c>
      <c r="T7" s="185">
        <f>SUM('23018_IBIMIRIM'!I27:I31)</f>
        <v>24</v>
      </c>
      <c r="U7" s="180">
        <f>SUM('23018_IBIMIRIM'!H27:H31)</f>
        <v>4469.63</v>
      </c>
      <c r="V7" s="185">
        <f>SUM('23018_IBIMIRIM'!G32:G35)</f>
        <v>7489</v>
      </c>
      <c r="W7" s="185">
        <f>SUM('23018_IBIMIRIM'!I32:I35)</f>
        <v>20</v>
      </c>
      <c r="X7" s="185">
        <f>SUM('23018_IBIMIRIM'!H32:H35)</f>
        <v>3574.37</v>
      </c>
      <c r="Y7" s="185">
        <f>SUM('23018_IBIMIRIM'!G36:G40)</f>
        <v>8352</v>
      </c>
      <c r="Z7" s="185">
        <f>SUM('23018_IBIMIRIM'!I36:I40)</f>
        <v>20</v>
      </c>
      <c r="AA7" s="185">
        <f>SUM('23018_IBIMIRIM'!H36:H40)</f>
        <v>3725.8199999999997</v>
      </c>
      <c r="AB7" s="185">
        <f>SUM('23018_IBIMIRIM'!G41:G44)</f>
        <v>9716</v>
      </c>
      <c r="AC7" s="185">
        <f>SUM('23018_IBIMIRIM'!I41:I44)</f>
        <v>22</v>
      </c>
      <c r="AD7" s="186">
        <f>SUM('23018_IBIMIRIM'!H41:H44)</f>
        <v>3875.3099999999995</v>
      </c>
      <c r="AE7" s="185">
        <f>SUM('23018_IBIMIRIM'!G45:G48)</f>
        <v>6178</v>
      </c>
      <c r="AF7" s="201">
        <f>SUM('23018_IBIMIRIM'!I45:I48)</f>
        <v>21</v>
      </c>
      <c r="AG7" s="186">
        <f>SUM('23018_IBIMIRIM'!H45:H48)</f>
        <v>3597.9700000000003</v>
      </c>
      <c r="AH7" s="185"/>
      <c r="AI7" s="201"/>
      <c r="AJ7" s="186"/>
      <c r="AK7" s="185"/>
      <c r="AL7" s="201"/>
      <c r="AM7" s="186"/>
      <c r="AN7" s="185"/>
      <c r="AO7" s="201"/>
      <c r="AP7" s="187"/>
      <c r="AQ7" s="258"/>
      <c r="AT7" s="243"/>
    </row>
    <row r="8" spans="1:47" s="182" customFormat="1" ht="26.25" customHeight="1" x14ac:dyDescent="0.25">
      <c r="A8" s="183">
        <v>23026</v>
      </c>
      <c r="B8" s="743" t="s">
        <v>1056</v>
      </c>
      <c r="C8" s="744"/>
      <c r="D8" s="184">
        <f>COUNTIF('23026_LAGOA_CGN'!D3:D13,"ATIVO")</f>
        <v>0</v>
      </c>
      <c r="E8" s="184" t="s">
        <v>433</v>
      </c>
      <c r="F8" s="201">
        <f>SUM(H8+K8+N8+Q8+T8+W8+Z8+AC8+AF8+AI8+AL8+AO8)</f>
        <v>85</v>
      </c>
      <c r="G8" s="185">
        <f>SUM('23026_LAGOA_CGN'!G3:G5)</f>
        <v>9806</v>
      </c>
      <c r="H8" s="185">
        <f>SUM('23026_LAGOA_CGN'!I3:I5)</f>
        <v>13</v>
      </c>
      <c r="I8" s="186">
        <f>SUM('23026_LAGOA_CGN'!H3:H5)</f>
        <v>3159.99</v>
      </c>
      <c r="J8" s="185">
        <f>SUM('23026_LAGOA_CGN'!G6:G7)</f>
        <v>6733</v>
      </c>
      <c r="K8" s="185">
        <f>SUM('23026_LAGOA_CGN'!I6:I7)</f>
        <v>14</v>
      </c>
      <c r="L8" s="186">
        <f>SUM('23026_LAGOA_CGN'!H6:H7)</f>
        <v>3037.36</v>
      </c>
      <c r="M8" s="185">
        <f>SUM('23026_LAGOA_CGN'!G8:G9)</f>
        <v>7358</v>
      </c>
      <c r="N8" s="185">
        <f>SUM('23026_LAGOA_CGN'!I8:I9)</f>
        <v>14</v>
      </c>
      <c r="O8" s="186">
        <f>SUM('23026_LAGOA_CGN'!H8:H9)</f>
        <v>2870.45</v>
      </c>
      <c r="P8" s="185">
        <f>SUM('23026_LAGOA_CGN'!G10)</f>
        <v>3327</v>
      </c>
      <c r="Q8" s="185">
        <f>SUM('23026_LAGOA_CGN'!I10)</f>
        <v>10</v>
      </c>
      <c r="R8" s="186">
        <f>SUM('23026_LAGOA_CGN'!H10)</f>
        <v>1798.46</v>
      </c>
      <c r="S8" s="185">
        <f>SUM('23026_LAGOA_CGN'!G12)</f>
        <v>3148</v>
      </c>
      <c r="T8" s="185">
        <f>SUM('23026_LAGOA_CGN'!I12)</f>
        <v>10</v>
      </c>
      <c r="U8" s="186">
        <f>SUM('23026_LAGOA_CGN'!H12)</f>
        <v>1562.6400000000003</v>
      </c>
      <c r="V8" s="185">
        <f>SUM('23026_LAGOA_CGN'!G13)</f>
        <v>2997</v>
      </c>
      <c r="W8" s="185">
        <f>SUM('23026_LAGOA_CGN'!I13)</f>
        <v>9</v>
      </c>
      <c r="X8" s="186">
        <f>SUM('23026_LAGOA_CGN'!H13)</f>
        <v>2053.27</v>
      </c>
      <c r="Y8" s="185">
        <f>SUM('23026_LAGOA_CGN'!G14:G15)</f>
        <v>6808</v>
      </c>
      <c r="Z8" s="185">
        <f>SUM('23026_LAGOA_CGN'!I14:I15)</f>
        <v>10</v>
      </c>
      <c r="AA8" s="186">
        <f>SUM('23026_LAGOA_CGN'!H14:H15)</f>
        <v>2290.77</v>
      </c>
      <c r="AB8" s="185">
        <f>SUM('23026_LAGOA_CGN'!H6)</f>
        <v>1777.5300000000002</v>
      </c>
      <c r="AC8" s="201">
        <v>5</v>
      </c>
      <c r="AD8" s="186">
        <f>SUM('23026_LAGOA_CGN'!G16)</f>
        <v>1298</v>
      </c>
      <c r="AE8" s="185"/>
      <c r="AF8" s="201"/>
      <c r="AG8" s="186"/>
      <c r="AH8" s="185"/>
      <c r="AI8" s="201"/>
      <c r="AJ8" s="186"/>
      <c r="AK8" s="185"/>
      <c r="AL8" s="201"/>
      <c r="AM8" s="186"/>
      <c r="AN8" s="185"/>
      <c r="AO8" s="201"/>
      <c r="AP8" s="187"/>
      <c r="AQ8" s="258"/>
      <c r="AR8" s="260"/>
      <c r="AS8" s="197"/>
      <c r="AT8" s="197"/>
      <c r="AU8" s="197"/>
    </row>
    <row r="9" spans="1:47" s="182" customFormat="1" ht="26.25" customHeight="1" x14ac:dyDescent="0.25">
      <c r="A9" s="183">
        <v>22005</v>
      </c>
      <c r="B9" s="743" t="s">
        <v>435</v>
      </c>
      <c r="C9" s="744"/>
      <c r="D9" s="184">
        <f>COUNTIF('22005_MAPEAMENTO'!D5:D14,"ATIVO")</f>
        <v>0</v>
      </c>
      <c r="E9" s="184" t="s">
        <v>433</v>
      </c>
      <c r="F9" s="201">
        <f t="shared" si="0"/>
        <v>40</v>
      </c>
      <c r="G9" s="185">
        <f>SUM('22005_MAPEAMENTO'!G5:G7)</f>
        <v>6790</v>
      </c>
      <c r="H9" s="185">
        <f>SUM('22005_MAPEAMENTO'!K5:K7)</f>
        <v>15</v>
      </c>
      <c r="I9" s="186">
        <f>SUM('22005_MAPEAMENTO'!H5:H7)</f>
        <v>3110.47</v>
      </c>
      <c r="J9" s="185">
        <f>SUM('22005_MAPEAMENTO'!G8:G9)</f>
        <v>3600</v>
      </c>
      <c r="K9" s="185">
        <f>SUM('22005_MAPEAMENTO'!K8:K9)</f>
        <v>8</v>
      </c>
      <c r="L9" s="186">
        <f>SUM('22005_MAPEAMENTO'!H8:H9)</f>
        <v>2126.4499999999998</v>
      </c>
      <c r="M9" s="185">
        <f>SUM('22005_MAPEAMENTO'!G10:G11)</f>
        <v>5422</v>
      </c>
      <c r="N9" s="185">
        <f>SUM('22005_MAPEAMENTO'!K10:K11)</f>
        <v>10</v>
      </c>
      <c r="O9" s="186">
        <f>SUM('22005_MAPEAMENTO'!H10:H11)</f>
        <v>2274.21</v>
      </c>
      <c r="P9" s="185">
        <f>SUM('22005_MAPEAMENTO'!G12:G13)</f>
        <v>3024</v>
      </c>
      <c r="Q9" s="201">
        <f>SUM('22005_MAPEAMENTO'!K12:K13)</f>
        <v>6</v>
      </c>
      <c r="R9" s="181">
        <f>SUM('22005_MAPEAMENTO'!H12:H13)</f>
        <v>1594.2599999999998</v>
      </c>
      <c r="S9" s="185">
        <f>SUM('22005_MAPEAMENTO'!H12:H13)</f>
        <v>1594.2599999999998</v>
      </c>
      <c r="T9" s="201">
        <f>SUM('22005_MAPEAMENTO'!K14)</f>
        <v>1</v>
      </c>
      <c r="U9" s="180">
        <f>SUM('22005_MAPEAMENTO'!H14)</f>
        <v>276.97000000000003</v>
      </c>
      <c r="V9" s="185"/>
      <c r="W9" s="201"/>
      <c r="X9" s="186"/>
      <c r="Y9" s="185"/>
      <c r="Z9" s="201"/>
      <c r="AA9" s="186"/>
      <c r="AB9" s="185"/>
      <c r="AC9" s="201"/>
      <c r="AD9" s="186"/>
      <c r="AE9" s="185"/>
      <c r="AF9" s="201"/>
      <c r="AG9" s="186"/>
      <c r="AH9" s="185"/>
      <c r="AI9" s="201"/>
      <c r="AJ9" s="186"/>
      <c r="AK9" s="185"/>
      <c r="AL9" s="201"/>
      <c r="AM9" s="186"/>
      <c r="AN9" s="185"/>
      <c r="AO9" s="201"/>
      <c r="AP9" s="187"/>
      <c r="AQ9" s="258"/>
      <c r="AT9" s="243"/>
    </row>
    <row r="10" spans="1:47" s="182" customFormat="1" ht="26.25" customHeight="1" x14ac:dyDescent="0.25">
      <c r="A10" s="183">
        <v>21029</v>
      </c>
      <c r="B10" s="743" t="s">
        <v>436</v>
      </c>
      <c r="C10" s="744"/>
      <c r="D10" s="184">
        <v>2</v>
      </c>
      <c r="E10" s="184" t="s">
        <v>433</v>
      </c>
      <c r="F10" s="201">
        <f t="shared" si="0"/>
        <v>45</v>
      </c>
      <c r="G10" s="185">
        <f>SUM('21029_ENEL GOIANIA'!G5:G6)</f>
        <v>1993</v>
      </c>
      <c r="H10" s="185">
        <f>SUM('21029_ENEL GOIANIA'!K5:K6)</f>
        <v>8</v>
      </c>
      <c r="I10" s="186">
        <f>SUM('21029_ENEL GOIANIA'!H5:H6)</f>
        <v>966.71</v>
      </c>
      <c r="J10" s="185">
        <f>SUM('21029_ENEL GOIANIA'!G7:G8)</f>
        <v>1074</v>
      </c>
      <c r="K10" s="185">
        <f>SUM('21029_ENEL GOIANIA'!K7:K8)</f>
        <v>4</v>
      </c>
      <c r="L10" s="186">
        <f>SUM('21029_ENEL GOIANIA'!H7:H8)</f>
        <v>505.1</v>
      </c>
      <c r="M10" s="185">
        <f>SUM('21029_ENEL GOIANIA'!G9:G10)</f>
        <v>2139</v>
      </c>
      <c r="N10" s="185">
        <f>SUM('21029_ENEL GOIANIA'!K9:K10)</f>
        <v>6</v>
      </c>
      <c r="O10" s="186">
        <f>SUM('21029_ENEL GOIANIA'!H9:H10)</f>
        <v>955.29000000000008</v>
      </c>
      <c r="P10" s="185">
        <f>SUM('21029_ENEL GOIANIA'!G11:G12)</f>
        <v>1899</v>
      </c>
      <c r="Q10" s="201">
        <f>SUM('21029_ENEL GOIANIA'!K11:K12)</f>
        <v>8</v>
      </c>
      <c r="R10" s="181">
        <f>SUM('21029_ENEL GOIANIA'!H11:H12)</f>
        <v>1310.95</v>
      </c>
      <c r="S10" s="185">
        <f>SUM('21029_ENEL GOIANIA'!G13:G14)</f>
        <v>1520</v>
      </c>
      <c r="T10" s="201">
        <f>SUM('21029_ENEL GOIANIA'!K13:K14)</f>
        <v>4</v>
      </c>
      <c r="U10" s="180">
        <f>SUM('21029_ENEL GOIANIA'!H13:H14)</f>
        <v>430.12</v>
      </c>
      <c r="V10" s="185">
        <f>SUM('21029_ENEL GOIANIA'!G15:G16)</f>
        <v>1055</v>
      </c>
      <c r="W10" s="201">
        <f>SUM('21029_ENEL GOIANIA'!K15:K16)</f>
        <v>3</v>
      </c>
      <c r="X10" s="186">
        <f>SUM('21029_ENEL GOIANIA'!H15:H16)</f>
        <v>540.89</v>
      </c>
      <c r="Y10" s="185">
        <f>SUM('21029_ENEL GOIANIA'!G17:G18)</f>
        <v>1633</v>
      </c>
      <c r="Z10" s="201">
        <f>SUM('21029_ENEL GOIANIA'!K17:K18)</f>
        <v>4</v>
      </c>
      <c r="AA10" s="186">
        <f>SUM('21029_ENEL GOIANIA'!H17:H18)</f>
        <v>996.91</v>
      </c>
      <c r="AB10" s="185">
        <f>SUM('21029_ENEL GOIANIA'!G19:G20)</f>
        <v>1806</v>
      </c>
      <c r="AC10" s="201">
        <f>SUM('21029_ENEL GOIANIA'!K19:K20)</f>
        <v>5</v>
      </c>
      <c r="AD10" s="186">
        <f>SUM('21029_ENEL GOIANIA'!H19:H20)</f>
        <v>916.66800000000012</v>
      </c>
      <c r="AE10" s="185">
        <f>SUM('21029_ENEL GOIANIA'!G21:G22)</f>
        <v>1130</v>
      </c>
      <c r="AF10" s="201">
        <f>SUM('21029_ENEL GOIANIA'!K21:K22)</f>
        <v>3</v>
      </c>
      <c r="AG10" s="186">
        <f>SUM('21029_ENEL GOIANIA'!H21:H22)</f>
        <v>541.6</v>
      </c>
      <c r="AH10" s="185"/>
      <c r="AI10" s="201"/>
      <c r="AJ10" s="186"/>
      <c r="AK10" s="185"/>
      <c r="AL10" s="201"/>
      <c r="AM10" s="186"/>
      <c r="AN10" s="185"/>
      <c r="AO10" s="201"/>
      <c r="AP10" s="187"/>
      <c r="AQ10" s="258"/>
    </row>
    <row r="11" spans="1:47" s="182" customFormat="1" ht="26.25" customHeight="1" x14ac:dyDescent="0.25">
      <c r="A11" s="183">
        <v>19018</v>
      </c>
      <c r="B11" s="743" t="s">
        <v>405</v>
      </c>
      <c r="C11" s="744"/>
      <c r="D11" s="184">
        <f>COUNTIF('19018_F.Angra'!D5:D17,"ATIVO")</f>
        <v>0</v>
      </c>
      <c r="E11" s="184" t="s">
        <v>433</v>
      </c>
      <c r="F11" s="201">
        <f t="shared" si="0"/>
        <v>35</v>
      </c>
      <c r="G11" s="185">
        <f>SUM('19018_F.Angra'!G5:G6)</f>
        <v>4222</v>
      </c>
      <c r="H11" s="185">
        <f>SUM('19018_F.Angra'!K5:K6)</f>
        <v>6</v>
      </c>
      <c r="I11" s="186">
        <f>SUM('19018_F.Angra'!H5:H6)</f>
        <v>1800</v>
      </c>
      <c r="J11" s="185">
        <f>('19018_F.Angra'!G7)</f>
        <v>2768</v>
      </c>
      <c r="K11" s="185">
        <f>('19018_F.Angra'!K7)</f>
        <v>5</v>
      </c>
      <c r="L11" s="186">
        <f>('19018_F.Angra'!H7)</f>
        <v>1200.01</v>
      </c>
      <c r="M11" s="185">
        <f>('19018_F.Angra'!G8)</f>
        <v>2655</v>
      </c>
      <c r="N11" s="185">
        <f>('19018_F.Angra'!K8)</f>
        <v>6</v>
      </c>
      <c r="O11" s="186">
        <f>('19018_F.Angra'!H8)</f>
        <v>1250</v>
      </c>
      <c r="P11" s="185">
        <f>('19018_F.Angra'!G9)</f>
        <v>1727</v>
      </c>
      <c r="Q11" s="201">
        <f>('19018_F.Angra'!K9)</f>
        <v>4</v>
      </c>
      <c r="R11" s="181">
        <f>('19018_F.Angra'!H9)</f>
        <v>950</v>
      </c>
      <c r="S11" s="185">
        <f>('19018_F.Angra'!G10)</f>
        <v>2135</v>
      </c>
      <c r="T11" s="201">
        <f>('19018_F.Angra'!K10)</f>
        <v>3</v>
      </c>
      <c r="U11" s="180">
        <f>('19018_F.Angra'!H10)</f>
        <v>1000</v>
      </c>
      <c r="V11" s="185">
        <f>('19018_F.Angra'!G11)</f>
        <v>1832</v>
      </c>
      <c r="W11" s="201">
        <f>('19018_F.Angra'!K11)</f>
        <v>4</v>
      </c>
      <c r="X11" s="186">
        <f>('19018_F.Angra'!H11)</f>
        <v>1000</v>
      </c>
      <c r="Y11" s="185">
        <f>('19018_F.Angra'!G12)</f>
        <v>1983</v>
      </c>
      <c r="Z11" s="201">
        <f>('19018_F.Angra'!K12)</f>
        <v>5</v>
      </c>
      <c r="AA11" s="186">
        <f>('19018_F.Angra'!H12)</f>
        <v>1080.0999999999999</v>
      </c>
      <c r="AB11" s="185">
        <f>('19018_F.Angra'!G13)</f>
        <v>1517</v>
      </c>
      <c r="AC11" s="201">
        <f>('19018_F.Angra'!K13)</f>
        <v>2</v>
      </c>
      <c r="AD11" s="186">
        <f>('19018_F.Angra'!H13)</f>
        <v>700</v>
      </c>
      <c r="AE11" s="185"/>
      <c r="AF11" s="201"/>
      <c r="AG11" s="186"/>
      <c r="AH11" s="185"/>
      <c r="AI11" s="201"/>
      <c r="AJ11" s="186"/>
      <c r="AK11" s="185"/>
      <c r="AL11" s="201"/>
      <c r="AM11" s="186"/>
      <c r="AN11" s="185"/>
      <c r="AO11" s="201"/>
      <c r="AP11" s="187"/>
      <c r="AQ11" s="258"/>
    </row>
    <row r="12" spans="1:47" s="182" customFormat="1" ht="26.25" customHeight="1" x14ac:dyDescent="0.25">
      <c r="A12" s="183">
        <v>20017</v>
      </c>
      <c r="B12" s="743" t="s">
        <v>465</v>
      </c>
      <c r="C12" s="744"/>
      <c r="D12" s="184">
        <f>COUNTIF('20017_DNIT'!D5:D28,"ATIVO")</f>
        <v>0</v>
      </c>
      <c r="E12" s="184" t="s">
        <v>1269</v>
      </c>
      <c r="F12" s="201">
        <f t="shared" si="0"/>
        <v>14</v>
      </c>
      <c r="G12" s="185">
        <f>SUM('20017_DNIT'!G5:G6)</f>
        <v>2582</v>
      </c>
      <c r="H12" s="185">
        <f>SUM('20017_DNIT'!K5:K6)</f>
        <v>0</v>
      </c>
      <c r="I12" s="186">
        <f>SUM('20017_DNIT'!H5:H6)</f>
        <v>1035.58</v>
      </c>
      <c r="J12" s="185">
        <f>SUM('20017_DNIT'!G7:G8)</f>
        <v>2663</v>
      </c>
      <c r="K12" s="185">
        <v>4</v>
      </c>
      <c r="L12" s="186">
        <f>SUM('20017_DNIT'!H7:H8)</f>
        <v>1037.74</v>
      </c>
      <c r="M12" s="185">
        <f>SUM('23026_LAGOA_CGN'!G12:G12)</f>
        <v>3148</v>
      </c>
      <c r="N12" s="185">
        <f>SUM('23026_LAGOA_CGN'!I12:I12)</f>
        <v>10</v>
      </c>
      <c r="O12" s="186">
        <f>SUM('23026_LAGOA_CGN'!H12:H12)</f>
        <v>1562.6400000000003</v>
      </c>
      <c r="P12" s="185"/>
      <c r="Q12" s="185"/>
      <c r="R12" s="181"/>
      <c r="S12" s="185"/>
      <c r="T12" s="185"/>
      <c r="U12" s="180"/>
      <c r="V12" s="185"/>
      <c r="W12" s="185"/>
      <c r="X12" s="186"/>
      <c r="Y12" s="185"/>
      <c r="Z12" s="185"/>
      <c r="AA12" s="186"/>
      <c r="AB12" s="185"/>
      <c r="AC12" s="185"/>
      <c r="AD12" s="186"/>
      <c r="AE12" s="185"/>
      <c r="AF12" s="185"/>
      <c r="AG12" s="186"/>
      <c r="AH12" s="185"/>
      <c r="AI12" s="185"/>
      <c r="AJ12" s="186"/>
      <c r="AK12" s="185"/>
      <c r="AL12" s="185"/>
      <c r="AM12" s="186"/>
      <c r="AN12" s="185"/>
      <c r="AO12" s="185"/>
      <c r="AP12" s="187"/>
      <c r="AQ12" s="258"/>
      <c r="AR12" s="260"/>
      <c r="AS12" s="197"/>
      <c r="AT12" s="197"/>
      <c r="AU12" s="197"/>
    </row>
    <row r="13" spans="1:47" s="182" customFormat="1" ht="26.25" customHeight="1" x14ac:dyDescent="0.25">
      <c r="A13" s="183" t="s">
        <v>6</v>
      </c>
      <c r="B13" s="743" t="s">
        <v>1143</v>
      </c>
      <c r="C13" s="744"/>
      <c r="D13" s="184">
        <f>COUNTIF('0000_ARO'!D3:D33,"ATIVO")</f>
        <v>0</v>
      </c>
      <c r="E13" s="184" t="s">
        <v>1269</v>
      </c>
      <c r="F13" s="201">
        <f t="shared" ref="F13" si="1">SUM(H13+K13+N13+Q13+T13+W13+Z13+AC13+AF13+AI13+AL13+AO13)</f>
        <v>7070</v>
      </c>
      <c r="G13" s="185">
        <f>SUM('0000_ARO'!D3:D3)</f>
        <v>0</v>
      </c>
      <c r="H13" s="185">
        <f>SUM('0000_ARO'!F3:F3)</f>
        <v>7062</v>
      </c>
      <c r="I13" s="186">
        <f>SUM('0000_ARO'!E3:E3)</f>
        <v>4907</v>
      </c>
      <c r="J13" s="185">
        <f>('0000_ARO'!G3)</f>
        <v>2155</v>
      </c>
      <c r="K13" s="185">
        <f>('0000_ARO'!I3)</f>
        <v>4</v>
      </c>
      <c r="L13" s="186">
        <f>('0000_ARO'!H3)</f>
        <v>1141.6500000000001</v>
      </c>
      <c r="M13" s="185">
        <f>('0000_ARO'!G4)</f>
        <v>2038</v>
      </c>
      <c r="N13" s="185">
        <f>('0000_ARO'!I4)</f>
        <v>4</v>
      </c>
      <c r="O13" s="186">
        <f>('0000_ARO'!H4)</f>
        <v>987.56000000000006</v>
      </c>
      <c r="P13" s="185"/>
      <c r="Q13" s="185"/>
      <c r="R13" s="186"/>
      <c r="S13" s="185"/>
      <c r="T13" s="185"/>
      <c r="U13" s="186"/>
      <c r="V13" s="185"/>
      <c r="W13" s="185"/>
      <c r="X13" s="186"/>
      <c r="Y13" s="185"/>
      <c r="Z13" s="185"/>
      <c r="AA13" s="186"/>
      <c r="AB13" s="185"/>
      <c r="AC13" s="201"/>
      <c r="AD13" s="186"/>
      <c r="AE13" s="185"/>
      <c r="AF13" s="201"/>
      <c r="AG13" s="186"/>
      <c r="AH13" s="185"/>
      <c r="AI13" s="201"/>
      <c r="AJ13" s="186"/>
      <c r="AK13" s="185"/>
      <c r="AL13" s="201"/>
      <c r="AM13" s="186"/>
      <c r="AN13" s="185"/>
      <c r="AO13" s="201"/>
      <c r="AP13" s="187"/>
      <c r="AQ13" s="258"/>
      <c r="AR13" s="260"/>
      <c r="AS13" s="197"/>
      <c r="AT13" s="197"/>
      <c r="AU13" s="197"/>
    </row>
    <row r="14" spans="1:47" s="182" customFormat="1" ht="26.25" customHeight="1" x14ac:dyDescent="0.25">
      <c r="A14" s="183" t="s">
        <v>6</v>
      </c>
      <c r="B14" s="743" t="s">
        <v>936</v>
      </c>
      <c r="C14" s="744"/>
      <c r="D14" s="184"/>
      <c r="E14" s="184" t="s">
        <v>433</v>
      </c>
      <c r="F14" s="201">
        <f t="shared" si="0"/>
        <v>9</v>
      </c>
      <c r="G14" s="185"/>
      <c r="H14" s="185"/>
      <c r="I14" s="186"/>
      <c r="J14" s="185"/>
      <c r="K14" s="185"/>
      <c r="L14" s="186"/>
      <c r="M14" s="185">
        <f>SUM('23026_LAGOA_CGN'!G13:G13)</f>
        <v>2997</v>
      </c>
      <c r="N14" s="185">
        <f>SUM('23026_LAGOA_CGN'!I13:I13)</f>
        <v>9</v>
      </c>
      <c r="O14" s="186">
        <f>SUM('23026_LAGOA_CGN'!H13:H13)</f>
        <v>2053.27</v>
      </c>
      <c r="P14" s="185"/>
      <c r="Q14" s="185"/>
      <c r="R14" s="186"/>
      <c r="S14" s="185"/>
      <c r="T14" s="185"/>
      <c r="U14" s="186"/>
      <c r="V14" s="185"/>
      <c r="W14" s="185"/>
      <c r="X14" s="186"/>
      <c r="Y14" s="185"/>
      <c r="Z14" s="185"/>
      <c r="AA14" s="186"/>
      <c r="AB14" s="185"/>
      <c r="AC14" s="201"/>
      <c r="AD14" s="186"/>
      <c r="AE14" s="185"/>
      <c r="AF14" s="201"/>
      <c r="AG14" s="186"/>
      <c r="AH14" s="185"/>
      <c r="AI14" s="201"/>
      <c r="AJ14" s="186"/>
      <c r="AK14" s="185"/>
      <c r="AL14" s="201"/>
      <c r="AM14" s="186"/>
      <c r="AN14" s="185"/>
      <c r="AO14" s="201"/>
      <c r="AP14" s="187"/>
      <c r="AQ14" s="258"/>
      <c r="AR14" s="260"/>
      <c r="AS14" s="197"/>
      <c r="AT14" s="197"/>
      <c r="AU14" s="197"/>
    </row>
    <row r="15" spans="1:47" s="182" customFormat="1" ht="26.25" customHeight="1" thickBot="1" x14ac:dyDescent="0.3">
      <c r="A15" s="748" t="s">
        <v>437</v>
      </c>
      <c r="B15" s="749"/>
      <c r="C15" s="749"/>
      <c r="D15" s="749"/>
      <c r="E15" s="750"/>
      <c r="F15" s="188">
        <f t="shared" ref="F15:N15" si="2">SUBTOTAL(9,F5:F14)</f>
        <v>7742</v>
      </c>
      <c r="G15" s="188">
        <f t="shared" si="2"/>
        <v>64726</v>
      </c>
      <c r="H15" s="188">
        <f t="shared" si="2"/>
        <v>7174</v>
      </c>
      <c r="I15" s="189">
        <f t="shared" si="2"/>
        <v>30618.86</v>
      </c>
      <c r="J15" s="188">
        <f t="shared" si="2"/>
        <v>45831</v>
      </c>
      <c r="K15" s="188">
        <f t="shared" si="2"/>
        <v>92</v>
      </c>
      <c r="L15" s="432">
        <f t="shared" si="2"/>
        <v>20928.310000000001</v>
      </c>
      <c r="M15" s="188">
        <f t="shared" si="2"/>
        <v>55057</v>
      </c>
      <c r="N15" s="188">
        <f t="shared" si="2"/>
        <v>110</v>
      </c>
      <c r="O15" s="189">
        <f>SUM(O5:O14)</f>
        <v>23372.980000000003</v>
      </c>
      <c r="P15" s="188">
        <f>SUBTOTAL(9,P5:P14)</f>
        <v>34031</v>
      </c>
      <c r="Q15" s="188">
        <f>SUBTOTAL(9,Q5:Q14)</f>
        <v>78</v>
      </c>
      <c r="R15" s="189">
        <f>SUM(R5:R14)</f>
        <v>15477.24</v>
      </c>
      <c r="S15" s="188">
        <f>SUBTOTAL(9,S5:S14)</f>
        <v>29368.26</v>
      </c>
      <c r="T15" s="188">
        <f>SUBTOTAL(9,T5:T14)</f>
        <v>65</v>
      </c>
      <c r="U15" s="189">
        <f>SUM(U5:U14)</f>
        <v>12626.43</v>
      </c>
      <c r="V15" s="188">
        <f>SUBTOTAL(9,V5:V14)</f>
        <v>23936</v>
      </c>
      <c r="W15" s="188">
        <f>SUBTOTAL(9,W5:W14)</f>
        <v>55</v>
      </c>
      <c r="X15" s="189">
        <f>SUM(X5:X14)</f>
        <v>11416.01</v>
      </c>
      <c r="Y15" s="188">
        <f>SUBTOTAL(9,Y5:Y14)</f>
        <v>32378</v>
      </c>
      <c r="Z15" s="188">
        <f>SUBTOTAL(9,Z5:Z14)</f>
        <v>61</v>
      </c>
      <c r="AA15" s="189">
        <f>SUM(AA5:AA14)</f>
        <v>13994.859999999999</v>
      </c>
      <c r="AB15" s="188">
        <f>SUBTOTAL(9,AB5:AB14)</f>
        <v>28069.53</v>
      </c>
      <c r="AC15" s="188">
        <f>SUBTOTAL(9,AC5:AC14)</f>
        <v>62</v>
      </c>
      <c r="AD15" s="189">
        <f>SUM(AD5:AD14)</f>
        <v>14083.498</v>
      </c>
      <c r="AE15" s="188">
        <f>SUBTOTAL(9,AE5:AE14)</f>
        <v>21465</v>
      </c>
      <c r="AF15" s="188">
        <f>SUBTOTAL(9,AF5:AF14)</f>
        <v>45</v>
      </c>
      <c r="AG15" s="189">
        <f>SUM(AG5:AG14)</f>
        <v>8137.6710000000003</v>
      </c>
      <c r="AH15" s="188">
        <f>SUBTOTAL(9,AH5:AH14)</f>
        <v>0</v>
      </c>
      <c r="AI15" s="188">
        <f>SUBTOTAL(9,AI5:AI14)</f>
        <v>0</v>
      </c>
      <c r="AJ15" s="189">
        <f>SUM(AJ5:AJ14)</f>
        <v>0</v>
      </c>
      <c r="AK15" s="188">
        <f>SUM(AK5:AK14)</f>
        <v>0</v>
      </c>
      <c r="AL15" s="188">
        <f>SUM(AL5:AL14)</f>
        <v>0</v>
      </c>
      <c r="AM15" s="188">
        <f>SUM(AM5:AM14)</f>
        <v>0</v>
      </c>
      <c r="AN15" s="188">
        <f>SUM(AN5:AN12)</f>
        <v>0</v>
      </c>
      <c r="AO15" s="188">
        <f>SUM(AO5:AO12)</f>
        <v>0</v>
      </c>
      <c r="AP15" s="190">
        <f>SUM(AP5:AP12)</f>
        <v>0</v>
      </c>
      <c r="AQ15" s="259"/>
    </row>
    <row r="16" spans="1:47" s="182" customFormat="1" ht="26.25" customHeight="1" thickBot="1" x14ac:dyDescent="0.3">
      <c r="A16" s="731" t="s">
        <v>1144</v>
      </c>
      <c r="B16" s="732"/>
      <c r="C16" s="732"/>
      <c r="D16" s="732"/>
      <c r="E16" s="733"/>
      <c r="F16" s="198"/>
      <c r="G16" s="740">
        <f>I15+L15+O15+R15+U15+X15+AA15+AD15+AG15+AJ15+AM15+AQ15</f>
        <v>150655.859</v>
      </c>
      <c r="H16" s="741"/>
      <c r="I16" s="741"/>
      <c r="J16" s="741"/>
      <c r="K16" s="741"/>
      <c r="L16" s="742"/>
      <c r="M16" s="191"/>
      <c r="N16" s="191"/>
      <c r="O16" s="191"/>
      <c r="P16" s="191"/>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row>
    <row r="17" spans="1:43" s="182" customFormat="1" ht="26.25" customHeight="1" thickBot="1" x14ac:dyDescent="0.3">
      <c r="A17" s="745" t="s">
        <v>438</v>
      </c>
      <c r="B17" s="746"/>
      <c r="C17" s="746"/>
      <c r="D17" s="746"/>
      <c r="E17" s="747"/>
      <c r="F17" s="199"/>
      <c r="G17" s="192">
        <f>I15/L15-1</f>
        <v>0.46303547682541013</v>
      </c>
      <c r="H17" s="200"/>
      <c r="I17" s="191"/>
      <c r="J17" s="191"/>
      <c r="K17" s="191"/>
      <c r="L17" s="433"/>
      <c r="M17" s="191"/>
      <c r="N17" s="191"/>
      <c r="O17" s="191"/>
      <c r="P17" s="191"/>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row>
    <row r="18" spans="1:43" ht="27.75" customHeight="1" x14ac:dyDescent="0.3">
      <c r="A18" s="193"/>
      <c r="B18" s="194"/>
      <c r="C18" s="194"/>
      <c r="D18" s="194"/>
      <c r="E18" s="194"/>
      <c r="F18" s="194"/>
      <c r="G18" s="195"/>
      <c r="H18" s="195"/>
      <c r="I18" s="196"/>
      <c r="J18" s="195"/>
      <c r="K18" s="195"/>
      <c r="L18" s="196"/>
      <c r="M18" s="195"/>
      <c r="N18" s="195"/>
      <c r="O18" s="196"/>
      <c r="P18" s="195"/>
      <c r="Q18" s="195"/>
      <c r="R18" s="196"/>
      <c r="S18" s="195"/>
      <c r="T18" s="195"/>
      <c r="U18" s="196"/>
      <c r="V18" s="195"/>
      <c r="W18" s="195"/>
      <c r="X18" s="196"/>
      <c r="Y18" s="195"/>
      <c r="Z18" s="195"/>
      <c r="AA18" s="196"/>
      <c r="AB18" s="195"/>
      <c r="AC18" s="195"/>
      <c r="AD18" s="196"/>
      <c r="AE18" s="195"/>
      <c r="AF18" s="195"/>
      <c r="AG18" s="196"/>
      <c r="AH18" s="195"/>
      <c r="AI18" s="195"/>
      <c r="AJ18" s="196"/>
      <c r="AK18" s="195"/>
      <c r="AL18" s="195"/>
      <c r="AM18" s="196"/>
      <c r="AN18" s="195"/>
      <c r="AO18" s="195"/>
      <c r="AP18" s="196"/>
      <c r="AQ18" s="196"/>
    </row>
    <row r="20" spans="1:43" ht="27.75" customHeight="1" x14ac:dyDescent="0.25">
      <c r="P20" s="244"/>
    </row>
  </sheetData>
  <mergeCells count="34">
    <mergeCell ref="A17:E17"/>
    <mergeCell ref="D3:D4"/>
    <mergeCell ref="B11:C11"/>
    <mergeCell ref="B6:C6"/>
    <mergeCell ref="B9:C9"/>
    <mergeCell ref="B10:C10"/>
    <mergeCell ref="B5:C5"/>
    <mergeCell ref="A15:E15"/>
    <mergeCell ref="B14:C14"/>
    <mergeCell ref="B7:C7"/>
    <mergeCell ref="B8:C8"/>
    <mergeCell ref="B13:C13"/>
    <mergeCell ref="M3:O3"/>
    <mergeCell ref="P3:R3"/>
    <mergeCell ref="A16:E16"/>
    <mergeCell ref="E1:X2"/>
    <mergeCell ref="AQ3:AQ4"/>
    <mergeCell ref="AH3:AJ3"/>
    <mergeCell ref="AK3:AM3"/>
    <mergeCell ref="Y3:AA3"/>
    <mergeCell ref="AE3:AG3"/>
    <mergeCell ref="AN3:AP3"/>
    <mergeCell ref="S3:U3"/>
    <mergeCell ref="V3:X3"/>
    <mergeCell ref="AB3:AD3"/>
    <mergeCell ref="G16:L16"/>
    <mergeCell ref="B12:C12"/>
    <mergeCell ref="F3:F4"/>
    <mergeCell ref="J3:L3"/>
    <mergeCell ref="A1:B2"/>
    <mergeCell ref="A3:A4"/>
    <mergeCell ref="B3:C4"/>
    <mergeCell ref="E3:E4"/>
    <mergeCell ref="G3:I3"/>
  </mergeCells>
  <conditionalFormatting sqref="A5:B14 D5:AP14 F15:AQ15 J18:K18 M18:N18 P18:Q18 S18:T18 V18:W18 Y18:Z18 AB18:AC18 AE18:AF18 AH18:AI18 AK18:AL18 AN18:AO18">
    <cfRule type="cellIs" dxfId="54" priority="58" operator="equal">
      <formula>0</formula>
    </cfRule>
  </conditionalFormatting>
  <conditionalFormatting sqref="G17:H17">
    <cfRule type="dataBar" priority="60">
      <dataBar>
        <cfvo type="min"/>
        <cfvo type="max"/>
        <color rgb="FF63C384"/>
      </dataBar>
      <extLst>
        <ext xmlns:x14="http://schemas.microsoft.com/office/spreadsheetml/2009/9/main" uri="{B025F937-C7B1-47D3-B67F-A62EFF666E3E}">
          <x14:id>{A8C8D9C3-4B28-4DA9-B4A3-4FE6C5E313F6}</x14:id>
        </ext>
      </extLst>
    </cfRule>
  </conditionalFormatting>
  <conditionalFormatting sqref="L5">
    <cfRule type="cellIs" dxfId="53" priority="53" operator="greaterThan">
      <formula>#REF!</formula>
    </cfRule>
  </conditionalFormatting>
  <conditionalFormatting sqref="M5:N5 Q5 P5:P6 S5:T6 M6 AB7:AQ8 P9:Q10 S9:T10 M9:N11 Q11 T11 W11 Z11 AC11 AF11 AI11 AL11 AO11 P11:P12 S11:S12 AA11:AB12 AD11:AE12 AG11:AH12 AJ11:AK12 AM11:AN12 AP11:AQ12 V11:V14">
    <cfRule type="cellIs" dxfId="52" priority="56" operator="greaterThanOrEqual">
      <formula>3001</formula>
    </cfRule>
  </conditionalFormatting>
  <conditionalFormatting sqref="M5:N5 S5:T6 M9:N11 Q11 T11 W11 Z11 AC11 P11:P12 S11:S12 AA11:AB12">
    <cfRule type="cellIs" dxfId="51" priority="33" operator="equal">
      <formula>0</formula>
    </cfRule>
  </conditionalFormatting>
  <conditionalFormatting sqref="Q5 P5:P6 M6 AB7:AQ8 P9:Q10 S9:T10 AF11 AI11 AL11 AO11 AD11:AE12 AG11:AH12 AJ11:AK12 AM11:AN12 AP11:AQ12 G18:H18">
    <cfRule type="cellIs" dxfId="50" priority="59" operator="equal">
      <formula>0</formula>
    </cfRule>
  </conditionalFormatting>
  <conditionalFormatting sqref="R5:R6 R9:R12">
    <cfRule type="cellIs" dxfId="49" priority="40" operator="greaterThan">
      <formula>#REF!</formula>
    </cfRule>
  </conditionalFormatting>
  <conditionalFormatting sqref="V5:AQ6 W8:AQ8 X11:Y12 W13:AQ14">
    <cfRule type="cellIs" dxfId="48" priority="29" operator="equal">
      <formula>0</formula>
    </cfRule>
  </conditionalFormatting>
  <conditionalFormatting sqref="V5:AQ6 X11:Y12 W13:AQ14">
    <cfRule type="cellIs" dxfId="47" priority="28" operator="greaterThanOrEqual">
      <formula>3001</formula>
    </cfRule>
  </conditionalFormatting>
  <conditionalFormatting sqref="V8:AQ10">
    <cfRule type="cellIs" dxfId="46" priority="12" operator="greaterThanOrEqual">
      <formula>3001</formula>
    </cfRule>
  </conditionalFormatting>
  <conditionalFormatting sqref="V9:AQ10">
    <cfRule type="cellIs" dxfId="45" priority="13" operator="equal">
      <formula>0</formula>
    </cfRule>
  </conditionalFormatting>
  <conditionalFormatting sqref="AQ15">
    <cfRule type="cellIs" dxfId="44" priority="36" operator="greaterThanOrEqual">
      <formula>3001</formula>
    </cfRule>
  </conditionalFormatting>
  <printOptions horizontalCentered="1"/>
  <pageMargins left="0.17" right="0.18" top="0.56999999999999995" bottom="0.78740157480314965" header="0.39370078740157483" footer="0.39370078740157483"/>
  <pageSetup paperSize="9" scale="27" orientation="landscape" r:id="rId1"/>
  <headerFooter>
    <oddFooter>&amp;F</oddFooter>
  </headerFooter>
  <drawing r:id="rId2"/>
  <extLst>
    <ext xmlns:x14="http://schemas.microsoft.com/office/spreadsheetml/2009/9/main" uri="{78C0D931-6437-407d-A8EE-F0AAD7539E65}">
      <x14:conditionalFormattings>
        <x14:conditionalFormatting xmlns:xm="http://schemas.microsoft.com/office/excel/2006/main">
          <x14:cfRule type="dataBar" id="{A8C8D9C3-4B28-4DA9-B4A3-4FE6C5E313F6}">
            <x14:dataBar minLength="0" maxLength="100" border="1" negativeBarBorderColorSameAsPositive="0">
              <x14:cfvo type="autoMin"/>
              <x14:cfvo type="autoMax"/>
              <x14:borderColor rgb="FF63C384"/>
              <x14:negativeFillColor rgb="FFFF0000"/>
              <x14:negativeBorderColor rgb="FFFF0000"/>
              <x14:axisColor rgb="FF000000"/>
            </x14:dataBar>
          </x14:cfRule>
          <xm:sqref>G17:H17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4"/>
  <sheetViews>
    <sheetView showGridLines="0" zoomScaleNormal="100" workbookViewId="0">
      <pane xSplit="3" ySplit="4" topLeftCell="D21" activePane="bottomRight" state="frozen"/>
      <selection pane="topRight" activeCell="D1" sqref="D1"/>
      <selection pane="bottomLeft" activeCell="A5" sqref="A5"/>
      <selection pane="bottomRight" activeCell="I29" sqref="I29"/>
    </sheetView>
  </sheetViews>
  <sheetFormatPr defaultRowHeight="15" x14ac:dyDescent="0.25"/>
  <cols>
    <col min="1" max="1" width="14.5703125" bestFit="1" customWidth="1"/>
    <col min="2" max="2" width="9.85546875" bestFit="1" customWidth="1"/>
    <col min="3" max="3" width="12.28515625" bestFit="1" customWidth="1"/>
    <col min="4" max="4" width="12.28515625" customWidth="1"/>
    <col min="5" max="5" width="14.140625" bestFit="1" customWidth="1"/>
    <col min="6" max="6" width="11.7109375" customWidth="1"/>
    <col min="7" max="7" width="15.42578125" customWidth="1"/>
    <col min="8" max="8" width="10.7109375" style="133" bestFit="1" customWidth="1"/>
    <col min="9" max="9" width="8.140625" customWidth="1"/>
    <col min="10" max="10" width="16.42578125" customWidth="1"/>
    <col min="11" max="12" width="20.28515625" style="133" bestFit="1" customWidth="1"/>
    <col min="13" max="13" width="10.5703125" bestFit="1" customWidth="1"/>
    <col min="14" max="14" width="22.85546875" customWidth="1"/>
  </cols>
  <sheetData>
    <row r="1" spans="1:14" s="300" customFormat="1" ht="15.75" customHeight="1" x14ac:dyDescent="0.25">
      <c r="A1" s="197"/>
      <c r="B1" s="197"/>
      <c r="C1" s="197"/>
      <c r="D1" s="197"/>
    </row>
    <row r="2" spans="1:14" s="300" customFormat="1" ht="15.75" customHeight="1" x14ac:dyDescent="0.25">
      <c r="A2" s="197"/>
      <c r="B2" s="197"/>
      <c r="C2" s="197"/>
      <c r="D2" s="197"/>
    </row>
    <row r="3" spans="1:14" s="300" customFormat="1" ht="15.75" customHeight="1" x14ac:dyDescent="0.25">
      <c r="A3" s="197"/>
      <c r="B3" s="197"/>
      <c r="C3" s="197"/>
      <c r="D3" s="197"/>
    </row>
    <row r="4" spans="1:14" s="13" customFormat="1" ht="30" x14ac:dyDescent="0.25">
      <c r="A4" s="391" t="s">
        <v>67</v>
      </c>
      <c r="B4" s="326" t="s">
        <v>68</v>
      </c>
      <c r="C4" s="326" t="s">
        <v>0</v>
      </c>
      <c r="D4" s="205" t="s">
        <v>24</v>
      </c>
      <c r="E4" s="326" t="s">
        <v>69</v>
      </c>
      <c r="F4" s="326" t="s">
        <v>70</v>
      </c>
      <c r="G4" s="326" t="s">
        <v>71</v>
      </c>
      <c r="H4" s="327" t="s">
        <v>78</v>
      </c>
      <c r="I4" s="329" t="s">
        <v>499</v>
      </c>
      <c r="J4" s="329" t="s">
        <v>508</v>
      </c>
      <c r="K4" s="328" t="s">
        <v>98</v>
      </c>
      <c r="L4" s="328" t="s">
        <v>99</v>
      </c>
      <c r="M4" s="326" t="s">
        <v>72</v>
      </c>
      <c r="N4" s="330" t="s">
        <v>4</v>
      </c>
    </row>
    <row r="5" spans="1:14" ht="21.95" customHeight="1" x14ac:dyDescent="0.25">
      <c r="A5" s="360" t="s">
        <v>938</v>
      </c>
      <c r="B5" s="313" t="s">
        <v>53</v>
      </c>
      <c r="C5" s="313" t="s">
        <v>391</v>
      </c>
      <c r="D5" s="313" t="s">
        <v>6</v>
      </c>
      <c r="E5" s="331">
        <v>66265</v>
      </c>
      <c r="F5" s="331">
        <v>68739</v>
      </c>
      <c r="G5" s="331">
        <f t="shared" ref="G5:G22" si="0">F5-E5</f>
        <v>2474</v>
      </c>
      <c r="H5" s="335">
        <v>1</v>
      </c>
      <c r="I5" s="335">
        <v>52.561</v>
      </c>
      <c r="J5" s="392">
        <f>SUM(K5:L5)</f>
        <v>335.86</v>
      </c>
      <c r="K5" s="332">
        <v>335.86</v>
      </c>
      <c r="L5" s="332"/>
      <c r="M5" s="313" t="s">
        <v>1050</v>
      </c>
      <c r="N5" s="333"/>
    </row>
    <row r="6" spans="1:14" ht="21.95" customHeight="1" x14ac:dyDescent="0.25">
      <c r="A6" s="361" t="s">
        <v>910</v>
      </c>
      <c r="B6" s="312" t="s">
        <v>109</v>
      </c>
      <c r="C6" s="312" t="s">
        <v>874</v>
      </c>
      <c r="D6" s="312" t="s">
        <v>6</v>
      </c>
      <c r="E6" s="318">
        <v>7968</v>
      </c>
      <c r="F6" s="318">
        <v>8927</v>
      </c>
      <c r="G6" s="318">
        <f t="shared" si="0"/>
        <v>959</v>
      </c>
      <c r="H6" s="336">
        <v>1</v>
      </c>
      <c r="I6" s="336">
        <v>69.739999999999995</v>
      </c>
      <c r="J6" s="407">
        <f>SUM(K6:L6)</f>
        <v>410.09000000000003</v>
      </c>
      <c r="K6" s="334">
        <v>215.16</v>
      </c>
      <c r="L6" s="334">
        <v>194.93</v>
      </c>
      <c r="M6" s="312" t="s">
        <v>1050</v>
      </c>
      <c r="N6" s="324"/>
    </row>
    <row r="7" spans="1:14" ht="21.95" customHeight="1" x14ac:dyDescent="0.25">
      <c r="A7" s="362" t="s">
        <v>938</v>
      </c>
      <c r="B7" s="313" t="s">
        <v>53</v>
      </c>
      <c r="C7" s="313" t="s">
        <v>391</v>
      </c>
      <c r="D7" s="313" t="s">
        <v>6</v>
      </c>
      <c r="E7" s="337">
        <v>68739</v>
      </c>
      <c r="F7" s="473">
        <v>70689</v>
      </c>
      <c r="G7" s="124">
        <f t="shared" si="0"/>
        <v>1950</v>
      </c>
      <c r="H7" s="476">
        <v>3</v>
      </c>
      <c r="I7" s="339">
        <v>156.26</v>
      </c>
      <c r="J7" s="407">
        <f>SUM(K7:L7)</f>
        <v>1017.65</v>
      </c>
      <c r="K7" s="338">
        <v>297.25</v>
      </c>
      <c r="L7" s="338">
        <v>720.4</v>
      </c>
      <c r="M7" s="340" t="s">
        <v>80</v>
      </c>
      <c r="N7" s="341"/>
    </row>
    <row r="8" spans="1:14" ht="21.95" customHeight="1" x14ac:dyDescent="0.25">
      <c r="A8" s="361" t="s">
        <v>910</v>
      </c>
      <c r="B8" s="312" t="s">
        <v>109</v>
      </c>
      <c r="C8" s="312" t="s">
        <v>874</v>
      </c>
      <c r="D8" s="312" t="s">
        <v>6</v>
      </c>
      <c r="E8" s="318">
        <v>8927</v>
      </c>
      <c r="F8" s="474">
        <v>10296</v>
      </c>
      <c r="G8" s="124">
        <f t="shared" si="0"/>
        <v>1369</v>
      </c>
      <c r="H8" s="476">
        <v>4</v>
      </c>
      <c r="I8" s="336">
        <v>109.95</v>
      </c>
      <c r="J8" s="407">
        <f>SUM(K8:L8)</f>
        <v>666.06999999999994</v>
      </c>
      <c r="K8" s="334">
        <v>277.68</v>
      </c>
      <c r="L8" s="334">
        <v>388.39</v>
      </c>
      <c r="M8" s="312" t="s">
        <v>80</v>
      </c>
      <c r="N8" s="324"/>
    </row>
    <row r="9" spans="1:14" ht="21.95" customHeight="1" x14ac:dyDescent="0.25">
      <c r="A9" s="362" t="s">
        <v>938</v>
      </c>
      <c r="B9" s="340" t="s">
        <v>53</v>
      </c>
      <c r="C9" s="313" t="s">
        <v>391</v>
      </c>
      <c r="D9" s="340" t="s">
        <v>6</v>
      </c>
      <c r="E9" s="337">
        <v>70689</v>
      </c>
      <c r="F9" s="473">
        <v>73837</v>
      </c>
      <c r="G9" s="124">
        <f t="shared" si="0"/>
        <v>3148</v>
      </c>
      <c r="H9" s="476">
        <v>5</v>
      </c>
      <c r="I9" s="339">
        <v>233.21</v>
      </c>
      <c r="J9" s="407">
        <f t="shared" ref="J9:J13" si="1">SUM(K9:L9)</f>
        <v>1518.21</v>
      </c>
      <c r="K9" s="338">
        <v>1025.46</v>
      </c>
      <c r="L9" s="338">
        <v>492.75</v>
      </c>
      <c r="M9" s="313" t="s">
        <v>81</v>
      </c>
      <c r="N9" s="341"/>
    </row>
    <row r="10" spans="1:14" ht="21.95" customHeight="1" x14ac:dyDescent="0.25">
      <c r="A10" s="361" t="s">
        <v>910</v>
      </c>
      <c r="B10" s="312" t="s">
        <v>109</v>
      </c>
      <c r="C10" s="312" t="s">
        <v>874</v>
      </c>
      <c r="D10" s="312" t="s">
        <v>6</v>
      </c>
      <c r="E10" s="318">
        <v>10296</v>
      </c>
      <c r="F10" s="474">
        <v>11821</v>
      </c>
      <c r="G10" s="124">
        <f t="shared" si="0"/>
        <v>1525</v>
      </c>
      <c r="H10" s="476">
        <v>4</v>
      </c>
      <c r="I10" s="336">
        <v>134.72999999999999</v>
      </c>
      <c r="J10" s="407">
        <f t="shared" si="1"/>
        <v>825.91</v>
      </c>
      <c r="K10" s="334">
        <v>450.51</v>
      </c>
      <c r="L10" s="334">
        <v>375.4</v>
      </c>
      <c r="M10" s="312" t="s">
        <v>81</v>
      </c>
      <c r="N10" s="324"/>
    </row>
    <row r="11" spans="1:14" ht="21.95" customHeight="1" x14ac:dyDescent="0.25">
      <c r="A11" s="362" t="s">
        <v>938</v>
      </c>
      <c r="B11" s="340" t="s">
        <v>53</v>
      </c>
      <c r="C11" s="313" t="s">
        <v>391</v>
      </c>
      <c r="D11" s="340" t="s">
        <v>6</v>
      </c>
      <c r="E11" s="337">
        <v>73837</v>
      </c>
      <c r="F11" s="473">
        <v>76390</v>
      </c>
      <c r="G11" s="124">
        <f t="shared" si="0"/>
        <v>2553</v>
      </c>
      <c r="H11" s="476">
        <v>5</v>
      </c>
      <c r="I11" s="339">
        <v>108.4</v>
      </c>
      <c r="J11" s="339">
        <f t="shared" si="1"/>
        <v>1529.46</v>
      </c>
      <c r="K11" s="338">
        <v>692.53</v>
      </c>
      <c r="L11" s="338">
        <v>836.93</v>
      </c>
      <c r="M11" s="313" t="s">
        <v>82</v>
      </c>
      <c r="N11" s="341"/>
    </row>
    <row r="12" spans="1:14" ht="21.95" customHeight="1" x14ac:dyDescent="0.25">
      <c r="A12" s="361" t="s">
        <v>910</v>
      </c>
      <c r="B12" s="312" t="s">
        <v>109</v>
      </c>
      <c r="C12" s="312" t="s">
        <v>874</v>
      </c>
      <c r="D12" s="312" t="s">
        <v>6</v>
      </c>
      <c r="E12" s="462">
        <v>11821</v>
      </c>
      <c r="F12" s="475">
        <v>12874</v>
      </c>
      <c r="G12" s="124">
        <f t="shared" si="0"/>
        <v>1053</v>
      </c>
      <c r="H12" s="476">
        <v>3</v>
      </c>
      <c r="I12" s="463">
        <v>101.28</v>
      </c>
      <c r="J12" s="463">
        <f t="shared" si="1"/>
        <v>602.69000000000005</v>
      </c>
      <c r="K12" s="464">
        <v>406.17</v>
      </c>
      <c r="L12" s="464">
        <v>196.52</v>
      </c>
      <c r="M12" s="313" t="s">
        <v>82</v>
      </c>
      <c r="N12" s="465"/>
    </row>
    <row r="13" spans="1:14" ht="21.95" customHeight="1" x14ac:dyDescent="0.25">
      <c r="A13" s="361" t="s">
        <v>910</v>
      </c>
      <c r="B13" s="312" t="s">
        <v>61</v>
      </c>
      <c r="C13" s="312" t="s">
        <v>1329</v>
      </c>
      <c r="D13" s="312" t="s">
        <v>6</v>
      </c>
      <c r="E13" s="318">
        <v>24047</v>
      </c>
      <c r="F13" s="474">
        <v>24363</v>
      </c>
      <c r="G13" s="124">
        <f t="shared" si="0"/>
        <v>316</v>
      </c>
      <c r="H13" s="476">
        <v>3</v>
      </c>
      <c r="I13" s="336">
        <v>98.31</v>
      </c>
      <c r="J13" s="336">
        <f t="shared" si="1"/>
        <v>602.68000000000006</v>
      </c>
      <c r="K13" s="334">
        <v>406.16</v>
      </c>
      <c r="L13" s="334">
        <v>196.52</v>
      </c>
      <c r="M13" s="312" t="s">
        <v>82</v>
      </c>
      <c r="N13" s="324"/>
    </row>
    <row r="14" spans="1:14" ht="21.95" customHeight="1" x14ac:dyDescent="0.25">
      <c r="A14" s="362" t="s">
        <v>938</v>
      </c>
      <c r="B14" s="340" t="s">
        <v>53</v>
      </c>
      <c r="C14" s="313" t="s">
        <v>391</v>
      </c>
      <c r="D14" s="340" t="s">
        <v>6</v>
      </c>
      <c r="E14" s="337">
        <v>76390</v>
      </c>
      <c r="F14" s="473">
        <v>80350</v>
      </c>
      <c r="G14" s="124">
        <f t="shared" si="0"/>
        <v>3960</v>
      </c>
      <c r="H14" s="476">
        <v>3</v>
      </c>
      <c r="I14" s="339">
        <v>161.06</v>
      </c>
      <c r="J14" s="339">
        <v>998.76</v>
      </c>
      <c r="K14" s="338">
        <v>710.09</v>
      </c>
      <c r="L14" s="464">
        <v>288.67</v>
      </c>
      <c r="M14" s="313" t="s">
        <v>83</v>
      </c>
      <c r="N14" s="341"/>
    </row>
    <row r="15" spans="1:14" ht="21.95" customHeight="1" x14ac:dyDescent="0.25">
      <c r="A15" s="361" t="s">
        <v>910</v>
      </c>
      <c r="B15" s="312" t="s">
        <v>61</v>
      </c>
      <c r="C15" s="312" t="s">
        <v>1329</v>
      </c>
      <c r="D15" s="312" t="s">
        <v>6</v>
      </c>
      <c r="E15" s="318">
        <v>24363</v>
      </c>
      <c r="F15" s="318">
        <v>25407</v>
      </c>
      <c r="G15" s="472">
        <f t="shared" si="0"/>
        <v>1044</v>
      </c>
      <c r="H15" s="476">
        <v>2</v>
      </c>
      <c r="I15" s="336">
        <v>92.01</v>
      </c>
      <c r="J15" s="334">
        <v>604.58000000000004</v>
      </c>
      <c r="K15" s="334">
        <v>0</v>
      </c>
      <c r="L15" s="334">
        <v>604.58000000000004</v>
      </c>
      <c r="M15" s="312" t="s">
        <v>83</v>
      </c>
      <c r="N15" s="324"/>
    </row>
    <row r="16" spans="1:14" ht="21.95" customHeight="1" x14ac:dyDescent="0.25">
      <c r="A16" s="362" t="s">
        <v>938</v>
      </c>
      <c r="B16" s="340" t="s">
        <v>53</v>
      </c>
      <c r="C16" s="313" t="s">
        <v>391</v>
      </c>
      <c r="D16" s="313" t="s">
        <v>6</v>
      </c>
      <c r="E16" s="337">
        <v>80350</v>
      </c>
      <c r="F16" s="337">
        <v>82960</v>
      </c>
      <c r="G16" s="337">
        <f t="shared" si="0"/>
        <v>2610</v>
      </c>
      <c r="H16" s="476">
        <v>4</v>
      </c>
      <c r="I16" s="339">
        <v>235.32</v>
      </c>
      <c r="J16" s="334">
        <v>1458.97</v>
      </c>
      <c r="K16" s="338">
        <v>726.93</v>
      </c>
      <c r="L16" s="338">
        <v>732.04</v>
      </c>
      <c r="M16" s="313" t="s">
        <v>84</v>
      </c>
      <c r="N16" s="341"/>
    </row>
    <row r="17" spans="1:14" ht="21.95" customHeight="1" x14ac:dyDescent="0.25">
      <c r="A17" s="362" t="s">
        <v>938</v>
      </c>
      <c r="B17" s="340" t="s">
        <v>53</v>
      </c>
      <c r="C17" s="313" t="s">
        <v>391</v>
      </c>
      <c r="D17" s="340" t="s">
        <v>6</v>
      </c>
      <c r="E17" s="337">
        <v>82960</v>
      </c>
      <c r="F17" s="337">
        <v>85402</v>
      </c>
      <c r="G17" s="337">
        <f t="shared" si="0"/>
        <v>2442</v>
      </c>
      <c r="H17" s="476">
        <v>2</v>
      </c>
      <c r="I17" s="339">
        <v>243.64</v>
      </c>
      <c r="J17" s="334">
        <v>1511.64</v>
      </c>
      <c r="K17" s="338">
        <v>641.95000000000005</v>
      </c>
      <c r="L17" s="338">
        <v>869.69</v>
      </c>
      <c r="M17" s="313" t="s">
        <v>73</v>
      </c>
      <c r="N17" s="341"/>
    </row>
    <row r="18" spans="1:14" ht="21.95" customHeight="1" x14ac:dyDescent="0.25">
      <c r="A18" s="362" t="s">
        <v>1417</v>
      </c>
      <c r="B18" s="340" t="s">
        <v>16</v>
      </c>
      <c r="C18" s="340" t="s">
        <v>1347</v>
      </c>
      <c r="D18" s="340" t="s">
        <v>6</v>
      </c>
      <c r="E18" s="337">
        <v>43742</v>
      </c>
      <c r="F18" s="337">
        <v>45486</v>
      </c>
      <c r="G18" s="337">
        <f t="shared" si="0"/>
        <v>1744</v>
      </c>
      <c r="H18" s="476">
        <v>4</v>
      </c>
      <c r="I18" s="339">
        <v>185.56</v>
      </c>
      <c r="J18" s="334">
        <v>1200.48</v>
      </c>
      <c r="K18" s="338">
        <v>582.79999999999995</v>
      </c>
      <c r="L18" s="338">
        <v>617.67999999999995</v>
      </c>
      <c r="M18" s="313" t="s">
        <v>73</v>
      </c>
      <c r="N18" s="341"/>
    </row>
    <row r="19" spans="1:14" ht="21.95" customHeight="1" x14ac:dyDescent="0.25">
      <c r="A19" s="362" t="s">
        <v>938</v>
      </c>
      <c r="B19" s="340" t="s">
        <v>53</v>
      </c>
      <c r="C19" s="340" t="s">
        <v>852</v>
      </c>
      <c r="D19" s="340" t="s">
        <v>6</v>
      </c>
      <c r="E19" s="337">
        <v>85402</v>
      </c>
      <c r="F19" s="337">
        <v>89968</v>
      </c>
      <c r="G19" s="337">
        <f t="shared" ref="G19:G20" si="2">F19-E19</f>
        <v>4566</v>
      </c>
      <c r="H19" s="476">
        <v>8</v>
      </c>
      <c r="I19" s="339">
        <v>373.19</v>
      </c>
      <c r="J19" s="334">
        <f>SUM(K19+L19)</f>
        <v>2338.87</v>
      </c>
      <c r="K19" s="338">
        <v>1057.8</v>
      </c>
      <c r="L19" s="338">
        <v>1281.07</v>
      </c>
      <c r="M19" s="313" t="s">
        <v>74</v>
      </c>
      <c r="N19" s="341"/>
    </row>
    <row r="20" spans="1:14" ht="21.95" customHeight="1" x14ac:dyDescent="0.25">
      <c r="A20" s="362" t="s">
        <v>1417</v>
      </c>
      <c r="B20" s="340" t="s">
        <v>16</v>
      </c>
      <c r="C20" s="340" t="s">
        <v>1347</v>
      </c>
      <c r="D20" s="340" t="s">
        <v>6</v>
      </c>
      <c r="E20" s="337">
        <v>45486</v>
      </c>
      <c r="F20" s="337">
        <v>47375</v>
      </c>
      <c r="G20" s="337">
        <f t="shared" si="2"/>
        <v>1889</v>
      </c>
      <c r="H20" s="476">
        <v>5</v>
      </c>
      <c r="I20" s="339">
        <v>219.92</v>
      </c>
      <c r="J20" s="334">
        <f>SUM(K20+L20)</f>
        <v>1449.27</v>
      </c>
      <c r="K20" s="334">
        <v>952.98</v>
      </c>
      <c r="L20" s="338">
        <v>496.29</v>
      </c>
      <c r="M20" s="313" t="s">
        <v>74</v>
      </c>
      <c r="N20" s="341"/>
    </row>
    <row r="21" spans="1:14" ht="21.95" customHeight="1" x14ac:dyDescent="0.25">
      <c r="A21" s="362" t="s">
        <v>938</v>
      </c>
      <c r="B21" s="340" t="s">
        <v>53</v>
      </c>
      <c r="C21" s="340" t="s">
        <v>444</v>
      </c>
      <c r="D21" s="340" t="s">
        <v>6</v>
      </c>
      <c r="E21" s="337">
        <v>89968</v>
      </c>
      <c r="F21" s="337">
        <v>93345</v>
      </c>
      <c r="G21" s="337">
        <f t="shared" si="0"/>
        <v>3377</v>
      </c>
      <c r="H21" s="476">
        <v>8</v>
      </c>
      <c r="I21" s="339">
        <v>329</v>
      </c>
      <c r="J21" s="334">
        <f t="shared" ref="J21:J22" si="3">SUM(K21+L21)</f>
        <v>2053.3999999999996</v>
      </c>
      <c r="K21" s="338">
        <v>827.28</v>
      </c>
      <c r="L21" s="338">
        <v>1226.1199999999999</v>
      </c>
      <c r="M21" s="313" t="s">
        <v>75</v>
      </c>
      <c r="N21" s="341"/>
    </row>
    <row r="22" spans="1:14" ht="21.95" customHeight="1" x14ac:dyDescent="0.25">
      <c r="A22" s="362" t="s">
        <v>1417</v>
      </c>
      <c r="B22" s="340" t="s">
        <v>16</v>
      </c>
      <c r="C22" s="340" t="s">
        <v>1347</v>
      </c>
      <c r="D22" s="340" t="s">
        <v>6</v>
      </c>
      <c r="E22" s="337">
        <v>47375</v>
      </c>
      <c r="F22" s="337">
        <v>48901</v>
      </c>
      <c r="G22" s="337">
        <f t="shared" si="0"/>
        <v>1526</v>
      </c>
      <c r="H22" s="476">
        <v>5</v>
      </c>
      <c r="I22" s="339">
        <v>210.08099999999999</v>
      </c>
      <c r="J22" s="334">
        <f t="shared" si="3"/>
        <v>1384.62</v>
      </c>
      <c r="K22" s="338">
        <v>624.14</v>
      </c>
      <c r="L22" s="338">
        <v>760.48</v>
      </c>
      <c r="M22" s="313" t="s">
        <v>75</v>
      </c>
      <c r="N22" s="341"/>
    </row>
    <row r="23" spans="1:14" ht="21.95" customHeight="1" x14ac:dyDescent="0.25">
      <c r="A23" s="362" t="s">
        <v>938</v>
      </c>
      <c r="B23" s="340" t="s">
        <v>53</v>
      </c>
      <c r="C23" s="340" t="s">
        <v>444</v>
      </c>
      <c r="D23" s="340"/>
      <c r="E23" s="337"/>
      <c r="F23" s="337"/>
      <c r="G23" s="337">
        <f t="shared" ref="G23:G24" si="4">F23-E23</f>
        <v>0</v>
      </c>
      <c r="H23" s="476"/>
      <c r="I23" s="339"/>
      <c r="J23" s="334">
        <f t="shared" ref="J23:J24" si="5">SUM(K23+L23)</f>
        <v>0</v>
      </c>
      <c r="K23" s="338"/>
      <c r="L23" s="338"/>
      <c r="M23" s="313" t="s">
        <v>76</v>
      </c>
      <c r="N23" s="341"/>
    </row>
    <row r="24" spans="1:14" ht="21.95" customHeight="1" x14ac:dyDescent="0.25">
      <c r="A24" s="362" t="s">
        <v>938</v>
      </c>
      <c r="B24" s="340" t="s">
        <v>53</v>
      </c>
      <c r="C24" s="340" t="s">
        <v>444</v>
      </c>
      <c r="D24" s="340"/>
      <c r="E24" s="337">
        <v>96977</v>
      </c>
      <c r="F24" s="337">
        <v>100925</v>
      </c>
      <c r="G24" s="337">
        <f t="shared" si="4"/>
        <v>3948</v>
      </c>
      <c r="H24" s="476"/>
      <c r="I24" s="339"/>
      <c r="J24" s="334">
        <f t="shared" si="5"/>
        <v>0</v>
      </c>
      <c r="K24" s="338"/>
      <c r="L24" s="338"/>
      <c r="M24" s="313" t="s">
        <v>85</v>
      </c>
      <c r="N24" s="341"/>
    </row>
  </sheetData>
  <phoneticPr fontId="10" type="noConversion"/>
  <conditionalFormatting sqref="G5:G24">
    <cfRule type="cellIs" dxfId="43" priority="1" operator="equal">
      <formula>0</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C47"/>
  <sheetViews>
    <sheetView showGridLines="0" view="pageBreakPreview" zoomScale="85" zoomScaleNormal="70" zoomScaleSheetLayoutView="85" workbookViewId="0">
      <pane xSplit="3" ySplit="2" topLeftCell="D27" activePane="bottomRight" state="frozen"/>
      <selection pane="topRight" activeCell="D1" sqref="D1"/>
      <selection pane="bottomLeft" activeCell="A3" sqref="A3"/>
      <selection pane="bottomRight" activeCell="F42" sqref="F42"/>
    </sheetView>
  </sheetViews>
  <sheetFormatPr defaultRowHeight="15" x14ac:dyDescent="0.25"/>
  <cols>
    <col min="1" max="1" width="36.5703125" customWidth="1"/>
    <col min="2" max="2" width="13.140625" bestFit="1" customWidth="1"/>
    <col min="3" max="3" width="11.28515625" bestFit="1" customWidth="1"/>
    <col min="4" max="4" width="17.85546875" customWidth="1"/>
    <col min="5" max="6" width="13.140625" customWidth="1"/>
    <col min="7" max="7" width="17.85546875" style="311" customWidth="1"/>
    <col min="8" max="9" width="13.140625" customWidth="1"/>
    <col min="10" max="10" width="11.5703125" customWidth="1"/>
    <col min="11" max="12" width="13.140625" customWidth="1"/>
    <col min="13" max="13" width="13.42578125" style="134" customWidth="1"/>
    <col min="14" max="14" width="11.5703125" style="220" customWidth="1"/>
    <col min="15" max="15" width="17.28515625" customWidth="1"/>
    <col min="16" max="16" width="12.7109375" customWidth="1"/>
    <col min="17" max="17" width="11.5703125" style="220" customWidth="1"/>
    <col min="18" max="18" width="17.85546875" customWidth="1"/>
    <col min="19" max="19" width="11.5703125" style="133" customWidth="1"/>
    <col min="20" max="20" width="11.5703125" style="220" customWidth="1"/>
    <col min="21" max="21" width="17.85546875" customWidth="1"/>
    <col min="22" max="22" width="11.5703125" style="133" customWidth="1"/>
    <col min="23" max="23" width="11.5703125" style="220" customWidth="1"/>
    <col min="24" max="24" width="16" bestFit="1" customWidth="1"/>
    <col min="25" max="25" width="11.85546875" style="133" customWidth="1"/>
    <col min="26" max="26" width="11.5703125" style="220" customWidth="1"/>
    <col min="27" max="27" width="17.85546875" customWidth="1"/>
    <col min="28" max="28" width="11.5703125" style="133" customWidth="1"/>
    <col min="29" max="29" width="11.5703125" style="220" customWidth="1"/>
    <col min="30" max="30" width="17.85546875" customWidth="1"/>
    <col min="31" max="31" width="11.5703125" style="133" customWidth="1"/>
    <col min="32" max="32" width="10.28515625" customWidth="1"/>
    <col min="33" max="33" width="17.85546875" customWidth="1"/>
    <col min="34" max="34" width="11.5703125" style="133" customWidth="1"/>
    <col min="35" max="35" width="11.5703125" style="220" customWidth="1"/>
    <col min="36" max="36" width="17.85546875" customWidth="1"/>
    <col min="37" max="37" width="11.85546875" style="133" customWidth="1"/>
    <col min="38" max="38" width="11.5703125" style="220" customWidth="1"/>
    <col min="39" max="39" width="17.85546875" customWidth="1"/>
    <col min="40" max="40" width="11.5703125" style="133" customWidth="1"/>
    <col min="41" max="41" width="11.5703125" style="220" customWidth="1"/>
    <col min="42" max="42" width="17.85546875" customWidth="1"/>
    <col min="43" max="43" width="11" style="133" customWidth="1"/>
    <col min="44" max="44" width="11.5703125" style="220" customWidth="1"/>
    <col min="45" max="45" width="17.85546875" customWidth="1"/>
    <col min="46" max="46" width="11.85546875" style="133" customWidth="1"/>
    <col min="47" max="47" width="11.5703125" style="220" customWidth="1"/>
    <col min="48" max="48" width="17.85546875" customWidth="1"/>
    <col min="49" max="49" width="11.85546875" style="133" customWidth="1"/>
    <col min="50" max="50" width="11.5703125" style="220" customWidth="1"/>
    <col min="51" max="51" width="17.85546875" customWidth="1"/>
    <col min="52" max="52" width="11.85546875" style="133" customWidth="1"/>
    <col min="53" max="53" width="11.5703125" style="220" customWidth="1"/>
    <col min="54" max="54" width="17.85546875" customWidth="1"/>
    <col min="55" max="55" width="11.85546875" style="133" customWidth="1"/>
    <col min="56" max="56" width="11.5703125" style="220" customWidth="1"/>
    <col min="57" max="57" width="17.85546875" customWidth="1"/>
    <col min="58" max="58" width="11.85546875" style="133" customWidth="1"/>
    <col min="59" max="59" width="11.5703125" style="220" customWidth="1"/>
    <col min="60" max="60" width="17.85546875" customWidth="1"/>
    <col min="61" max="61" width="11.85546875" style="133" customWidth="1"/>
    <col min="62" max="62" width="11.5703125" style="220" customWidth="1"/>
    <col min="63" max="63" width="17.85546875" customWidth="1"/>
    <col min="64" max="64" width="11.85546875" style="133" customWidth="1"/>
    <col min="65" max="65" width="11.5703125" style="220" customWidth="1"/>
    <col min="66" max="66" width="17.85546875" customWidth="1"/>
    <col min="67" max="67" width="11.85546875" style="133" customWidth="1"/>
    <col min="68" max="68" width="11.5703125" customWidth="1"/>
    <col min="69" max="69" width="17.85546875" customWidth="1"/>
    <col min="70" max="70" width="11.85546875" style="133" customWidth="1"/>
    <col min="71" max="71" width="11.5703125" style="220" customWidth="1"/>
    <col min="72" max="72" width="17.85546875" customWidth="1"/>
    <col min="73" max="73" width="11.85546875" style="133" customWidth="1"/>
    <col min="74" max="74" width="11.5703125" style="220" customWidth="1"/>
    <col min="75" max="75" width="17.85546875" customWidth="1"/>
    <col min="76" max="76" width="11.85546875" style="133" customWidth="1"/>
    <col min="77" max="77" width="11.5703125" style="220" customWidth="1"/>
    <col min="78" max="78" width="17.85546875" customWidth="1"/>
    <col min="79" max="79" width="11.85546875" style="133" customWidth="1"/>
    <col min="80" max="80" width="11.5703125" style="220" customWidth="1"/>
    <col min="81" max="81" width="17.85546875" customWidth="1"/>
    <col min="82" max="82" width="11.5703125" style="133" customWidth="1"/>
    <col min="83" max="83" width="11.5703125" style="220" customWidth="1"/>
    <col min="84" max="84" width="17.85546875" customWidth="1"/>
    <col min="85" max="85" width="11.85546875" style="133" customWidth="1"/>
    <col min="86" max="86" width="11.5703125" style="220" customWidth="1"/>
    <col min="87" max="87" width="17.85546875" customWidth="1"/>
    <col min="88" max="88" width="11.85546875" style="133" customWidth="1"/>
    <col min="89" max="89" width="11.5703125" style="220" customWidth="1"/>
    <col min="90" max="90" width="16" customWidth="1"/>
    <col min="91" max="91" width="11.28515625" style="133" customWidth="1"/>
    <col min="92" max="92" width="11.5703125" style="220" customWidth="1"/>
    <col min="93" max="93" width="15.42578125" customWidth="1"/>
    <col min="94" max="94" width="11.85546875" style="133" customWidth="1"/>
    <col min="95" max="95" width="11.5703125" style="220" customWidth="1"/>
    <col min="96" max="96" width="17.85546875" customWidth="1"/>
    <col min="97" max="97" width="11.85546875" style="133" customWidth="1"/>
    <col min="98" max="98" width="11.5703125" style="220" customWidth="1"/>
    <col min="99" max="99" width="17.85546875" customWidth="1"/>
    <col min="100" max="100" width="11.5703125" style="133" customWidth="1"/>
    <col min="101" max="101" width="11.5703125" style="220" customWidth="1"/>
    <col min="102" max="102" width="17.85546875" customWidth="1"/>
    <col min="103" max="103" width="10.5703125" style="133" customWidth="1"/>
    <col min="104" max="104" width="11.5703125" style="220" customWidth="1"/>
    <col min="105" max="105" width="17.85546875" customWidth="1"/>
    <col min="106" max="106" width="32.7109375" customWidth="1"/>
    <col min="107" max="107" width="71.42578125" style="172" customWidth="1"/>
  </cols>
  <sheetData>
    <row r="1" spans="1:107" ht="35.25" customHeight="1" x14ac:dyDescent="0.25">
      <c r="A1" s="238" t="s">
        <v>505</v>
      </c>
      <c r="B1" s="239">
        <f>COUNTIF(D3:D47,"ATIVO")</f>
        <v>2</v>
      </c>
      <c r="C1" s="755" t="s">
        <v>1103</v>
      </c>
      <c r="D1" s="755"/>
      <c r="E1" s="755"/>
      <c r="F1" s="755"/>
      <c r="G1" s="755"/>
      <c r="H1" s="755"/>
      <c r="I1" s="755"/>
      <c r="J1" s="755"/>
      <c r="K1" s="755"/>
      <c r="L1" s="756"/>
      <c r="M1" s="751" t="s">
        <v>500</v>
      </c>
      <c r="N1" s="752"/>
      <c r="O1" s="752"/>
      <c r="P1" s="752" t="s">
        <v>500</v>
      </c>
      <c r="Q1" s="752"/>
      <c r="R1" s="752"/>
      <c r="S1" s="752" t="s">
        <v>500</v>
      </c>
      <c r="T1" s="752"/>
      <c r="U1" s="752"/>
      <c r="V1" s="752" t="s">
        <v>500</v>
      </c>
      <c r="W1" s="752"/>
      <c r="X1" s="752"/>
      <c r="Y1" s="752" t="s">
        <v>500</v>
      </c>
      <c r="Z1" s="752"/>
      <c r="AA1" s="752"/>
      <c r="AB1" s="752" t="s">
        <v>500</v>
      </c>
      <c r="AC1" s="752"/>
      <c r="AD1" s="752"/>
      <c r="AE1" s="752" t="s">
        <v>500</v>
      </c>
      <c r="AF1" s="752"/>
      <c r="AG1" s="752"/>
      <c r="AH1" s="752" t="s">
        <v>500</v>
      </c>
      <c r="AI1" s="752"/>
      <c r="AJ1" s="752"/>
      <c r="AK1" s="752" t="s">
        <v>500</v>
      </c>
      <c r="AL1" s="752"/>
      <c r="AM1" s="752"/>
      <c r="AN1" s="752" t="s">
        <v>500</v>
      </c>
      <c r="AO1" s="752"/>
      <c r="AP1" s="752"/>
      <c r="AQ1" s="752" t="s">
        <v>500</v>
      </c>
      <c r="AR1" s="752"/>
      <c r="AS1" s="752"/>
      <c r="AT1" s="752" t="s">
        <v>500</v>
      </c>
      <c r="AU1" s="752"/>
      <c r="AV1" s="752"/>
      <c r="AW1" s="752" t="s">
        <v>500</v>
      </c>
      <c r="AX1" s="752"/>
      <c r="AY1" s="752"/>
      <c r="AZ1" s="752" t="s">
        <v>500</v>
      </c>
      <c r="BA1" s="752"/>
      <c r="BB1" s="752"/>
      <c r="BC1" s="752" t="s">
        <v>500</v>
      </c>
      <c r="BD1" s="752"/>
      <c r="BE1" s="752"/>
      <c r="BF1" s="752" t="s">
        <v>500</v>
      </c>
      <c r="BG1" s="752"/>
      <c r="BH1" s="752"/>
      <c r="BI1" s="752" t="s">
        <v>500</v>
      </c>
      <c r="BJ1" s="752"/>
      <c r="BK1" s="752"/>
      <c r="BL1" s="752" t="s">
        <v>500</v>
      </c>
      <c r="BM1" s="752"/>
      <c r="BN1" s="752"/>
      <c r="BO1" s="752" t="s">
        <v>500</v>
      </c>
      <c r="BP1" s="760"/>
      <c r="BQ1" s="752"/>
      <c r="BR1" s="752" t="s">
        <v>500</v>
      </c>
      <c r="BS1" s="752"/>
      <c r="BT1" s="752"/>
      <c r="BU1" s="752" t="s">
        <v>500</v>
      </c>
      <c r="BV1" s="752"/>
      <c r="BW1" s="752"/>
      <c r="BX1" s="752" t="s">
        <v>500</v>
      </c>
      <c r="BY1" s="752"/>
      <c r="BZ1" s="752"/>
      <c r="CA1" s="752" t="s">
        <v>500</v>
      </c>
      <c r="CB1" s="752"/>
      <c r="CC1" s="752"/>
      <c r="CD1" s="752" t="s">
        <v>500</v>
      </c>
      <c r="CE1" s="752"/>
      <c r="CF1" s="752"/>
      <c r="CG1" s="752" t="s">
        <v>500</v>
      </c>
      <c r="CH1" s="752"/>
      <c r="CI1" s="752"/>
      <c r="CJ1" s="752" t="s">
        <v>500</v>
      </c>
      <c r="CK1" s="752"/>
      <c r="CL1" s="752"/>
      <c r="CM1" s="752" t="s">
        <v>500</v>
      </c>
      <c r="CN1" s="752"/>
      <c r="CO1" s="752"/>
      <c r="CP1" s="752" t="s">
        <v>500</v>
      </c>
      <c r="CQ1" s="752"/>
      <c r="CR1" s="752"/>
      <c r="CS1" s="752" t="s">
        <v>500</v>
      </c>
      <c r="CT1" s="752"/>
      <c r="CU1" s="752"/>
      <c r="CV1" s="752" t="s">
        <v>500</v>
      </c>
      <c r="CW1" s="752"/>
      <c r="CX1" s="752"/>
      <c r="CY1" s="752" t="s">
        <v>500</v>
      </c>
      <c r="CZ1" s="752"/>
      <c r="DA1" s="757"/>
      <c r="DB1" s="758" t="s">
        <v>4</v>
      </c>
      <c r="DC1" s="753" t="s">
        <v>87</v>
      </c>
    </row>
    <row r="2" spans="1:107" ht="37.5" customHeight="1" thickBot="1" x14ac:dyDescent="0.3">
      <c r="A2" s="345" t="s">
        <v>67</v>
      </c>
      <c r="B2" s="346" t="s">
        <v>68</v>
      </c>
      <c r="C2" s="346" t="s">
        <v>0</v>
      </c>
      <c r="D2" s="346" t="s">
        <v>24</v>
      </c>
      <c r="E2" s="346" t="s">
        <v>69</v>
      </c>
      <c r="F2" s="346" t="s">
        <v>70</v>
      </c>
      <c r="G2" s="346" t="s">
        <v>71</v>
      </c>
      <c r="H2" s="346" t="s">
        <v>100</v>
      </c>
      <c r="I2" s="346" t="s">
        <v>508</v>
      </c>
      <c r="J2" s="346" t="s">
        <v>1148</v>
      </c>
      <c r="K2" s="346" t="s">
        <v>511</v>
      </c>
      <c r="L2" s="347" t="s">
        <v>72</v>
      </c>
      <c r="M2" s="348" t="s">
        <v>468</v>
      </c>
      <c r="N2" s="349" t="s">
        <v>499</v>
      </c>
      <c r="O2" s="350" t="s">
        <v>466</v>
      </c>
      <c r="P2" s="350" t="s">
        <v>469</v>
      </c>
      <c r="Q2" s="349" t="s">
        <v>499</v>
      </c>
      <c r="R2" s="350" t="s">
        <v>466</v>
      </c>
      <c r="S2" s="350" t="s">
        <v>470</v>
      </c>
      <c r="T2" s="349" t="s">
        <v>499</v>
      </c>
      <c r="U2" s="350" t="s">
        <v>466</v>
      </c>
      <c r="V2" s="350" t="s">
        <v>471</v>
      </c>
      <c r="W2" s="349" t="s">
        <v>499</v>
      </c>
      <c r="X2" s="350" t="s">
        <v>466</v>
      </c>
      <c r="Y2" s="350" t="s">
        <v>472</v>
      </c>
      <c r="Z2" s="349" t="s">
        <v>499</v>
      </c>
      <c r="AA2" s="350" t="s">
        <v>466</v>
      </c>
      <c r="AB2" s="350" t="s">
        <v>473</v>
      </c>
      <c r="AC2" s="349" t="s">
        <v>499</v>
      </c>
      <c r="AD2" s="350" t="s">
        <v>466</v>
      </c>
      <c r="AE2" s="350" t="s">
        <v>474</v>
      </c>
      <c r="AF2" s="350" t="s">
        <v>499</v>
      </c>
      <c r="AG2" s="350" t="s">
        <v>466</v>
      </c>
      <c r="AH2" s="350" t="s">
        <v>475</v>
      </c>
      <c r="AI2" s="349" t="s">
        <v>499</v>
      </c>
      <c r="AJ2" s="350" t="s">
        <v>466</v>
      </c>
      <c r="AK2" s="350" t="s">
        <v>476</v>
      </c>
      <c r="AL2" s="349" t="s">
        <v>499</v>
      </c>
      <c r="AM2" s="350" t="s">
        <v>466</v>
      </c>
      <c r="AN2" s="350" t="s">
        <v>477</v>
      </c>
      <c r="AO2" s="349" t="s">
        <v>499</v>
      </c>
      <c r="AP2" s="350" t="s">
        <v>466</v>
      </c>
      <c r="AQ2" s="350" t="s">
        <v>478</v>
      </c>
      <c r="AR2" s="349" t="s">
        <v>499</v>
      </c>
      <c r="AS2" s="350" t="s">
        <v>466</v>
      </c>
      <c r="AT2" s="350" t="s">
        <v>479</v>
      </c>
      <c r="AU2" s="349" t="s">
        <v>499</v>
      </c>
      <c r="AV2" s="350" t="s">
        <v>466</v>
      </c>
      <c r="AW2" s="350" t="s">
        <v>480</v>
      </c>
      <c r="AX2" s="349" t="s">
        <v>499</v>
      </c>
      <c r="AY2" s="350" t="s">
        <v>466</v>
      </c>
      <c r="AZ2" s="350" t="s">
        <v>481</v>
      </c>
      <c r="BA2" s="349" t="s">
        <v>499</v>
      </c>
      <c r="BB2" s="350" t="s">
        <v>466</v>
      </c>
      <c r="BC2" s="350" t="s">
        <v>482</v>
      </c>
      <c r="BD2" s="349" t="s">
        <v>499</v>
      </c>
      <c r="BE2" s="350" t="s">
        <v>466</v>
      </c>
      <c r="BF2" s="350" t="s">
        <v>483</v>
      </c>
      <c r="BG2" s="349" t="s">
        <v>499</v>
      </c>
      <c r="BH2" s="350" t="s">
        <v>466</v>
      </c>
      <c r="BI2" s="350" t="s">
        <v>484</v>
      </c>
      <c r="BJ2" s="349" t="s">
        <v>499</v>
      </c>
      <c r="BK2" s="350" t="s">
        <v>466</v>
      </c>
      <c r="BL2" s="350" t="s">
        <v>485</v>
      </c>
      <c r="BM2" s="349" t="s">
        <v>499</v>
      </c>
      <c r="BN2" s="350" t="s">
        <v>466</v>
      </c>
      <c r="BO2" s="350" t="s">
        <v>486</v>
      </c>
      <c r="BP2" s="351" t="s">
        <v>499</v>
      </c>
      <c r="BQ2" s="350" t="s">
        <v>466</v>
      </c>
      <c r="BR2" s="350" t="s">
        <v>487</v>
      </c>
      <c r="BS2" s="349" t="s">
        <v>499</v>
      </c>
      <c r="BT2" s="350" t="s">
        <v>466</v>
      </c>
      <c r="BU2" s="350" t="s">
        <v>488</v>
      </c>
      <c r="BV2" s="349" t="s">
        <v>499</v>
      </c>
      <c r="BW2" s="350" t="s">
        <v>466</v>
      </c>
      <c r="BX2" s="350" t="s">
        <v>489</v>
      </c>
      <c r="BY2" s="349" t="s">
        <v>499</v>
      </c>
      <c r="BZ2" s="350" t="s">
        <v>466</v>
      </c>
      <c r="CA2" s="350" t="s">
        <v>490</v>
      </c>
      <c r="CB2" s="349" t="s">
        <v>499</v>
      </c>
      <c r="CC2" s="350" t="s">
        <v>466</v>
      </c>
      <c r="CD2" s="350" t="s">
        <v>491</v>
      </c>
      <c r="CE2" s="349" t="s">
        <v>499</v>
      </c>
      <c r="CF2" s="350" t="s">
        <v>466</v>
      </c>
      <c r="CG2" s="350" t="s">
        <v>492</v>
      </c>
      <c r="CH2" s="349" t="s">
        <v>499</v>
      </c>
      <c r="CI2" s="350" t="s">
        <v>466</v>
      </c>
      <c r="CJ2" s="350" t="s">
        <v>493</v>
      </c>
      <c r="CK2" s="349" t="s">
        <v>499</v>
      </c>
      <c r="CL2" s="350" t="s">
        <v>466</v>
      </c>
      <c r="CM2" s="350" t="s">
        <v>494</v>
      </c>
      <c r="CN2" s="349" t="s">
        <v>499</v>
      </c>
      <c r="CO2" s="350" t="s">
        <v>466</v>
      </c>
      <c r="CP2" s="350" t="s">
        <v>495</v>
      </c>
      <c r="CQ2" s="349" t="s">
        <v>499</v>
      </c>
      <c r="CR2" s="350" t="s">
        <v>466</v>
      </c>
      <c r="CS2" s="350" t="s">
        <v>496</v>
      </c>
      <c r="CT2" s="349" t="s">
        <v>499</v>
      </c>
      <c r="CU2" s="350" t="s">
        <v>466</v>
      </c>
      <c r="CV2" s="350" t="s">
        <v>497</v>
      </c>
      <c r="CW2" s="349" t="s">
        <v>499</v>
      </c>
      <c r="CX2" s="350" t="s">
        <v>466</v>
      </c>
      <c r="CY2" s="350" t="s">
        <v>498</v>
      </c>
      <c r="CZ2" s="349" t="s">
        <v>499</v>
      </c>
      <c r="DA2" s="352" t="s">
        <v>466</v>
      </c>
      <c r="DB2" s="759"/>
      <c r="DC2" s="754"/>
    </row>
    <row r="3" spans="1:107" s="4" customFormat="1" ht="21.95" customHeight="1" thickBot="1" x14ac:dyDescent="0.25">
      <c r="A3" s="168" t="s">
        <v>850</v>
      </c>
      <c r="B3" s="158" t="s">
        <v>51</v>
      </c>
      <c r="C3" s="158" t="s">
        <v>848</v>
      </c>
      <c r="D3" s="353" t="s">
        <v>6</v>
      </c>
      <c r="E3" s="169">
        <v>13603</v>
      </c>
      <c r="F3" s="169">
        <v>14931</v>
      </c>
      <c r="G3" s="158">
        <f t="shared" ref="G3:G40" si="0">F3-E3</f>
        <v>1328</v>
      </c>
      <c r="H3" s="354">
        <f>SUM(M3+P3+S3+V3+Y3+AB3+AE3+AH3+AK3+AN3+AQ3+AT3+AW3+AZ3+BC3+BF3+BI3+BL3+BO3+BR3+BU3+BX3+CA3+CD3+CG3+CJ3+CM3+CP3+CS3+CV3+CY3)</f>
        <v>625.52</v>
      </c>
      <c r="I3" s="157">
        <f>COUNTA(N3,Q3,T3,W3,Z3,AC3,AF3,AI3,AL3,AO3,AR3,AU3,AX3,BA3,BD3,BG3,BJ3,BM3,BP3,BS3,BV3,BY3,CB3,CE3,CH3,CK3,CN3,CQ3,CT3,CW3,CZ3)</f>
        <v>3</v>
      </c>
      <c r="J3" s="157">
        <f>COUNTIF(M3:DC3,"POSTO SANTA RITA")</f>
        <v>2</v>
      </c>
      <c r="K3" s="157">
        <f>COUNTIF(M3:DD3,"POSTO VIP")</f>
        <v>1</v>
      </c>
      <c r="L3" s="158" t="s">
        <v>79</v>
      </c>
      <c r="M3" s="156"/>
      <c r="N3" s="219"/>
      <c r="O3" s="211"/>
      <c r="P3" s="156"/>
      <c r="Q3" s="219"/>
      <c r="R3" s="211"/>
      <c r="S3" s="156"/>
      <c r="T3" s="219"/>
      <c r="U3" s="211"/>
      <c r="V3" s="156"/>
      <c r="W3" s="219"/>
      <c r="X3" s="211"/>
      <c r="Y3" s="156"/>
      <c r="Z3" s="219"/>
      <c r="AA3" s="211"/>
      <c r="AB3" s="156"/>
      <c r="AC3" s="219"/>
      <c r="AD3" s="211"/>
      <c r="AE3" s="156"/>
      <c r="AF3" s="157"/>
      <c r="AG3" s="211"/>
      <c r="AH3" s="156"/>
      <c r="AI3" s="219"/>
      <c r="AJ3" s="211"/>
      <c r="AK3" s="156"/>
      <c r="AL3" s="219"/>
      <c r="AM3" s="211"/>
      <c r="AN3" s="156"/>
      <c r="AO3" s="219"/>
      <c r="AP3" s="211"/>
      <c r="AQ3" s="156">
        <v>223.17</v>
      </c>
      <c r="AR3" s="219">
        <v>38.113999999999997</v>
      </c>
      <c r="AS3" s="211" t="s">
        <v>511</v>
      </c>
      <c r="AT3" s="156"/>
      <c r="AU3" s="219"/>
      <c r="AV3" s="211"/>
      <c r="AW3" s="156"/>
      <c r="AX3" s="219"/>
      <c r="AY3" s="211"/>
      <c r="AZ3" s="156"/>
      <c r="BA3" s="219"/>
      <c r="BB3" s="211"/>
      <c r="BC3" s="156"/>
      <c r="BD3" s="219"/>
      <c r="BE3" s="211"/>
      <c r="BF3" s="156"/>
      <c r="BG3" s="219"/>
      <c r="BH3" s="211"/>
      <c r="BI3" s="156"/>
      <c r="BJ3" s="219"/>
      <c r="BK3" s="211"/>
      <c r="BL3" s="156"/>
      <c r="BM3" s="219"/>
      <c r="BN3" s="211"/>
      <c r="BO3" s="156"/>
      <c r="BP3" s="219"/>
      <c r="BQ3" s="211"/>
      <c r="BR3" s="156"/>
      <c r="BS3" s="219"/>
      <c r="BT3" s="211"/>
      <c r="BU3" s="156"/>
      <c r="BV3" s="219"/>
      <c r="BW3" s="211"/>
      <c r="BX3" s="156">
        <v>223.05</v>
      </c>
      <c r="BY3" s="219">
        <v>38.590000000000003</v>
      </c>
      <c r="BZ3" s="211" t="s">
        <v>1148</v>
      </c>
      <c r="CA3" s="156"/>
      <c r="CB3" s="219"/>
      <c r="CC3" s="211"/>
      <c r="CD3" s="156"/>
      <c r="CE3" s="219"/>
      <c r="CF3" s="211"/>
      <c r="CG3" s="156"/>
      <c r="CH3" s="219"/>
      <c r="CI3" s="211"/>
      <c r="CJ3" s="156"/>
      <c r="CK3" s="219"/>
      <c r="CL3" s="211"/>
      <c r="CM3" s="156"/>
      <c r="CN3" s="219"/>
      <c r="CO3" s="211"/>
      <c r="CP3" s="156"/>
      <c r="CQ3" s="219"/>
      <c r="CR3" s="211"/>
      <c r="CS3" s="156"/>
      <c r="CT3" s="219"/>
      <c r="CU3" s="211"/>
      <c r="CV3" s="156">
        <v>179.3</v>
      </c>
      <c r="CW3" s="219">
        <v>30.65</v>
      </c>
      <c r="CX3" s="211" t="s">
        <v>1148</v>
      </c>
      <c r="CY3" s="156"/>
      <c r="CZ3" s="219"/>
      <c r="DA3" s="211"/>
      <c r="DB3" s="157"/>
      <c r="DC3" s="175"/>
    </row>
    <row r="4" spans="1:107" s="4" customFormat="1" ht="21.95" customHeight="1" thickBot="1" x14ac:dyDescent="0.25">
      <c r="A4" s="165" t="s">
        <v>329</v>
      </c>
      <c r="B4" s="159" t="s">
        <v>16</v>
      </c>
      <c r="C4" s="159" t="s">
        <v>887</v>
      </c>
      <c r="D4" s="159" t="s">
        <v>6</v>
      </c>
      <c r="E4" s="162">
        <v>29041</v>
      </c>
      <c r="F4" s="162">
        <v>33321</v>
      </c>
      <c r="G4" s="159">
        <f t="shared" si="0"/>
        <v>4280</v>
      </c>
      <c r="H4" s="161">
        <f t="shared" ref="H4:H10" si="1">SUM(M4+P4+S4+V4+Y4+AB4+AE4+AH4+AK4+AN4+AQ4+AT4+AW4+AZ4+BC4+BF4+BI4+BL4+BO4+BR4+BU4+BX4+CA4+CD4+CG4+CJ4+CM4+CP4+CS4+CV4+CY4)</f>
        <v>1925.93</v>
      </c>
      <c r="I4" s="138">
        <f t="shared" ref="I4:I39" si="2">COUNTA(N4,Q4,T4,W4,Z4,AC4,AF4,AI4,AL4,AO4,AR4,AU4,AX4,BA4,BD4,BG4,BJ4,BM4,BP4,BS4,BV4,BY4,CB4,CE4,CH4,CK4,CN4,CQ4,CT4,CW4,CZ4)</f>
        <v>8</v>
      </c>
      <c r="J4" s="157">
        <f t="shared" ref="J4:J34" si="3">COUNTIF(M4:DC4,"POSTO SANTA RITA")</f>
        <v>0</v>
      </c>
      <c r="K4" s="138">
        <f t="shared" ref="K4:K27" si="4">COUNTIF(N4:DD4,"POSTO VIP")</f>
        <v>8</v>
      </c>
      <c r="L4" s="159" t="s">
        <v>79</v>
      </c>
      <c r="M4" s="163"/>
      <c r="N4" s="216"/>
      <c r="O4" s="206"/>
      <c r="P4" s="163">
        <v>299.52</v>
      </c>
      <c r="Q4" s="216">
        <v>51.2</v>
      </c>
      <c r="R4" s="206" t="s">
        <v>511</v>
      </c>
      <c r="S4" s="163"/>
      <c r="T4" s="216"/>
      <c r="U4" s="206"/>
      <c r="V4" s="163"/>
      <c r="W4" s="216"/>
      <c r="X4" s="206"/>
      <c r="Y4" s="163"/>
      <c r="Z4" s="216"/>
      <c r="AA4" s="206"/>
      <c r="AB4" s="163">
        <v>180.76</v>
      </c>
      <c r="AC4" s="216">
        <v>30.9</v>
      </c>
      <c r="AD4" s="206" t="s">
        <v>511</v>
      </c>
      <c r="AE4" s="163"/>
      <c r="AF4" s="162"/>
      <c r="AG4" s="206"/>
      <c r="AH4" s="163"/>
      <c r="AI4" s="216"/>
      <c r="AJ4" s="207"/>
      <c r="AK4" s="163">
        <v>179.71</v>
      </c>
      <c r="AL4" s="216">
        <v>30.72</v>
      </c>
      <c r="AM4" s="206" t="s">
        <v>511</v>
      </c>
      <c r="AN4" s="163"/>
      <c r="AO4" s="216"/>
      <c r="AP4" s="206"/>
      <c r="AQ4" s="163"/>
      <c r="AR4" s="216"/>
      <c r="AS4" s="206"/>
      <c r="AT4" s="163"/>
      <c r="AU4" s="216"/>
      <c r="AV4" s="206"/>
      <c r="AW4" s="163">
        <v>228.2</v>
      </c>
      <c r="AX4" s="216">
        <v>39.009</v>
      </c>
      <c r="AY4" s="206" t="s">
        <v>511</v>
      </c>
      <c r="AZ4" s="163"/>
      <c r="BA4" s="216"/>
      <c r="BB4" s="206"/>
      <c r="BC4" s="163"/>
      <c r="BD4" s="216"/>
      <c r="BE4" s="206"/>
      <c r="BF4" s="163">
        <v>286.82</v>
      </c>
      <c r="BG4" s="216">
        <v>49.03</v>
      </c>
      <c r="BH4" s="206" t="s">
        <v>511</v>
      </c>
      <c r="BI4" s="163"/>
      <c r="BJ4" s="216"/>
      <c r="BK4" s="206"/>
      <c r="BL4" s="163"/>
      <c r="BM4" s="216"/>
      <c r="BN4" s="206"/>
      <c r="BO4" s="163"/>
      <c r="BP4" s="216"/>
      <c r="BQ4" s="206"/>
      <c r="BR4" s="163">
        <v>219.58</v>
      </c>
      <c r="BS4" s="216">
        <v>37.19</v>
      </c>
      <c r="BT4" s="206" t="s">
        <v>511</v>
      </c>
      <c r="BU4" s="163"/>
      <c r="BV4" s="216"/>
      <c r="BW4" s="206"/>
      <c r="BX4" s="163"/>
      <c r="BY4" s="216"/>
      <c r="BZ4" s="206"/>
      <c r="CA4" s="163"/>
      <c r="CB4" s="216"/>
      <c r="CC4" s="206"/>
      <c r="CD4" s="163">
        <v>219.64</v>
      </c>
      <c r="CE4" s="216">
        <v>38</v>
      </c>
      <c r="CF4" s="206" t="s">
        <v>511</v>
      </c>
      <c r="CG4" s="163"/>
      <c r="CH4" s="216"/>
      <c r="CI4" s="206"/>
      <c r="CJ4" s="163"/>
      <c r="CK4" s="216"/>
      <c r="CL4" s="206"/>
      <c r="CM4" s="163"/>
      <c r="CN4" s="216"/>
      <c r="CO4" s="206"/>
      <c r="CP4" s="163"/>
      <c r="CQ4" s="216"/>
      <c r="CR4" s="206"/>
      <c r="CS4" s="163">
        <v>311.7</v>
      </c>
      <c r="CT4" s="216">
        <v>53.94</v>
      </c>
      <c r="CU4" s="206" t="s">
        <v>511</v>
      </c>
      <c r="CV4" s="163"/>
      <c r="CW4" s="216"/>
      <c r="CX4" s="206"/>
      <c r="CY4" s="163"/>
      <c r="CZ4" s="216"/>
      <c r="DA4" s="206"/>
      <c r="DB4" s="162"/>
      <c r="DC4" s="176"/>
    </row>
    <row r="5" spans="1:107" s="12" customFormat="1" ht="21.95" customHeight="1" thickBot="1" x14ac:dyDescent="0.25">
      <c r="A5" s="165" t="s">
        <v>162</v>
      </c>
      <c r="B5" s="159" t="s">
        <v>5</v>
      </c>
      <c r="C5" s="159" t="s">
        <v>813</v>
      </c>
      <c r="D5" s="159" t="s">
        <v>6</v>
      </c>
      <c r="E5" s="162">
        <v>33422</v>
      </c>
      <c r="F5" s="162">
        <v>36626</v>
      </c>
      <c r="G5" s="159">
        <f t="shared" si="0"/>
        <v>3204</v>
      </c>
      <c r="H5" s="161">
        <f t="shared" si="1"/>
        <v>1930.61</v>
      </c>
      <c r="I5" s="138">
        <f t="shared" si="2"/>
        <v>6</v>
      </c>
      <c r="J5" s="157">
        <f t="shared" si="3"/>
        <v>4</v>
      </c>
      <c r="K5" s="138">
        <f t="shared" si="4"/>
        <v>2</v>
      </c>
      <c r="L5" s="159" t="s">
        <v>79</v>
      </c>
      <c r="M5" s="163"/>
      <c r="N5" s="216"/>
      <c r="O5" s="206"/>
      <c r="P5" s="163">
        <v>244.5</v>
      </c>
      <c r="Q5" s="216">
        <v>39.119999999999997</v>
      </c>
      <c r="R5" s="206" t="s">
        <v>1148</v>
      </c>
      <c r="S5" s="163"/>
      <c r="T5" s="216"/>
      <c r="U5" s="206"/>
      <c r="V5" s="163"/>
      <c r="W5" s="216"/>
      <c r="X5" s="206"/>
      <c r="Y5" s="163"/>
      <c r="Z5" s="216"/>
      <c r="AA5" s="206"/>
      <c r="AB5" s="163">
        <v>314.37</v>
      </c>
      <c r="AC5" s="216">
        <v>50.3</v>
      </c>
      <c r="AD5" s="206" t="s">
        <v>511</v>
      </c>
      <c r="AE5" s="163"/>
      <c r="AF5" s="162"/>
      <c r="AG5" s="206"/>
      <c r="AH5" s="163"/>
      <c r="AI5" s="216"/>
      <c r="AJ5" s="206"/>
      <c r="AK5" s="163"/>
      <c r="AL5" s="216"/>
      <c r="AM5" s="206"/>
      <c r="AN5" s="163"/>
      <c r="AO5" s="216"/>
      <c r="AP5" s="206"/>
      <c r="AQ5" s="163">
        <v>326.98</v>
      </c>
      <c r="AR5" s="216">
        <v>53.17</v>
      </c>
      <c r="AS5" s="206" t="s">
        <v>511</v>
      </c>
      <c r="AT5" s="163"/>
      <c r="AU5" s="216"/>
      <c r="AV5" s="206"/>
      <c r="AW5" s="163">
        <v>159.96</v>
      </c>
      <c r="AX5" s="216">
        <v>26.01</v>
      </c>
      <c r="AY5" s="207" t="s">
        <v>1148</v>
      </c>
      <c r="AZ5" s="163"/>
      <c r="BA5" s="216"/>
      <c r="BB5" s="206"/>
      <c r="BC5" s="163"/>
      <c r="BD5" s="216"/>
      <c r="BE5" s="206"/>
      <c r="BF5" s="163"/>
      <c r="BG5" s="216"/>
      <c r="BH5" s="206"/>
      <c r="BI5" s="163"/>
      <c r="BJ5" s="216"/>
      <c r="BK5" s="206"/>
      <c r="BL5" s="163"/>
      <c r="BM5" s="216"/>
      <c r="BN5" s="206"/>
      <c r="BO5" s="163"/>
      <c r="BP5" s="216"/>
      <c r="BQ5" s="206"/>
      <c r="BR5" s="163">
        <v>457.8</v>
      </c>
      <c r="BS5" s="216">
        <v>75.08</v>
      </c>
      <c r="BT5" s="206" t="s">
        <v>1148</v>
      </c>
      <c r="BU5" s="163"/>
      <c r="BV5" s="216"/>
      <c r="BW5" s="206"/>
      <c r="BX5" s="163"/>
      <c r="BY5" s="216"/>
      <c r="BZ5" s="206"/>
      <c r="CA5" s="163"/>
      <c r="CB5" s="216"/>
      <c r="CC5" s="207"/>
      <c r="CD5" s="163"/>
      <c r="CE5" s="216"/>
      <c r="CF5" s="206"/>
      <c r="CG5" s="163"/>
      <c r="CH5" s="216"/>
      <c r="CI5" s="206"/>
      <c r="CJ5" s="163"/>
      <c r="CK5" s="216"/>
      <c r="CL5" s="206"/>
      <c r="CM5" s="163">
        <v>427</v>
      </c>
      <c r="CN5" s="216">
        <v>70</v>
      </c>
      <c r="CO5" s="206" t="s">
        <v>1148</v>
      </c>
      <c r="CP5" s="163"/>
      <c r="CQ5" s="216"/>
      <c r="CR5" s="206"/>
      <c r="CS5" s="163"/>
      <c r="CT5" s="216"/>
      <c r="CU5" s="206"/>
      <c r="CV5" s="163"/>
      <c r="CW5" s="216"/>
      <c r="CX5" s="206"/>
      <c r="CY5" s="163"/>
      <c r="CZ5" s="216"/>
      <c r="DA5" s="206"/>
      <c r="DB5" s="162"/>
      <c r="DC5" s="176"/>
    </row>
    <row r="6" spans="1:107" s="12" customFormat="1" ht="21.95" customHeight="1" thickBot="1" x14ac:dyDescent="0.25">
      <c r="A6" s="165" t="s">
        <v>1058</v>
      </c>
      <c r="B6" s="159" t="s">
        <v>109</v>
      </c>
      <c r="C6" s="159" t="s">
        <v>1059</v>
      </c>
      <c r="D6" s="159" t="s">
        <v>503</v>
      </c>
      <c r="E6" s="162">
        <v>34811</v>
      </c>
      <c r="F6" s="162">
        <v>41722</v>
      </c>
      <c r="G6" s="159">
        <f t="shared" si="0"/>
        <v>6911</v>
      </c>
      <c r="H6" s="161">
        <f t="shared" si="1"/>
        <v>335.78</v>
      </c>
      <c r="I6" s="138">
        <f t="shared" si="2"/>
        <v>2</v>
      </c>
      <c r="J6" s="157">
        <f t="shared" si="3"/>
        <v>0</v>
      </c>
      <c r="K6" s="138">
        <f t="shared" si="4"/>
        <v>1</v>
      </c>
      <c r="L6" s="159" t="s">
        <v>79</v>
      </c>
      <c r="M6" s="163"/>
      <c r="N6" s="216"/>
      <c r="O6" s="206"/>
      <c r="P6" s="163"/>
      <c r="Q6" s="216"/>
      <c r="R6" s="206"/>
      <c r="S6" s="163"/>
      <c r="T6" s="216"/>
      <c r="U6" s="206"/>
      <c r="V6" s="163"/>
      <c r="W6" s="216"/>
      <c r="X6" s="206"/>
      <c r="Y6" s="163"/>
      <c r="Z6" s="216"/>
      <c r="AA6" s="206"/>
      <c r="AB6" s="163"/>
      <c r="AC6" s="216"/>
      <c r="AD6" s="206"/>
      <c r="AE6" s="163"/>
      <c r="AF6" s="162"/>
      <c r="AG6" s="206"/>
      <c r="AH6" s="163"/>
      <c r="AI6" s="216"/>
      <c r="AJ6" s="206"/>
      <c r="AK6" s="163">
        <v>202.23</v>
      </c>
      <c r="AL6" s="216">
        <v>34.57</v>
      </c>
      <c r="AM6" s="206" t="s">
        <v>511</v>
      </c>
      <c r="AN6" s="163"/>
      <c r="AO6" s="216"/>
      <c r="AP6" s="206"/>
      <c r="AQ6" s="163"/>
      <c r="AR6" s="216"/>
      <c r="AS6" s="206"/>
      <c r="AT6" s="163">
        <v>133.55000000000001</v>
      </c>
      <c r="AU6" s="216">
        <v>22.33</v>
      </c>
      <c r="AV6" s="206" t="s">
        <v>1149</v>
      </c>
      <c r="AW6" s="163"/>
      <c r="AX6" s="216"/>
      <c r="AY6" s="207"/>
      <c r="AZ6" s="163"/>
      <c r="BA6" s="216"/>
      <c r="BB6" s="206"/>
      <c r="BC6" s="163"/>
      <c r="BD6" s="216"/>
      <c r="BE6" s="206"/>
      <c r="BF6" s="163"/>
      <c r="BG6" s="216"/>
      <c r="BH6" s="206"/>
      <c r="BI6" s="163"/>
      <c r="BJ6" s="216"/>
      <c r="BK6" s="206"/>
      <c r="BL6" s="163"/>
      <c r="BM6" s="216"/>
      <c r="BN6" s="206"/>
      <c r="BO6" s="163"/>
      <c r="BP6" s="216"/>
      <c r="BQ6" s="206"/>
      <c r="BR6" s="163"/>
      <c r="BS6" s="216"/>
      <c r="BT6" s="206"/>
      <c r="BU6" s="163"/>
      <c r="BV6" s="216"/>
      <c r="BW6" s="206"/>
      <c r="BX6" s="163"/>
      <c r="BY6" s="216"/>
      <c r="BZ6" s="206"/>
      <c r="CA6" s="163"/>
      <c r="CB6" s="216"/>
      <c r="CC6" s="207"/>
      <c r="CD6" s="163"/>
      <c r="CE6" s="216"/>
      <c r="CF6" s="206"/>
      <c r="CG6" s="163"/>
      <c r="CH6" s="216"/>
      <c r="CI6" s="206"/>
      <c r="CJ6" s="163"/>
      <c r="CK6" s="216"/>
      <c r="CL6" s="206"/>
      <c r="CM6" s="163"/>
      <c r="CN6" s="216"/>
      <c r="CO6" s="206"/>
      <c r="CP6" s="163"/>
      <c r="CQ6" s="216"/>
      <c r="CR6" s="206"/>
      <c r="CS6" s="163"/>
      <c r="CT6" s="216"/>
      <c r="CU6" s="206"/>
      <c r="CV6" s="163"/>
      <c r="CW6" s="216"/>
      <c r="CX6" s="206"/>
      <c r="CY6" s="163"/>
      <c r="CZ6" s="216"/>
      <c r="DA6" s="206"/>
      <c r="DB6" s="162"/>
      <c r="DC6" s="176"/>
    </row>
    <row r="7" spans="1:107" s="12" customFormat="1" ht="21.95" customHeight="1" thickBot="1" x14ac:dyDescent="0.25">
      <c r="A7" s="165" t="s">
        <v>1058</v>
      </c>
      <c r="B7" s="159" t="s">
        <v>16</v>
      </c>
      <c r="C7" s="159" t="s">
        <v>1131</v>
      </c>
      <c r="D7" s="159" t="s">
        <v>6</v>
      </c>
      <c r="E7" s="162">
        <v>19768</v>
      </c>
      <c r="F7" s="162">
        <v>21340</v>
      </c>
      <c r="G7" s="159">
        <f t="shared" si="0"/>
        <v>1572</v>
      </c>
      <c r="H7" s="161">
        <f t="shared" si="1"/>
        <v>261.77</v>
      </c>
      <c r="I7" s="138">
        <f t="shared" si="2"/>
        <v>1</v>
      </c>
      <c r="J7" s="157">
        <f t="shared" si="3"/>
        <v>0</v>
      </c>
      <c r="K7" s="138">
        <f t="shared" si="4"/>
        <v>1</v>
      </c>
      <c r="L7" s="159" t="s">
        <v>79</v>
      </c>
      <c r="M7" s="163"/>
      <c r="N7" s="216"/>
      <c r="O7" s="206"/>
      <c r="P7" s="163"/>
      <c r="Q7" s="216"/>
      <c r="R7" s="206"/>
      <c r="S7" s="163"/>
      <c r="T7" s="216"/>
      <c r="U7" s="206"/>
      <c r="V7" s="163"/>
      <c r="W7" s="216"/>
      <c r="X7" s="206"/>
      <c r="Y7" s="163"/>
      <c r="Z7" s="216"/>
      <c r="AA7" s="206"/>
      <c r="AB7" s="163"/>
      <c r="AC7" s="216"/>
      <c r="AD7" s="206"/>
      <c r="AE7" s="163"/>
      <c r="AF7" s="162"/>
      <c r="AG7" s="206"/>
      <c r="AH7" s="163"/>
      <c r="AI7" s="216"/>
      <c r="AJ7" s="206"/>
      <c r="AK7" s="163"/>
      <c r="AL7" s="216"/>
      <c r="AM7" s="206"/>
      <c r="AN7" s="163"/>
      <c r="AO7" s="216"/>
      <c r="AP7" s="206"/>
      <c r="AQ7" s="163"/>
      <c r="AR7" s="216"/>
      <c r="AS7" s="206"/>
      <c r="AT7" s="163"/>
      <c r="AU7" s="216"/>
      <c r="AV7" s="206"/>
      <c r="AW7" s="163"/>
      <c r="AX7" s="216"/>
      <c r="AY7" s="207"/>
      <c r="AZ7" s="163"/>
      <c r="BA7" s="216"/>
      <c r="BB7" s="206"/>
      <c r="BC7" s="163"/>
      <c r="BD7" s="216"/>
      <c r="BE7" s="206"/>
      <c r="BF7" s="163"/>
      <c r="BG7" s="216"/>
      <c r="BH7" s="206"/>
      <c r="BI7" s="163"/>
      <c r="BJ7" s="216"/>
      <c r="BK7" s="206"/>
      <c r="BL7" s="163"/>
      <c r="BM7" s="216"/>
      <c r="BN7" s="206"/>
      <c r="BO7" s="163"/>
      <c r="BP7" s="216"/>
      <c r="BQ7" s="206"/>
      <c r="BR7" s="163"/>
      <c r="BS7" s="216"/>
      <c r="BT7" s="206"/>
      <c r="BU7" s="163"/>
      <c r="BV7" s="216"/>
      <c r="BW7" s="206"/>
      <c r="BX7" s="163"/>
      <c r="BY7" s="216"/>
      <c r="BZ7" s="206"/>
      <c r="CA7" s="163">
        <v>261.77</v>
      </c>
      <c r="CB7" s="216">
        <v>45.29</v>
      </c>
      <c r="CC7" s="207" t="s">
        <v>511</v>
      </c>
      <c r="CD7" s="163"/>
      <c r="CE7" s="216"/>
      <c r="CF7" s="206"/>
      <c r="CG7" s="163"/>
      <c r="CH7" s="216"/>
      <c r="CI7" s="206"/>
      <c r="CJ7" s="163"/>
      <c r="CK7" s="216"/>
      <c r="CL7" s="206"/>
      <c r="CM7" s="163"/>
      <c r="CN7" s="216"/>
      <c r="CO7" s="206"/>
      <c r="CP7" s="163"/>
      <c r="CQ7" s="216"/>
      <c r="CR7" s="206"/>
      <c r="CS7" s="163"/>
      <c r="CT7" s="216"/>
      <c r="CU7" s="206"/>
      <c r="CV7" s="163"/>
      <c r="CW7" s="216"/>
      <c r="CX7" s="206"/>
      <c r="CY7" s="163"/>
      <c r="CZ7" s="216"/>
      <c r="DA7" s="206"/>
      <c r="DB7" s="162"/>
      <c r="DC7" s="176"/>
    </row>
    <row r="8" spans="1:107" s="12" customFormat="1" ht="21.95" customHeight="1" thickBot="1" x14ac:dyDescent="0.25">
      <c r="A8" s="165" t="s">
        <v>1046</v>
      </c>
      <c r="B8" s="159" t="s">
        <v>7</v>
      </c>
      <c r="C8" s="161" t="s">
        <v>1043</v>
      </c>
      <c r="D8" s="159" t="s">
        <v>6</v>
      </c>
      <c r="E8" s="162">
        <v>3373</v>
      </c>
      <c r="F8" s="162">
        <v>5051</v>
      </c>
      <c r="G8" s="159">
        <f t="shared" si="0"/>
        <v>1678</v>
      </c>
      <c r="H8" s="161">
        <f t="shared" si="1"/>
        <v>659.47</v>
      </c>
      <c r="I8" s="138">
        <f t="shared" si="2"/>
        <v>4</v>
      </c>
      <c r="J8" s="157">
        <f t="shared" si="3"/>
        <v>4</v>
      </c>
      <c r="K8" s="138">
        <f t="shared" si="4"/>
        <v>0</v>
      </c>
      <c r="L8" s="159" t="s">
        <v>79</v>
      </c>
      <c r="M8" s="163"/>
      <c r="N8" s="216"/>
      <c r="O8" s="206"/>
      <c r="P8" s="163"/>
      <c r="Q8" s="216"/>
      <c r="R8" s="206"/>
      <c r="S8" s="163"/>
      <c r="T8" s="216"/>
      <c r="U8" s="206"/>
      <c r="V8" s="163"/>
      <c r="W8" s="216"/>
      <c r="X8" s="206"/>
      <c r="Y8" s="163"/>
      <c r="Z8" s="216"/>
      <c r="AA8" s="206"/>
      <c r="AB8" s="163"/>
      <c r="AC8" s="216"/>
      <c r="AD8" s="206"/>
      <c r="AE8" s="163"/>
      <c r="AF8" s="162"/>
      <c r="AG8" s="206"/>
      <c r="AH8" s="163"/>
      <c r="AI8" s="216"/>
      <c r="AJ8" s="206"/>
      <c r="AK8" s="163"/>
      <c r="AL8" s="216"/>
      <c r="AM8" s="206"/>
      <c r="AN8" s="163"/>
      <c r="AO8" s="216"/>
      <c r="AP8" s="206"/>
      <c r="AQ8" s="163">
        <v>234.53</v>
      </c>
      <c r="AR8" s="216">
        <v>40.090000000000003</v>
      </c>
      <c r="AS8" s="206" t="s">
        <v>1148</v>
      </c>
      <c r="AT8" s="163"/>
      <c r="AU8" s="216"/>
      <c r="AV8" s="206"/>
      <c r="AW8" s="163"/>
      <c r="AX8" s="216"/>
      <c r="AY8" s="206"/>
      <c r="AZ8" s="163"/>
      <c r="BA8" s="216"/>
      <c r="BB8" s="206"/>
      <c r="BC8" s="163"/>
      <c r="BD8" s="216"/>
      <c r="BE8" s="206"/>
      <c r="BF8" s="163"/>
      <c r="BG8" s="216"/>
      <c r="BH8" s="206"/>
      <c r="BI8" s="163">
        <v>219.58</v>
      </c>
      <c r="BJ8" s="216">
        <v>37.99</v>
      </c>
      <c r="BK8" s="206" t="s">
        <v>1148</v>
      </c>
      <c r="BL8" s="163"/>
      <c r="BM8" s="216"/>
      <c r="BN8" s="206"/>
      <c r="BO8" s="163">
        <v>114.27</v>
      </c>
      <c r="BP8" s="216">
        <v>19.77</v>
      </c>
      <c r="BQ8" s="206" t="s">
        <v>1148</v>
      </c>
      <c r="BR8" s="163"/>
      <c r="BS8" s="216"/>
      <c r="BT8" s="206"/>
      <c r="BU8" s="163"/>
      <c r="BV8" s="216"/>
      <c r="BW8" s="207"/>
      <c r="BX8" s="163"/>
      <c r="BY8" s="216"/>
      <c r="BZ8" s="206"/>
      <c r="CA8" s="163"/>
      <c r="CB8" s="216"/>
      <c r="CC8" s="206"/>
      <c r="CD8" s="163"/>
      <c r="CE8" s="216"/>
      <c r="CF8" s="206"/>
      <c r="CG8" s="163"/>
      <c r="CH8" s="216"/>
      <c r="CI8" s="206"/>
      <c r="CJ8" s="163"/>
      <c r="CK8" s="216"/>
      <c r="CL8" s="206"/>
      <c r="CM8" s="163">
        <v>91.09</v>
      </c>
      <c r="CN8" s="216">
        <v>15.76</v>
      </c>
      <c r="CO8" s="206" t="s">
        <v>1148</v>
      </c>
      <c r="CP8" s="163"/>
      <c r="CQ8" s="216"/>
      <c r="CR8" s="206"/>
      <c r="CS8" s="163"/>
      <c r="CT8" s="216"/>
      <c r="CU8" s="206"/>
      <c r="CV8" s="163"/>
      <c r="CW8" s="216"/>
      <c r="CX8" s="206"/>
      <c r="CY8" s="163"/>
      <c r="CZ8" s="216"/>
      <c r="DA8" s="206"/>
      <c r="DB8" s="162"/>
      <c r="DC8" s="176"/>
    </row>
    <row r="9" spans="1:107" s="12" customFormat="1" ht="21.95" customHeight="1" thickBot="1" x14ac:dyDescent="0.25">
      <c r="A9" s="165" t="s">
        <v>1051</v>
      </c>
      <c r="B9" s="159" t="s">
        <v>16</v>
      </c>
      <c r="C9" s="159" t="s">
        <v>1052</v>
      </c>
      <c r="D9" s="159" t="s">
        <v>6</v>
      </c>
      <c r="E9" s="162">
        <v>44491</v>
      </c>
      <c r="F9" s="162">
        <v>47015</v>
      </c>
      <c r="G9" s="159">
        <f t="shared" si="0"/>
        <v>2524</v>
      </c>
      <c r="H9" s="161">
        <f t="shared" si="1"/>
        <v>1099.96</v>
      </c>
      <c r="I9" s="138">
        <f t="shared" si="2"/>
        <v>4</v>
      </c>
      <c r="J9" s="157">
        <f t="shared" si="3"/>
        <v>0</v>
      </c>
      <c r="K9" s="138">
        <f t="shared" si="4"/>
        <v>4</v>
      </c>
      <c r="L9" s="159" t="s">
        <v>79</v>
      </c>
      <c r="M9" s="139"/>
      <c r="N9" s="217"/>
      <c r="O9" s="207"/>
      <c r="P9" s="139">
        <v>312.97000000000003</v>
      </c>
      <c r="Q9" s="217">
        <v>53.5</v>
      </c>
      <c r="R9" s="207" t="s">
        <v>511</v>
      </c>
      <c r="S9" s="139"/>
      <c r="T9" s="217"/>
      <c r="U9" s="206"/>
      <c r="V9" s="139"/>
      <c r="W9" s="217"/>
      <c r="X9" s="207"/>
      <c r="Y9" s="139"/>
      <c r="Z9" s="217"/>
      <c r="AA9" s="206"/>
      <c r="AB9" s="139"/>
      <c r="AC9" s="217"/>
      <c r="AD9" s="207"/>
      <c r="AE9" s="139"/>
      <c r="AF9" s="138"/>
      <c r="AG9" s="206"/>
      <c r="AH9" s="139"/>
      <c r="AI9" s="217"/>
      <c r="AJ9" s="207"/>
      <c r="AK9" s="139"/>
      <c r="AL9" s="217"/>
      <c r="AM9" s="207"/>
      <c r="AN9" s="139"/>
      <c r="AO9" s="217"/>
      <c r="AP9" s="207"/>
      <c r="AQ9" s="139"/>
      <c r="AR9" s="217"/>
      <c r="AS9" s="207"/>
      <c r="AT9" s="139">
        <v>198.6</v>
      </c>
      <c r="AU9" s="217">
        <v>33.950000000000003</v>
      </c>
      <c r="AV9" s="207" t="s">
        <v>511</v>
      </c>
      <c r="AW9" s="139"/>
      <c r="AX9" s="217"/>
      <c r="AY9" s="206"/>
      <c r="AZ9" s="139"/>
      <c r="BA9" s="217"/>
      <c r="BB9" s="207"/>
      <c r="BC9" s="139"/>
      <c r="BD9" s="217"/>
      <c r="BE9" s="207"/>
      <c r="BF9" s="139"/>
      <c r="BG9" s="217"/>
      <c r="BH9" s="206"/>
      <c r="BI9" s="139"/>
      <c r="BJ9" s="217"/>
      <c r="BK9" s="207"/>
      <c r="BL9" s="139"/>
      <c r="BM9" s="217"/>
      <c r="BN9" s="207"/>
      <c r="BO9" s="139">
        <v>294.54000000000002</v>
      </c>
      <c r="BP9" s="217">
        <v>50.058999999999997</v>
      </c>
      <c r="BQ9" s="207" t="s">
        <v>511</v>
      </c>
      <c r="BR9" s="139"/>
      <c r="BS9" s="217"/>
      <c r="BT9" s="207"/>
      <c r="BU9" s="139"/>
      <c r="BV9" s="217"/>
      <c r="BW9" s="207"/>
      <c r="BX9" s="139"/>
      <c r="BY9" s="217"/>
      <c r="BZ9" s="208"/>
      <c r="CA9" s="139"/>
      <c r="CB9" s="217"/>
      <c r="CC9" s="207"/>
      <c r="CD9" s="139"/>
      <c r="CE9" s="217"/>
      <c r="CF9" s="208"/>
      <c r="CG9" s="139">
        <v>293.85000000000002</v>
      </c>
      <c r="CH9" s="217">
        <v>50.84</v>
      </c>
      <c r="CI9" s="207" t="s">
        <v>511</v>
      </c>
      <c r="CJ9" s="139"/>
      <c r="CK9" s="217"/>
      <c r="CL9" s="207"/>
      <c r="CM9" s="139"/>
      <c r="CN9" s="217"/>
      <c r="CO9" s="207"/>
      <c r="CP9" s="139"/>
      <c r="CQ9" s="217"/>
      <c r="CR9" s="207"/>
      <c r="CS9" s="139"/>
      <c r="CT9" s="217"/>
      <c r="CU9" s="207"/>
      <c r="CV9" s="139"/>
      <c r="CW9" s="217"/>
      <c r="CX9" s="208"/>
      <c r="CY9" s="139"/>
      <c r="CZ9" s="217"/>
      <c r="DA9" s="207"/>
      <c r="DB9" s="138"/>
      <c r="DC9" s="209"/>
    </row>
    <row r="10" spans="1:107" s="12" customFormat="1" ht="21.95" customHeight="1" thickBot="1" x14ac:dyDescent="0.25">
      <c r="A10" s="165" t="s">
        <v>999</v>
      </c>
      <c r="B10" s="159" t="s">
        <v>7</v>
      </c>
      <c r="C10" s="159" t="s">
        <v>1044</v>
      </c>
      <c r="D10" s="160" t="s">
        <v>6</v>
      </c>
      <c r="E10" s="162">
        <v>1529</v>
      </c>
      <c r="F10" s="162">
        <v>2012</v>
      </c>
      <c r="G10" s="159">
        <f t="shared" si="0"/>
        <v>483</v>
      </c>
      <c r="H10" s="161">
        <f t="shared" si="1"/>
        <v>232.12</v>
      </c>
      <c r="I10" s="138">
        <f t="shared" si="2"/>
        <v>1</v>
      </c>
      <c r="J10" s="157">
        <f t="shared" si="3"/>
        <v>0</v>
      </c>
      <c r="K10" s="138">
        <f t="shared" si="4"/>
        <v>1</v>
      </c>
      <c r="L10" s="159" t="s">
        <v>79</v>
      </c>
      <c r="M10" s="139"/>
      <c r="N10" s="217"/>
      <c r="O10" s="207"/>
      <c r="P10" s="139"/>
      <c r="Q10" s="217"/>
      <c r="R10" s="207"/>
      <c r="S10" s="139"/>
      <c r="T10" s="217"/>
      <c r="U10" s="207"/>
      <c r="V10" s="139"/>
      <c r="W10" s="217"/>
      <c r="X10" s="207"/>
      <c r="Y10" s="139"/>
      <c r="Z10" s="217"/>
      <c r="AA10" s="207"/>
      <c r="AB10" s="139"/>
      <c r="AC10" s="217"/>
      <c r="AD10" s="207"/>
      <c r="AE10" s="139"/>
      <c r="AF10" s="138"/>
      <c r="AG10" s="207"/>
      <c r="AH10" s="139"/>
      <c r="AI10" s="217"/>
      <c r="AJ10" s="207"/>
      <c r="AK10" s="139"/>
      <c r="AL10" s="217"/>
      <c r="AM10" s="207"/>
      <c r="AN10" s="139"/>
      <c r="AO10" s="217"/>
      <c r="AP10" s="207"/>
      <c r="AQ10" s="139"/>
      <c r="AR10" s="217"/>
      <c r="AS10" s="207"/>
      <c r="AT10" s="139"/>
      <c r="AU10" s="217"/>
      <c r="AV10" s="207"/>
      <c r="AW10" s="139"/>
      <c r="AX10" s="217"/>
      <c r="AY10" s="207"/>
      <c r="AZ10" s="139"/>
      <c r="BA10" s="217"/>
      <c r="BB10" s="207"/>
      <c r="BC10" s="139"/>
      <c r="BD10" s="217"/>
      <c r="BE10" s="207"/>
      <c r="BF10" s="139"/>
      <c r="BG10" s="217"/>
      <c r="BH10" s="207"/>
      <c r="BI10" s="139"/>
      <c r="BJ10" s="217"/>
      <c r="BK10" s="207"/>
      <c r="BL10" s="139"/>
      <c r="BM10" s="217"/>
      <c r="BN10" s="207"/>
      <c r="BO10" s="139"/>
      <c r="BP10" s="217"/>
      <c r="BQ10" s="207"/>
      <c r="BR10" s="139"/>
      <c r="BS10" s="217"/>
      <c r="BT10" s="207"/>
      <c r="BU10" s="139"/>
      <c r="BV10" s="217"/>
      <c r="BW10" s="207"/>
      <c r="BX10" s="139"/>
      <c r="BY10" s="217"/>
      <c r="BZ10" s="207"/>
      <c r="CA10" s="139">
        <v>232.12</v>
      </c>
      <c r="CB10" s="217">
        <v>40.164000000000001</v>
      </c>
      <c r="CC10" s="207" t="s">
        <v>511</v>
      </c>
      <c r="CD10" s="139"/>
      <c r="CE10" s="217"/>
      <c r="CF10" s="207"/>
      <c r="CG10" s="139"/>
      <c r="CH10" s="217"/>
      <c r="CI10" s="207"/>
      <c r="CJ10" s="139"/>
      <c r="CK10" s="217"/>
      <c r="CL10" s="207"/>
      <c r="CM10" s="139"/>
      <c r="CN10" s="217"/>
      <c r="CO10" s="207"/>
      <c r="CP10" s="139"/>
      <c r="CQ10" s="217"/>
      <c r="CR10" s="206"/>
      <c r="CS10" s="139"/>
      <c r="CT10" s="217"/>
      <c r="CU10" s="207"/>
      <c r="CV10" s="139"/>
      <c r="CW10" s="217"/>
      <c r="CX10" s="207"/>
      <c r="CY10" s="139"/>
      <c r="CZ10" s="217"/>
      <c r="DA10" s="207"/>
      <c r="DB10" s="138"/>
      <c r="DC10" s="176"/>
    </row>
    <row r="11" spans="1:107" s="4" customFormat="1" ht="21.95" customHeight="1" thickBot="1" x14ac:dyDescent="0.25">
      <c r="A11" s="168" t="s">
        <v>850</v>
      </c>
      <c r="B11" s="158" t="s">
        <v>51</v>
      </c>
      <c r="C11" s="158" t="s">
        <v>848</v>
      </c>
      <c r="D11" s="445" t="s">
        <v>6</v>
      </c>
      <c r="E11" s="169">
        <v>14931</v>
      </c>
      <c r="F11" s="169">
        <v>16318</v>
      </c>
      <c r="G11" s="158">
        <f t="shared" ref="G11:G17" si="5">F11-E11</f>
        <v>1387</v>
      </c>
      <c r="H11" s="354">
        <f t="shared" ref="H11:H17" si="6">SUM(M11+P11+S11+V11+Y11+AB11+AE11+AH11+AK11+AN11+AQ11+AT11+AW11+AZ11+BC11+BF11+BI11+BL11+BO11+BR11+BU11+BX11+CA11+CD11+CG11+CJ11+CM11+CP11+CS11+CV11+CY11)</f>
        <v>620.75</v>
      </c>
      <c r="I11" s="157">
        <f>COUNTA(N11,Q11,T11,W11,Z11,AC11,AF11,AI11,AL11,AO11,AR11,AU11,AX11,BA11,BD11,BG11,BJ11,BM11,BP11,BS11,BV11,BY11,CB11,CE11,CH11,CK11,CN11,CQ11,CT11,CW11,CZ11)</f>
        <v>3</v>
      </c>
      <c r="J11" s="157">
        <f t="shared" si="3"/>
        <v>0</v>
      </c>
      <c r="K11" s="157">
        <f>COUNTIF(M11:DD11,"POSTO VIP")</f>
        <v>3</v>
      </c>
      <c r="L11" s="158" t="s">
        <v>80</v>
      </c>
      <c r="M11" s="156"/>
      <c r="N11" s="219"/>
      <c r="O11" s="211"/>
      <c r="P11" s="156"/>
      <c r="Q11" s="219"/>
      <c r="R11" s="211"/>
      <c r="S11" s="156">
        <v>222.76</v>
      </c>
      <c r="T11" s="219">
        <v>38.54</v>
      </c>
      <c r="U11" s="206" t="s">
        <v>511</v>
      </c>
      <c r="V11" s="156"/>
      <c r="W11" s="219"/>
      <c r="X11" s="211"/>
      <c r="Y11" s="156"/>
      <c r="Z11" s="219"/>
      <c r="AA11" s="211"/>
      <c r="AB11" s="156"/>
      <c r="AC11" s="219"/>
      <c r="AD11" s="211"/>
      <c r="AE11" s="156"/>
      <c r="AF11" s="157"/>
      <c r="AG11" s="211"/>
      <c r="AH11" s="156"/>
      <c r="AI11" s="219"/>
      <c r="AJ11" s="211"/>
      <c r="AK11" s="156"/>
      <c r="AL11" s="219"/>
      <c r="AM11" s="211"/>
      <c r="AN11" s="156">
        <v>167.49</v>
      </c>
      <c r="AO11" s="219">
        <v>28.68</v>
      </c>
      <c r="AP11" s="206" t="s">
        <v>511</v>
      </c>
      <c r="AQ11" s="156"/>
      <c r="AR11" s="219"/>
      <c r="AS11" s="211"/>
      <c r="AT11" s="156"/>
      <c r="AU11" s="219"/>
      <c r="AV11" s="211"/>
      <c r="AW11" s="156"/>
      <c r="AX11" s="219"/>
      <c r="AY11" s="211"/>
      <c r="AZ11" s="156"/>
      <c r="BA11" s="219"/>
      <c r="BB11" s="211"/>
      <c r="BC11" s="156"/>
      <c r="BD11" s="219"/>
      <c r="BE11" s="211"/>
      <c r="BF11" s="156"/>
      <c r="BG11" s="219"/>
      <c r="BH11" s="211"/>
      <c r="BI11" s="156"/>
      <c r="BJ11" s="219"/>
      <c r="BK11" s="211"/>
      <c r="BL11" s="156"/>
      <c r="BM11" s="219"/>
      <c r="BN11" s="211"/>
      <c r="BO11" s="156"/>
      <c r="BP11" s="219"/>
      <c r="BQ11" s="211"/>
      <c r="BR11" s="156"/>
      <c r="BS11" s="219"/>
      <c r="BT11" s="211"/>
      <c r="BU11" s="156"/>
      <c r="BV11" s="219"/>
      <c r="BW11" s="211"/>
      <c r="BX11" s="156"/>
      <c r="BY11" s="219"/>
      <c r="BZ11" s="211"/>
      <c r="CA11" s="156"/>
      <c r="CB11" s="219"/>
      <c r="CC11" s="211"/>
      <c r="CD11" s="156">
        <v>230.5</v>
      </c>
      <c r="CE11" s="219">
        <v>39.47</v>
      </c>
      <c r="CF11" s="211" t="s">
        <v>511</v>
      </c>
      <c r="CG11" s="156"/>
      <c r="CH11" s="219"/>
      <c r="CI11" s="211"/>
      <c r="CJ11" s="156"/>
      <c r="CK11" s="219"/>
      <c r="CL11" s="211"/>
      <c r="CM11" s="156"/>
      <c r="CN11" s="219"/>
      <c r="CO11" s="211"/>
      <c r="CP11" s="156"/>
      <c r="CQ11" s="219"/>
      <c r="CR11" s="211"/>
      <c r="CS11" s="156"/>
      <c r="CT11" s="219"/>
      <c r="CU11" s="211"/>
      <c r="CV11" s="156"/>
      <c r="CW11" s="219"/>
      <c r="CX11" s="211"/>
      <c r="CY11" s="156"/>
      <c r="CZ11" s="219"/>
      <c r="DA11" s="211"/>
      <c r="DB11" s="157"/>
      <c r="DC11" s="175"/>
    </row>
    <row r="12" spans="1:107" s="4" customFormat="1" ht="21.95" customHeight="1" thickBot="1" x14ac:dyDescent="0.25">
      <c r="A12" s="165" t="s">
        <v>329</v>
      </c>
      <c r="B12" s="159" t="s">
        <v>16</v>
      </c>
      <c r="C12" s="159" t="s">
        <v>887</v>
      </c>
      <c r="D12" s="159" t="s">
        <v>6</v>
      </c>
      <c r="E12" s="162">
        <v>33321</v>
      </c>
      <c r="F12" s="162">
        <v>34867</v>
      </c>
      <c r="G12" s="159">
        <f t="shared" si="5"/>
        <v>1546</v>
      </c>
      <c r="H12" s="161">
        <f t="shared" si="6"/>
        <v>438.15</v>
      </c>
      <c r="I12" s="138">
        <f>COUNTA(N12,Q12,T12,W12,Z12,AC12,AF12,AI12,AL12,AO12,AR12,AU12,AX12,BA12,BD12,BG12,BJ12,BM12,BP12,BS12,BV12,BY12,CB12,CE12,CH12,CK12,CN12,CQ12,CT12,CW12,CZ12)</f>
        <v>2</v>
      </c>
      <c r="J12" s="157">
        <f t="shared" si="3"/>
        <v>0</v>
      </c>
      <c r="K12" s="138">
        <f t="shared" ref="K12:K17" si="7">COUNTIF(N12:DD12,"POSTO VIP")</f>
        <v>2</v>
      </c>
      <c r="L12" s="159" t="s">
        <v>80</v>
      </c>
      <c r="M12" s="163"/>
      <c r="N12" s="216"/>
      <c r="O12" s="206"/>
      <c r="P12" s="163">
        <v>231.54</v>
      </c>
      <c r="Q12" s="216">
        <v>40.058999999999997</v>
      </c>
      <c r="R12" s="206" t="s">
        <v>511</v>
      </c>
      <c r="S12" s="163"/>
      <c r="T12" s="216"/>
      <c r="U12" s="206"/>
      <c r="V12" s="163"/>
      <c r="W12" s="216"/>
      <c r="X12" s="206"/>
      <c r="Y12" s="163"/>
      <c r="Z12" s="216"/>
      <c r="AA12" s="206"/>
      <c r="AB12" s="163"/>
      <c r="AC12" s="216"/>
      <c r="AD12" s="206"/>
      <c r="AE12" s="163"/>
      <c r="AF12" s="162"/>
      <c r="AG12" s="206"/>
      <c r="AH12" s="163">
        <v>206.61</v>
      </c>
      <c r="AI12" s="216">
        <v>35.378999999999998</v>
      </c>
      <c r="AJ12" s="206" t="s">
        <v>511</v>
      </c>
      <c r="AK12" s="163"/>
      <c r="AL12" s="216"/>
      <c r="AM12" s="206"/>
      <c r="AN12" s="163"/>
      <c r="AO12" s="216"/>
      <c r="AP12" s="206"/>
      <c r="AQ12" s="163"/>
      <c r="AR12" s="216"/>
      <c r="AS12" s="206"/>
      <c r="AT12" s="163"/>
      <c r="AU12" s="216"/>
      <c r="AV12" s="206"/>
      <c r="AW12" s="163"/>
      <c r="AX12" s="216"/>
      <c r="AY12" s="206"/>
      <c r="AZ12" s="163"/>
      <c r="BA12" s="216"/>
      <c r="BB12" s="206"/>
      <c r="BC12" s="163"/>
      <c r="BD12" s="216"/>
      <c r="BE12" s="206"/>
      <c r="BF12" s="163"/>
      <c r="BG12" s="216"/>
      <c r="BH12" s="206"/>
      <c r="BI12" s="163"/>
      <c r="BJ12" s="216"/>
      <c r="BK12" s="206"/>
      <c r="BL12" s="163"/>
      <c r="BM12" s="216"/>
      <c r="BN12" s="206"/>
      <c r="BO12" s="163"/>
      <c r="BP12" s="216"/>
      <c r="BQ12" s="206"/>
      <c r="BR12" s="163"/>
      <c r="BS12" s="216"/>
      <c r="BT12" s="206"/>
      <c r="BU12" s="163"/>
      <c r="BV12" s="216"/>
      <c r="BW12" s="206"/>
      <c r="BX12" s="163"/>
      <c r="BY12" s="216"/>
      <c r="BZ12" s="206"/>
      <c r="CA12" s="163"/>
      <c r="CB12" s="216"/>
      <c r="CC12" s="206"/>
      <c r="CD12" s="163"/>
      <c r="CE12" s="216"/>
      <c r="CF12" s="206"/>
      <c r="CG12" s="163"/>
      <c r="CH12" s="216"/>
      <c r="CI12" s="206"/>
      <c r="CJ12" s="163"/>
      <c r="CK12" s="216"/>
      <c r="CL12" s="206"/>
      <c r="CM12" s="163"/>
      <c r="CN12" s="216"/>
      <c r="CO12" s="206"/>
      <c r="CP12" s="163"/>
      <c r="CQ12" s="216"/>
      <c r="CR12" s="206"/>
      <c r="CS12" s="163"/>
      <c r="CT12" s="216"/>
      <c r="CU12" s="206"/>
      <c r="CV12" s="163"/>
      <c r="CW12" s="216"/>
      <c r="CX12" s="206"/>
      <c r="CY12" s="163"/>
      <c r="CZ12" s="216"/>
      <c r="DA12" s="206"/>
      <c r="DB12" s="162"/>
      <c r="DC12" s="176"/>
    </row>
    <row r="13" spans="1:107" s="12" customFormat="1" ht="21.95" customHeight="1" thickBot="1" x14ac:dyDescent="0.25">
      <c r="A13" s="165" t="s">
        <v>162</v>
      </c>
      <c r="B13" s="159" t="s">
        <v>5</v>
      </c>
      <c r="C13" s="159" t="s">
        <v>813</v>
      </c>
      <c r="D13" s="159" t="s">
        <v>6</v>
      </c>
      <c r="E13" s="162">
        <v>36626</v>
      </c>
      <c r="F13" s="162">
        <v>37704</v>
      </c>
      <c r="G13" s="159">
        <f t="shared" si="5"/>
        <v>1078</v>
      </c>
      <c r="H13" s="161">
        <f t="shared" si="6"/>
        <v>713.81999999999994</v>
      </c>
      <c r="I13" s="138">
        <f t="shared" ref="I13:I17" si="8">COUNTA(N13,Q13,T13,W13,Z13,AC13,AF13,AI13,AL13,AO13,AR13,AU13,AX13,BA13,BD13,BG13,BJ13,BM13,BP13,BS13,BV13,BY13,CB13,CE13,CH13,CK13,CN13,CQ13,CT13,CW13,CZ13)</f>
        <v>2</v>
      </c>
      <c r="J13" s="157">
        <f t="shared" si="3"/>
        <v>2</v>
      </c>
      <c r="K13" s="138">
        <f t="shared" si="7"/>
        <v>0</v>
      </c>
      <c r="L13" s="159" t="s">
        <v>80</v>
      </c>
      <c r="M13" s="163"/>
      <c r="N13" s="216"/>
      <c r="O13" s="206"/>
      <c r="P13" s="163"/>
      <c r="Q13" s="216"/>
      <c r="R13" s="206"/>
      <c r="S13" s="163">
        <v>439.26</v>
      </c>
      <c r="T13" s="216">
        <v>72.010000000000005</v>
      </c>
      <c r="U13" s="206" t="s">
        <v>1148</v>
      </c>
      <c r="V13" s="163"/>
      <c r="W13" s="216"/>
      <c r="X13" s="206"/>
      <c r="Y13" s="163"/>
      <c r="Z13" s="216"/>
      <c r="AA13" s="206"/>
      <c r="AB13" s="163"/>
      <c r="AC13" s="216"/>
      <c r="AD13" s="206"/>
      <c r="AE13" s="163"/>
      <c r="AF13" s="162"/>
      <c r="AG13" s="206"/>
      <c r="AH13" s="163">
        <v>274.56</v>
      </c>
      <c r="AI13" s="216">
        <v>45.01</v>
      </c>
      <c r="AJ13" s="206" t="s">
        <v>1148</v>
      </c>
      <c r="AK13" s="163"/>
      <c r="AL13" s="216"/>
      <c r="AM13" s="206"/>
      <c r="AN13" s="163"/>
      <c r="AO13" s="216"/>
      <c r="AP13" s="206"/>
      <c r="AQ13" s="163"/>
      <c r="AR13" s="216"/>
      <c r="AS13" s="206"/>
      <c r="AT13" s="163"/>
      <c r="AU13" s="216"/>
      <c r="AV13" s="206"/>
      <c r="AW13" s="163"/>
      <c r="AX13" s="216"/>
      <c r="AY13" s="207"/>
      <c r="AZ13" s="163"/>
      <c r="BA13" s="216"/>
      <c r="BB13" s="206"/>
      <c r="BC13" s="163"/>
      <c r="BD13" s="216"/>
      <c r="BE13" s="206"/>
      <c r="BF13" s="163"/>
      <c r="BG13" s="216"/>
      <c r="BH13" s="206"/>
      <c r="BI13" s="163"/>
      <c r="BJ13" s="216"/>
      <c r="BK13" s="206"/>
      <c r="BL13" s="163"/>
      <c r="BM13" s="216"/>
      <c r="BN13" s="206"/>
      <c r="BO13" s="163"/>
      <c r="BP13" s="216"/>
      <c r="BQ13" s="206"/>
      <c r="BR13" s="163"/>
      <c r="BS13" s="216"/>
      <c r="BT13" s="206"/>
      <c r="BU13" s="163"/>
      <c r="BV13" s="216"/>
      <c r="BW13" s="206"/>
      <c r="BX13" s="163"/>
      <c r="BY13" s="216"/>
      <c r="BZ13" s="206"/>
      <c r="CA13" s="163"/>
      <c r="CB13" s="216"/>
      <c r="CC13" s="207"/>
      <c r="CD13" s="163"/>
      <c r="CE13" s="216"/>
      <c r="CF13" s="206"/>
      <c r="CG13" s="163"/>
      <c r="CH13" s="216"/>
      <c r="CI13" s="206"/>
      <c r="CJ13" s="163"/>
      <c r="CK13" s="216"/>
      <c r="CL13" s="206"/>
      <c r="CM13" s="163"/>
      <c r="CN13" s="216"/>
      <c r="CO13" s="206"/>
      <c r="CP13" s="163"/>
      <c r="CQ13" s="216"/>
      <c r="CR13" s="206"/>
      <c r="CS13" s="163"/>
      <c r="CT13" s="216"/>
      <c r="CU13" s="206"/>
      <c r="CV13" s="163"/>
      <c r="CW13" s="216"/>
      <c r="CX13" s="206"/>
      <c r="CY13" s="163"/>
      <c r="CZ13" s="216"/>
      <c r="DA13" s="206"/>
      <c r="DB13" s="162"/>
      <c r="DC13" s="176"/>
    </row>
    <row r="14" spans="1:107" s="12" customFormat="1" ht="21.95" customHeight="1" thickBot="1" x14ac:dyDescent="0.25">
      <c r="A14" s="165" t="s">
        <v>1046</v>
      </c>
      <c r="B14" s="159" t="s">
        <v>7</v>
      </c>
      <c r="C14" s="161" t="s">
        <v>1043</v>
      </c>
      <c r="D14" s="159" t="s">
        <v>6</v>
      </c>
      <c r="E14" s="162">
        <v>5051</v>
      </c>
      <c r="F14" s="162">
        <v>6205</v>
      </c>
      <c r="G14" s="159">
        <f t="shared" si="5"/>
        <v>1154</v>
      </c>
      <c r="H14" s="161">
        <f t="shared" si="6"/>
        <v>387.56</v>
      </c>
      <c r="I14" s="138">
        <f t="shared" si="8"/>
        <v>3</v>
      </c>
      <c r="J14" s="157">
        <f t="shared" si="3"/>
        <v>3</v>
      </c>
      <c r="K14" s="138">
        <f t="shared" si="7"/>
        <v>0</v>
      </c>
      <c r="L14" s="159" t="s">
        <v>80</v>
      </c>
      <c r="M14" s="163"/>
      <c r="N14" s="216"/>
      <c r="O14" s="206"/>
      <c r="P14" s="163">
        <v>116.06</v>
      </c>
      <c r="Q14" s="216">
        <v>20.079999999999998</v>
      </c>
      <c r="R14" s="206" t="s">
        <v>1148</v>
      </c>
      <c r="S14" s="163"/>
      <c r="T14" s="216"/>
      <c r="U14" s="206"/>
      <c r="V14" s="163"/>
      <c r="W14" s="216"/>
      <c r="X14" s="206"/>
      <c r="Y14" s="163"/>
      <c r="Z14" s="216"/>
      <c r="AA14" s="206"/>
      <c r="AB14" s="163"/>
      <c r="AC14" s="216"/>
      <c r="AD14" s="206"/>
      <c r="AE14" s="163"/>
      <c r="AF14" s="162"/>
      <c r="AG14" s="206"/>
      <c r="AH14" s="163"/>
      <c r="AI14" s="216"/>
      <c r="AJ14" s="206"/>
      <c r="AK14" s="163"/>
      <c r="AL14" s="216"/>
      <c r="AM14" s="206"/>
      <c r="AN14" s="163"/>
      <c r="AO14" s="216"/>
      <c r="AP14" s="206"/>
      <c r="AQ14" s="163"/>
      <c r="AR14" s="216"/>
      <c r="AS14" s="206"/>
      <c r="AT14" s="163"/>
      <c r="AU14" s="216"/>
      <c r="AV14" s="206"/>
      <c r="AW14" s="163"/>
      <c r="AX14" s="216"/>
      <c r="AY14" s="206"/>
      <c r="AZ14" s="163"/>
      <c r="BA14" s="216"/>
      <c r="BB14" s="206"/>
      <c r="BC14" s="163"/>
      <c r="BD14" s="216"/>
      <c r="BE14" s="206"/>
      <c r="BF14" s="163"/>
      <c r="BG14" s="216"/>
      <c r="BH14" s="206"/>
      <c r="BI14" s="163">
        <v>186.88</v>
      </c>
      <c r="BJ14" s="216">
        <v>32</v>
      </c>
      <c r="BK14" s="206" t="s">
        <v>1148</v>
      </c>
      <c r="BL14" s="163"/>
      <c r="BM14" s="216"/>
      <c r="BN14" s="206"/>
      <c r="BO14" s="163"/>
      <c r="BP14" s="216"/>
      <c r="BQ14" s="206"/>
      <c r="BR14" s="163"/>
      <c r="BS14" s="216"/>
      <c r="BT14" s="206"/>
      <c r="BU14" s="163"/>
      <c r="BV14" s="216"/>
      <c r="BW14" s="207"/>
      <c r="BX14" s="163"/>
      <c r="BY14" s="216"/>
      <c r="BZ14" s="206"/>
      <c r="CA14" s="163"/>
      <c r="CB14" s="216"/>
      <c r="CC14" s="206"/>
      <c r="CD14" s="163">
        <v>84.62</v>
      </c>
      <c r="CE14" s="216">
        <v>14.49</v>
      </c>
      <c r="CF14" s="206" t="s">
        <v>1148</v>
      </c>
      <c r="CG14" s="163"/>
      <c r="CH14" s="216"/>
      <c r="CI14" s="206"/>
      <c r="CJ14" s="163"/>
      <c r="CK14" s="216"/>
      <c r="CL14" s="206"/>
      <c r="CM14" s="163"/>
      <c r="CN14" s="216"/>
      <c r="CO14" s="206"/>
      <c r="CP14" s="163"/>
      <c r="CQ14" s="216"/>
      <c r="CR14" s="206"/>
      <c r="CS14" s="163"/>
      <c r="CT14" s="216"/>
      <c r="CU14" s="206"/>
      <c r="CV14" s="163"/>
      <c r="CW14" s="216"/>
      <c r="CX14" s="206"/>
      <c r="CY14" s="163"/>
      <c r="CZ14" s="216"/>
      <c r="DA14" s="206"/>
      <c r="DB14" s="162"/>
      <c r="DC14" s="176"/>
    </row>
    <row r="15" spans="1:107" s="12" customFormat="1" ht="21.95" customHeight="1" thickBot="1" x14ac:dyDescent="0.25">
      <c r="A15" s="165" t="s">
        <v>1051</v>
      </c>
      <c r="B15" s="159" t="s">
        <v>16</v>
      </c>
      <c r="C15" s="159" t="s">
        <v>1052</v>
      </c>
      <c r="D15" s="159" t="s">
        <v>6</v>
      </c>
      <c r="E15" s="162">
        <v>47015</v>
      </c>
      <c r="F15" s="162">
        <v>48852</v>
      </c>
      <c r="G15" s="159">
        <f t="shared" si="5"/>
        <v>1837</v>
      </c>
      <c r="H15" s="161">
        <f t="shared" si="6"/>
        <v>489.27</v>
      </c>
      <c r="I15" s="138">
        <f t="shared" si="8"/>
        <v>2</v>
      </c>
      <c r="J15" s="157">
        <f t="shared" si="3"/>
        <v>1</v>
      </c>
      <c r="K15" s="138">
        <f t="shared" si="7"/>
        <v>1</v>
      </c>
      <c r="L15" s="159" t="s">
        <v>80</v>
      </c>
      <c r="M15" s="139">
        <v>179.58</v>
      </c>
      <c r="N15" s="217">
        <v>31.07</v>
      </c>
      <c r="O15" s="207" t="s">
        <v>1148</v>
      </c>
      <c r="P15" s="139"/>
      <c r="Q15" s="217"/>
      <c r="R15" s="207"/>
      <c r="S15" s="139"/>
      <c r="T15" s="217"/>
      <c r="U15" s="206"/>
      <c r="V15" s="139"/>
      <c r="W15" s="217"/>
      <c r="X15" s="207"/>
      <c r="Y15" s="139"/>
      <c r="Z15" s="217"/>
      <c r="AA15" s="206"/>
      <c r="AB15" s="139"/>
      <c r="AC15" s="217"/>
      <c r="AD15" s="207"/>
      <c r="AE15" s="139"/>
      <c r="AF15" s="138"/>
      <c r="AG15" s="206"/>
      <c r="AH15" s="139"/>
      <c r="AI15" s="217"/>
      <c r="AJ15" s="207"/>
      <c r="AK15" s="139">
        <v>309.69</v>
      </c>
      <c r="AL15" s="217">
        <v>53.03</v>
      </c>
      <c r="AM15" s="206" t="s">
        <v>511</v>
      </c>
      <c r="AN15" s="139"/>
      <c r="AO15" s="217"/>
      <c r="AP15" s="207"/>
      <c r="AQ15" s="139"/>
      <c r="AR15" s="217"/>
      <c r="AS15" s="207"/>
      <c r="AT15" s="139"/>
      <c r="AU15" s="217"/>
      <c r="AV15" s="207"/>
      <c r="AW15" s="139"/>
      <c r="AX15" s="217"/>
      <c r="AY15" s="206"/>
      <c r="AZ15" s="139"/>
      <c r="BA15" s="217"/>
      <c r="BB15" s="207"/>
      <c r="BC15" s="139"/>
      <c r="BD15" s="217"/>
      <c r="BE15" s="207"/>
      <c r="BF15" s="139"/>
      <c r="BG15" s="217"/>
      <c r="BH15" s="206"/>
      <c r="BI15" s="139"/>
      <c r="BJ15" s="217"/>
      <c r="BK15" s="207"/>
      <c r="BL15" s="139"/>
      <c r="BM15" s="217"/>
      <c r="BN15" s="207"/>
      <c r="BO15" s="139"/>
      <c r="BP15" s="217"/>
      <c r="BQ15" s="207"/>
      <c r="BR15" s="139"/>
      <c r="BS15" s="217"/>
      <c r="BT15" s="207"/>
      <c r="BU15" s="139"/>
      <c r="BV15" s="217"/>
      <c r="BW15" s="207"/>
      <c r="BX15" s="139"/>
      <c r="BY15" s="217"/>
      <c r="BZ15" s="208"/>
      <c r="CA15" s="139"/>
      <c r="CB15" s="217"/>
      <c r="CC15" s="207"/>
      <c r="CD15" s="139"/>
      <c r="CE15" s="217"/>
      <c r="CF15" s="208"/>
      <c r="CG15" s="139"/>
      <c r="CH15" s="217"/>
      <c r="CI15" s="207"/>
      <c r="CJ15" s="139"/>
      <c r="CK15" s="217"/>
      <c r="CL15" s="207"/>
      <c r="CM15" s="139"/>
      <c r="CN15" s="217"/>
      <c r="CO15" s="207"/>
      <c r="CP15" s="139"/>
      <c r="CQ15" s="217"/>
      <c r="CR15" s="207"/>
      <c r="CS15" s="139"/>
      <c r="CT15" s="217"/>
      <c r="CU15" s="207"/>
      <c r="CV15" s="139"/>
      <c r="CW15" s="217"/>
      <c r="CX15" s="208"/>
      <c r="CY15" s="139"/>
      <c r="CZ15" s="217"/>
      <c r="DA15" s="207"/>
      <c r="DB15" s="138"/>
      <c r="DC15" s="209"/>
    </row>
    <row r="16" spans="1:107" s="12" customFormat="1" ht="21.95" customHeight="1" thickBot="1" x14ac:dyDescent="0.25">
      <c r="A16" s="165" t="s">
        <v>999</v>
      </c>
      <c r="B16" s="159" t="s">
        <v>7</v>
      </c>
      <c r="C16" s="159" t="s">
        <v>1044</v>
      </c>
      <c r="D16" s="159" t="s">
        <v>6</v>
      </c>
      <c r="E16" s="162">
        <v>2012</v>
      </c>
      <c r="F16" s="162">
        <v>2497</v>
      </c>
      <c r="G16" s="159">
        <f t="shared" si="5"/>
        <v>485</v>
      </c>
      <c r="H16" s="161">
        <f t="shared" si="6"/>
        <v>130.22999999999999</v>
      </c>
      <c r="I16" s="138">
        <f t="shared" si="8"/>
        <v>1</v>
      </c>
      <c r="J16" s="157">
        <f t="shared" si="3"/>
        <v>0</v>
      </c>
      <c r="K16" s="138">
        <f t="shared" si="7"/>
        <v>1</v>
      </c>
      <c r="L16" s="159" t="s">
        <v>80</v>
      </c>
      <c r="M16" s="139"/>
      <c r="N16" s="217"/>
      <c r="O16" s="207"/>
      <c r="P16" s="139"/>
      <c r="Q16" s="217"/>
      <c r="R16" s="207"/>
      <c r="S16" s="139"/>
      <c r="T16" s="217"/>
      <c r="U16" s="207"/>
      <c r="V16" s="139"/>
      <c r="W16" s="217"/>
      <c r="X16" s="207"/>
      <c r="Y16" s="139"/>
      <c r="Z16" s="217"/>
      <c r="AA16" s="207"/>
      <c r="AB16" s="139"/>
      <c r="AC16" s="217"/>
      <c r="AD16" s="207"/>
      <c r="AE16" s="139"/>
      <c r="AF16" s="138"/>
      <c r="AG16" s="207"/>
      <c r="AH16" s="139"/>
      <c r="AI16" s="217"/>
      <c r="AJ16" s="207"/>
      <c r="AK16" s="139"/>
      <c r="AL16" s="217"/>
      <c r="AM16" s="207"/>
      <c r="AN16" s="139"/>
      <c r="AO16" s="217"/>
      <c r="AP16" s="207"/>
      <c r="AQ16" s="139"/>
      <c r="AR16" s="217"/>
      <c r="AS16" s="207"/>
      <c r="AT16" s="139"/>
      <c r="AU16" s="217"/>
      <c r="AV16" s="207"/>
      <c r="AW16" s="139"/>
      <c r="AX16" s="217"/>
      <c r="AY16" s="207"/>
      <c r="AZ16" s="139"/>
      <c r="BA16" s="217"/>
      <c r="BB16" s="207"/>
      <c r="BC16" s="139"/>
      <c r="BD16" s="217"/>
      <c r="BE16" s="207"/>
      <c r="BF16" s="139"/>
      <c r="BG16" s="217"/>
      <c r="BH16" s="207"/>
      <c r="BI16" s="139"/>
      <c r="BJ16" s="217"/>
      <c r="BK16" s="207"/>
      <c r="BL16" s="139"/>
      <c r="BM16" s="217"/>
      <c r="BN16" s="207"/>
      <c r="BO16" s="139"/>
      <c r="BP16" s="217"/>
      <c r="BQ16" s="207"/>
      <c r="BR16" s="139"/>
      <c r="BS16" s="217"/>
      <c r="BT16" s="207"/>
      <c r="BU16" s="139"/>
      <c r="BV16" s="217"/>
      <c r="BW16" s="207"/>
      <c r="BX16" s="139"/>
      <c r="BY16" s="217"/>
      <c r="BZ16" s="207"/>
      <c r="CA16" s="139"/>
      <c r="CB16" s="217"/>
      <c r="CC16" s="207"/>
      <c r="CD16" s="139">
        <v>130.22999999999999</v>
      </c>
      <c r="CE16" s="217">
        <v>22.3</v>
      </c>
      <c r="CF16" s="207" t="s">
        <v>511</v>
      </c>
      <c r="CG16" s="139"/>
      <c r="CH16" s="217"/>
      <c r="CI16" s="207"/>
      <c r="CJ16" s="139"/>
      <c r="CK16" s="217"/>
      <c r="CL16" s="207"/>
      <c r="CM16" s="139"/>
      <c r="CN16" s="217"/>
      <c r="CO16" s="207"/>
      <c r="CP16" s="139"/>
      <c r="CQ16" s="217"/>
      <c r="CR16" s="206"/>
      <c r="CS16" s="139"/>
      <c r="CT16" s="217"/>
      <c r="CU16" s="207"/>
      <c r="CV16" s="139"/>
      <c r="CW16" s="217"/>
      <c r="CX16" s="207"/>
      <c r="CY16" s="139"/>
      <c r="CZ16" s="217"/>
      <c r="DA16" s="207"/>
      <c r="DB16" s="138"/>
      <c r="DC16" s="176"/>
    </row>
    <row r="17" spans="1:107" s="12" customFormat="1" ht="21.95" customHeight="1" thickBot="1" x14ac:dyDescent="0.25">
      <c r="A17" s="165" t="s">
        <v>1058</v>
      </c>
      <c r="B17" s="159" t="s">
        <v>16</v>
      </c>
      <c r="C17" s="159" t="s">
        <v>1131</v>
      </c>
      <c r="D17" s="160" t="s">
        <v>6</v>
      </c>
      <c r="E17" s="171">
        <v>21340</v>
      </c>
      <c r="F17" s="171">
        <v>28074</v>
      </c>
      <c r="G17" s="160">
        <f t="shared" si="5"/>
        <v>6734</v>
      </c>
      <c r="H17" s="164">
        <f t="shared" si="6"/>
        <v>1393.3300000000002</v>
      </c>
      <c r="I17" s="141">
        <f t="shared" si="8"/>
        <v>5</v>
      </c>
      <c r="J17" s="157">
        <f t="shared" si="3"/>
        <v>0</v>
      </c>
      <c r="K17" s="141">
        <f t="shared" si="7"/>
        <v>5</v>
      </c>
      <c r="L17" s="160" t="s">
        <v>80</v>
      </c>
      <c r="M17" s="140"/>
      <c r="N17" s="218"/>
      <c r="O17" s="226"/>
      <c r="P17" s="140"/>
      <c r="Q17" s="218"/>
      <c r="R17" s="296"/>
      <c r="S17" s="156">
        <v>240.29</v>
      </c>
      <c r="T17" s="219">
        <v>41.918999999999997</v>
      </c>
      <c r="U17" s="206" t="s">
        <v>511</v>
      </c>
      <c r="V17" s="140"/>
      <c r="W17" s="218"/>
      <c r="X17" s="226"/>
      <c r="Y17" s="140"/>
      <c r="Z17" s="218"/>
      <c r="AA17" s="296"/>
      <c r="AB17" s="140"/>
      <c r="AC17" s="218"/>
      <c r="AD17" s="296"/>
      <c r="AE17" s="140"/>
      <c r="AF17" s="141"/>
      <c r="AG17" s="226"/>
      <c r="AH17" s="140"/>
      <c r="AI17" s="218"/>
      <c r="AJ17" s="226"/>
      <c r="AK17" s="140">
        <v>294.10000000000002</v>
      </c>
      <c r="AL17" s="218">
        <v>50.36</v>
      </c>
      <c r="AM17" s="206" t="s">
        <v>511</v>
      </c>
      <c r="AN17" s="140">
        <v>301.81</v>
      </c>
      <c r="AO17" s="218">
        <v>51.68</v>
      </c>
      <c r="AP17" s="206" t="s">
        <v>511</v>
      </c>
      <c r="AQ17" s="140"/>
      <c r="AR17" s="218"/>
      <c r="AS17" s="226"/>
      <c r="AT17" s="140"/>
      <c r="AU17" s="218"/>
      <c r="AV17" s="226"/>
      <c r="AW17" s="140"/>
      <c r="AX17" s="218"/>
      <c r="AY17" s="296"/>
      <c r="AZ17" s="140"/>
      <c r="BA17" s="218"/>
      <c r="BB17" s="226"/>
      <c r="BC17" s="140"/>
      <c r="BD17" s="218"/>
      <c r="BE17" s="226"/>
      <c r="BF17" s="140"/>
      <c r="BG17" s="218"/>
      <c r="BH17" s="226"/>
      <c r="BI17" s="140">
        <v>257.60000000000002</v>
      </c>
      <c r="BJ17" s="218">
        <v>44.1</v>
      </c>
      <c r="BK17" s="226" t="s">
        <v>511</v>
      </c>
      <c r="BL17" s="140"/>
      <c r="BM17" s="218"/>
      <c r="BN17" s="226"/>
      <c r="BO17" s="140"/>
      <c r="BP17" s="218"/>
      <c r="BQ17" s="226"/>
      <c r="BR17" s="140"/>
      <c r="BS17" s="218"/>
      <c r="BT17" s="226"/>
      <c r="BU17" s="140"/>
      <c r="BV17" s="218"/>
      <c r="BW17" s="296"/>
      <c r="BX17" s="140"/>
      <c r="BY17" s="218"/>
      <c r="BZ17" s="226"/>
      <c r="CA17" s="140"/>
      <c r="CB17" s="218"/>
      <c r="CC17" s="226"/>
      <c r="CD17" s="140"/>
      <c r="CE17" s="218"/>
      <c r="CF17" s="226"/>
      <c r="CG17" s="140"/>
      <c r="CH17" s="218"/>
      <c r="CI17" s="226"/>
      <c r="CJ17" s="140"/>
      <c r="CK17" s="218"/>
      <c r="CL17" s="226"/>
      <c r="CM17" s="140"/>
      <c r="CN17" s="218"/>
      <c r="CO17" s="226"/>
      <c r="CP17" s="140">
        <v>299.52999999999997</v>
      </c>
      <c r="CQ17" s="218">
        <v>51.29</v>
      </c>
      <c r="CR17" s="226" t="s">
        <v>511</v>
      </c>
      <c r="CS17" s="140"/>
      <c r="CT17" s="218"/>
      <c r="CU17" s="226"/>
      <c r="CV17" s="140"/>
      <c r="CW17" s="218"/>
      <c r="CX17" s="226"/>
      <c r="CY17" s="140"/>
      <c r="CZ17" s="218"/>
      <c r="DA17" s="226"/>
      <c r="DB17" s="141"/>
      <c r="DC17" s="210"/>
    </row>
    <row r="18" spans="1:107" s="12" customFormat="1" ht="21.95" customHeight="1" thickBot="1" x14ac:dyDescent="0.25">
      <c r="A18" s="168" t="s">
        <v>850</v>
      </c>
      <c r="B18" s="158" t="s">
        <v>51</v>
      </c>
      <c r="C18" s="158" t="s">
        <v>848</v>
      </c>
      <c r="D18" s="353" t="s">
        <v>6</v>
      </c>
      <c r="E18" s="169">
        <v>16318</v>
      </c>
      <c r="F18" s="169">
        <v>17648</v>
      </c>
      <c r="G18" s="158">
        <f t="shared" si="0"/>
        <v>1330</v>
      </c>
      <c r="H18" s="354">
        <f t="shared" ref="H18:H42" si="9">SUM(M18+P18+S18+V18+Y18+AB18+AE18+AH18+AK18+AN18+AQ18+AT18+AW18+AZ18+BC18+BF18+BI18+BL18+BO18+BR18+BU18+BX18+CA18+CD18+CG18+CJ18+CM18+CP18+CS18+CV18+CY18)</f>
        <v>667.86</v>
      </c>
      <c r="I18" s="157">
        <f t="shared" si="2"/>
        <v>3</v>
      </c>
      <c r="J18" s="157">
        <f t="shared" si="3"/>
        <v>2</v>
      </c>
      <c r="K18" s="157">
        <f t="shared" si="4"/>
        <v>1</v>
      </c>
      <c r="L18" s="158" t="s">
        <v>81</v>
      </c>
      <c r="M18" s="156"/>
      <c r="N18" s="219"/>
      <c r="O18" s="211"/>
      <c r="P18" s="156">
        <v>210.65</v>
      </c>
      <c r="Q18" s="219">
        <v>36.07</v>
      </c>
      <c r="R18" s="206" t="s">
        <v>1148</v>
      </c>
      <c r="S18" s="156"/>
      <c r="T18" s="219"/>
      <c r="U18" s="211"/>
      <c r="V18" s="156"/>
      <c r="W18" s="219"/>
      <c r="X18" s="211"/>
      <c r="Y18" s="156"/>
      <c r="Z18" s="219"/>
      <c r="AA18" s="211"/>
      <c r="AB18" s="156"/>
      <c r="AC18" s="219"/>
      <c r="AD18" s="211"/>
      <c r="AE18" s="156"/>
      <c r="AF18" s="157"/>
      <c r="AG18" s="211"/>
      <c r="AH18" s="156"/>
      <c r="AI18" s="219"/>
      <c r="AJ18" s="211"/>
      <c r="AK18" s="156"/>
      <c r="AL18" s="219"/>
      <c r="AM18" s="211"/>
      <c r="AN18" s="156"/>
      <c r="AO18" s="219"/>
      <c r="AP18" s="211"/>
      <c r="AQ18" s="156"/>
      <c r="AR18" s="219"/>
      <c r="AS18" s="211"/>
      <c r="AT18" s="156"/>
      <c r="AU18" s="219"/>
      <c r="AV18" s="211"/>
      <c r="AW18" s="156"/>
      <c r="AX18" s="219"/>
      <c r="AY18" s="211"/>
      <c r="AZ18" s="156"/>
      <c r="BA18" s="219"/>
      <c r="BB18" s="211"/>
      <c r="BC18" s="156"/>
      <c r="BD18" s="219"/>
      <c r="BE18" s="211"/>
      <c r="BF18" s="156">
        <v>232.37</v>
      </c>
      <c r="BG18" s="219">
        <v>39.79</v>
      </c>
      <c r="BH18" s="211" t="s">
        <v>511</v>
      </c>
      <c r="BI18" s="156"/>
      <c r="BJ18" s="219"/>
      <c r="BK18" s="211"/>
      <c r="BL18" s="156"/>
      <c r="BM18" s="219"/>
      <c r="BN18" s="211"/>
      <c r="BO18" s="156"/>
      <c r="BP18" s="219"/>
      <c r="BQ18" s="211"/>
      <c r="BR18" s="156"/>
      <c r="BS18" s="219"/>
      <c r="BT18" s="211"/>
      <c r="BU18" s="156"/>
      <c r="BV18" s="219"/>
      <c r="BW18" s="211"/>
      <c r="BX18" s="156"/>
      <c r="BY18" s="219"/>
      <c r="BZ18" s="211"/>
      <c r="CA18" s="156"/>
      <c r="CB18" s="219"/>
      <c r="CC18" s="211"/>
      <c r="CD18" s="156"/>
      <c r="CE18" s="219"/>
      <c r="CF18" s="211"/>
      <c r="CG18" s="156"/>
      <c r="CH18" s="219"/>
      <c r="CI18" s="211"/>
      <c r="CJ18" s="156">
        <v>224.84</v>
      </c>
      <c r="CK18" s="219">
        <v>38.5</v>
      </c>
      <c r="CL18" s="211" t="s">
        <v>1148</v>
      </c>
      <c r="CM18" s="156"/>
      <c r="CN18" s="219"/>
      <c r="CO18" s="211"/>
      <c r="CP18" s="156"/>
      <c r="CQ18" s="219"/>
      <c r="CR18" s="211"/>
      <c r="CS18" s="156"/>
      <c r="CT18" s="219"/>
      <c r="CU18" s="211"/>
      <c r="CV18" s="156"/>
      <c r="CW18" s="219"/>
      <c r="CX18" s="211"/>
      <c r="CY18" s="156"/>
      <c r="CZ18" s="219"/>
      <c r="DA18" s="211"/>
      <c r="DB18" s="157"/>
      <c r="DC18" s="175"/>
    </row>
    <row r="19" spans="1:107" s="12" customFormat="1" ht="21.95" customHeight="1" thickBot="1" x14ac:dyDescent="0.25">
      <c r="A19" s="165" t="s">
        <v>1046</v>
      </c>
      <c r="B19" s="159" t="s">
        <v>7</v>
      </c>
      <c r="C19" s="161" t="s">
        <v>1043</v>
      </c>
      <c r="D19" s="159" t="s">
        <v>6</v>
      </c>
      <c r="E19" s="162">
        <v>6119</v>
      </c>
      <c r="F19" s="162">
        <v>9198</v>
      </c>
      <c r="G19" s="159">
        <f t="shared" si="0"/>
        <v>3079</v>
      </c>
      <c r="H19" s="161">
        <f t="shared" si="9"/>
        <v>1373.17</v>
      </c>
      <c r="I19" s="138">
        <f t="shared" si="2"/>
        <v>8</v>
      </c>
      <c r="J19" s="157">
        <f t="shared" si="3"/>
        <v>7</v>
      </c>
      <c r="K19" s="138">
        <f t="shared" si="4"/>
        <v>1</v>
      </c>
      <c r="L19" s="159" t="s">
        <v>81</v>
      </c>
      <c r="M19" s="163"/>
      <c r="N19" s="216"/>
      <c r="O19" s="206"/>
      <c r="P19" s="163">
        <v>221.1</v>
      </c>
      <c r="Q19" s="216">
        <v>37.86</v>
      </c>
      <c r="R19" s="206" t="s">
        <v>511</v>
      </c>
      <c r="S19" s="163"/>
      <c r="T19" s="216"/>
      <c r="U19" s="206"/>
      <c r="V19" s="163"/>
      <c r="W19" s="216"/>
      <c r="X19" s="206"/>
      <c r="Y19" s="163">
        <v>195</v>
      </c>
      <c r="Z19" s="216">
        <v>33.39</v>
      </c>
      <c r="AA19" s="206" t="s">
        <v>1148</v>
      </c>
      <c r="AB19" s="163"/>
      <c r="AC19" s="216"/>
      <c r="AD19" s="206"/>
      <c r="AE19" s="163"/>
      <c r="AF19" s="162"/>
      <c r="AG19" s="206"/>
      <c r="AH19" s="163"/>
      <c r="AI19" s="216"/>
      <c r="AJ19" s="206"/>
      <c r="AK19" s="163">
        <v>183.73</v>
      </c>
      <c r="AL19" s="216">
        <v>31.46</v>
      </c>
      <c r="AM19" s="206" t="s">
        <v>1148</v>
      </c>
      <c r="AN19" s="163"/>
      <c r="AO19" s="216"/>
      <c r="AP19" s="206"/>
      <c r="AQ19" s="163"/>
      <c r="AR19" s="216"/>
      <c r="AS19" s="206"/>
      <c r="AT19" s="163">
        <v>153.07</v>
      </c>
      <c r="AU19" s="216">
        <v>26.21</v>
      </c>
      <c r="AV19" s="206" t="s">
        <v>1148</v>
      </c>
      <c r="AW19" s="163"/>
      <c r="AX19" s="216"/>
      <c r="AY19" s="206"/>
      <c r="AZ19" s="163"/>
      <c r="BA19" s="216"/>
      <c r="BB19" s="206"/>
      <c r="BC19" s="163"/>
      <c r="BD19" s="216"/>
      <c r="BE19" s="206"/>
      <c r="BF19" s="163">
        <v>139.05000000000001</v>
      </c>
      <c r="BG19" s="216">
        <v>23.81</v>
      </c>
      <c r="BH19" s="206" t="s">
        <v>1148</v>
      </c>
      <c r="BI19" s="163"/>
      <c r="BJ19" s="216"/>
      <c r="BK19" s="206"/>
      <c r="BL19" s="163"/>
      <c r="BM19" s="216"/>
      <c r="BN19" s="206"/>
      <c r="BO19" s="163"/>
      <c r="BP19" s="216"/>
      <c r="BQ19" s="206"/>
      <c r="BR19" s="163">
        <v>142.32</v>
      </c>
      <c r="BS19" s="216">
        <v>24.37</v>
      </c>
      <c r="BT19" s="206" t="s">
        <v>1148</v>
      </c>
      <c r="BU19" s="163"/>
      <c r="BV19" s="216"/>
      <c r="BW19" s="207"/>
      <c r="BX19" s="163"/>
      <c r="BY19" s="216"/>
      <c r="BZ19" s="206"/>
      <c r="CA19" s="163"/>
      <c r="CB19" s="216"/>
      <c r="CC19" s="206"/>
      <c r="CD19" s="163"/>
      <c r="CE19" s="216"/>
      <c r="CF19" s="206"/>
      <c r="CG19" s="163"/>
      <c r="CH19" s="216"/>
      <c r="CI19" s="206"/>
      <c r="CJ19" s="163">
        <v>185.13</v>
      </c>
      <c r="CK19" s="216">
        <v>31.7</v>
      </c>
      <c r="CL19" s="206" t="s">
        <v>1148</v>
      </c>
      <c r="CM19" s="163"/>
      <c r="CN19" s="216"/>
      <c r="CO19" s="206"/>
      <c r="CP19" s="163">
        <v>153.77000000000001</v>
      </c>
      <c r="CQ19" s="216">
        <v>26.33</v>
      </c>
      <c r="CR19" s="206" t="s">
        <v>1148</v>
      </c>
      <c r="CS19" s="163"/>
      <c r="CT19" s="216"/>
      <c r="CU19" s="206"/>
      <c r="CV19" s="163"/>
      <c r="CW19" s="216"/>
      <c r="CX19" s="206"/>
      <c r="CY19" s="163"/>
      <c r="CZ19" s="216"/>
      <c r="DA19" s="206"/>
      <c r="DB19" s="162"/>
      <c r="DC19" s="176"/>
    </row>
    <row r="20" spans="1:107" s="12" customFormat="1" ht="21.95" customHeight="1" thickBot="1" x14ac:dyDescent="0.25">
      <c r="A20" s="165" t="s">
        <v>999</v>
      </c>
      <c r="B20" s="159" t="s">
        <v>7</v>
      </c>
      <c r="C20" s="159" t="s">
        <v>1044</v>
      </c>
      <c r="D20" s="159" t="s">
        <v>6</v>
      </c>
      <c r="E20" s="162">
        <v>2497</v>
      </c>
      <c r="F20" s="162">
        <v>5378</v>
      </c>
      <c r="G20" s="159">
        <f t="shared" si="0"/>
        <v>2881</v>
      </c>
      <c r="H20" s="161">
        <f t="shared" si="9"/>
        <v>271.73</v>
      </c>
      <c r="I20" s="138">
        <f t="shared" si="2"/>
        <v>2</v>
      </c>
      <c r="J20" s="157">
        <f t="shared" si="3"/>
        <v>0</v>
      </c>
      <c r="K20" s="138">
        <f t="shared" si="4"/>
        <v>2</v>
      </c>
      <c r="L20" s="159" t="s">
        <v>81</v>
      </c>
      <c r="M20" s="139"/>
      <c r="N20" s="217"/>
      <c r="O20" s="207"/>
      <c r="P20" s="139"/>
      <c r="Q20" s="217"/>
      <c r="R20" s="207"/>
      <c r="S20" s="139"/>
      <c r="T20" s="217"/>
      <c r="U20" s="207"/>
      <c r="V20" s="139"/>
      <c r="W20" s="217"/>
      <c r="X20" s="207"/>
      <c r="Y20" s="139"/>
      <c r="Z20" s="217"/>
      <c r="AA20" s="207"/>
      <c r="AB20" s="139"/>
      <c r="AC20" s="217"/>
      <c r="AD20" s="207"/>
      <c r="AE20" s="139"/>
      <c r="AF20" s="138"/>
      <c r="AG20" s="207"/>
      <c r="AH20" s="139"/>
      <c r="AI20" s="217"/>
      <c r="AJ20" s="207"/>
      <c r="AK20" s="139"/>
      <c r="AL20" s="217"/>
      <c r="AM20" s="207"/>
      <c r="AN20" s="139"/>
      <c r="AO20" s="217"/>
      <c r="AP20" s="207"/>
      <c r="AQ20" s="139"/>
      <c r="AR20" s="217"/>
      <c r="AS20" s="207"/>
      <c r="AT20" s="139"/>
      <c r="AU20" s="217"/>
      <c r="AV20" s="207"/>
      <c r="AW20" s="139">
        <v>217.83</v>
      </c>
      <c r="AX20" s="217">
        <v>37.299999999999997</v>
      </c>
      <c r="AY20" s="207" t="s">
        <v>511</v>
      </c>
      <c r="AZ20" s="139"/>
      <c r="BA20" s="217"/>
      <c r="BB20" s="207"/>
      <c r="BC20" s="139">
        <v>53.9</v>
      </c>
      <c r="BD20" s="217">
        <v>9.23</v>
      </c>
      <c r="BE20" s="207" t="s">
        <v>511</v>
      </c>
      <c r="BF20" s="139"/>
      <c r="BG20" s="217"/>
      <c r="BH20" s="207"/>
      <c r="BI20" s="139"/>
      <c r="BJ20" s="217"/>
      <c r="BK20" s="207"/>
      <c r="BL20" s="139"/>
      <c r="BM20" s="217"/>
      <c r="BN20" s="207"/>
      <c r="BO20" s="139"/>
      <c r="BP20" s="217"/>
      <c r="BQ20" s="207"/>
      <c r="BR20" s="139"/>
      <c r="BS20" s="217"/>
      <c r="BT20" s="207"/>
      <c r="BU20" s="139"/>
      <c r="BV20" s="217"/>
      <c r="BW20" s="207"/>
      <c r="BX20" s="139"/>
      <c r="BY20" s="217"/>
      <c r="BZ20" s="207"/>
      <c r="CA20" s="139"/>
      <c r="CB20" s="217"/>
      <c r="CC20" s="207"/>
      <c r="CD20" s="139"/>
      <c r="CE20" s="217"/>
      <c r="CF20" s="207"/>
      <c r="CG20" s="139"/>
      <c r="CH20" s="217"/>
      <c r="CI20" s="207"/>
      <c r="CJ20" s="139"/>
      <c r="CK20" s="217"/>
      <c r="CL20" s="207"/>
      <c r="CM20" s="139"/>
      <c r="CN20" s="217"/>
      <c r="CO20" s="207"/>
      <c r="CP20" s="139"/>
      <c r="CQ20" s="217"/>
      <c r="CR20" s="206"/>
      <c r="CS20" s="139"/>
      <c r="CT20" s="217"/>
      <c r="CU20" s="207"/>
      <c r="CV20" s="139"/>
      <c r="CW20" s="217"/>
      <c r="CX20" s="207"/>
      <c r="CY20" s="139"/>
      <c r="CZ20" s="217"/>
      <c r="DA20" s="207"/>
      <c r="DB20" s="138"/>
      <c r="DC20" s="176"/>
    </row>
    <row r="21" spans="1:107" s="12" customFormat="1" ht="21.95" customHeight="1" thickBot="1" x14ac:dyDescent="0.25">
      <c r="A21" s="165" t="s">
        <v>1058</v>
      </c>
      <c r="B21" s="159" t="s">
        <v>16</v>
      </c>
      <c r="C21" s="159" t="s">
        <v>1131</v>
      </c>
      <c r="D21" s="160" t="s">
        <v>6</v>
      </c>
      <c r="E21" s="171">
        <v>28047</v>
      </c>
      <c r="F21" s="171">
        <v>31541</v>
      </c>
      <c r="G21" s="160">
        <f t="shared" si="0"/>
        <v>3494</v>
      </c>
      <c r="H21" s="164">
        <f t="shared" si="9"/>
        <v>1361.5</v>
      </c>
      <c r="I21" s="141">
        <f t="shared" si="2"/>
        <v>6</v>
      </c>
      <c r="J21" s="157">
        <f t="shared" si="3"/>
        <v>2</v>
      </c>
      <c r="K21" s="141">
        <f t="shared" si="4"/>
        <v>4</v>
      </c>
      <c r="L21" s="160" t="s">
        <v>81</v>
      </c>
      <c r="M21" s="140"/>
      <c r="N21" s="218"/>
      <c r="O21" s="226"/>
      <c r="P21" s="140"/>
      <c r="Q21" s="218"/>
      <c r="R21" s="296"/>
      <c r="S21" s="140">
        <v>285.63</v>
      </c>
      <c r="T21" s="218">
        <v>48.91</v>
      </c>
      <c r="U21" s="206" t="s">
        <v>1148</v>
      </c>
      <c r="V21" s="140"/>
      <c r="W21" s="218"/>
      <c r="X21" s="226"/>
      <c r="Y21" s="140">
        <v>39.53</v>
      </c>
      <c r="Z21" s="218">
        <v>6.76</v>
      </c>
      <c r="AA21" s="296" t="s">
        <v>511</v>
      </c>
      <c r="AB21" s="140"/>
      <c r="AC21" s="218"/>
      <c r="AD21" s="296"/>
      <c r="AE21" s="140"/>
      <c r="AF21" s="141"/>
      <c r="AG21" s="226"/>
      <c r="AH21" s="140"/>
      <c r="AI21" s="218"/>
      <c r="AJ21" s="226"/>
      <c r="AK21" s="140"/>
      <c r="AL21" s="218"/>
      <c r="AM21" s="226"/>
      <c r="AN21" s="140"/>
      <c r="AO21" s="218"/>
      <c r="AP21" s="226"/>
      <c r="AQ21" s="140"/>
      <c r="AR21" s="218"/>
      <c r="AS21" s="226"/>
      <c r="AT21" s="140">
        <v>288.2</v>
      </c>
      <c r="AU21" s="218">
        <v>49.35</v>
      </c>
      <c r="AV21" s="226" t="s">
        <v>1148</v>
      </c>
      <c r="AW21" s="140"/>
      <c r="AX21" s="218"/>
      <c r="AY21" s="296"/>
      <c r="AZ21" s="140"/>
      <c r="BA21" s="218"/>
      <c r="BB21" s="226"/>
      <c r="BC21" s="140"/>
      <c r="BD21" s="218"/>
      <c r="BE21" s="226"/>
      <c r="BF21" s="140">
        <v>292.17</v>
      </c>
      <c r="BG21" s="218">
        <v>50.03</v>
      </c>
      <c r="BH21" s="226" t="s">
        <v>511</v>
      </c>
      <c r="BI21" s="140"/>
      <c r="BJ21" s="218"/>
      <c r="BK21" s="226"/>
      <c r="BL21" s="140"/>
      <c r="BM21" s="218"/>
      <c r="BN21" s="226"/>
      <c r="BO21" s="140"/>
      <c r="BP21" s="218"/>
      <c r="BQ21" s="226"/>
      <c r="BR21" s="140"/>
      <c r="BS21" s="218"/>
      <c r="BT21" s="226"/>
      <c r="BU21" s="140"/>
      <c r="BV21" s="218"/>
      <c r="BW21" s="296"/>
      <c r="BX21" s="140"/>
      <c r="BY21" s="218"/>
      <c r="BZ21" s="226"/>
      <c r="CA21" s="140"/>
      <c r="CB21" s="218"/>
      <c r="CC21" s="226"/>
      <c r="CD21" s="140"/>
      <c r="CE21" s="218"/>
      <c r="CF21" s="226"/>
      <c r="CG21" s="140"/>
      <c r="CH21" s="218"/>
      <c r="CI21" s="226"/>
      <c r="CJ21" s="140">
        <v>226.7</v>
      </c>
      <c r="CK21" s="218">
        <v>38.819000000000003</v>
      </c>
      <c r="CL21" s="226" t="s">
        <v>511</v>
      </c>
      <c r="CM21" s="140">
        <v>229.27</v>
      </c>
      <c r="CN21" s="218">
        <v>29.26</v>
      </c>
      <c r="CO21" s="226" t="s">
        <v>511</v>
      </c>
      <c r="CP21" s="140"/>
      <c r="CQ21" s="218"/>
      <c r="CR21" s="226"/>
      <c r="CS21" s="140"/>
      <c r="CT21" s="218"/>
      <c r="CU21" s="226"/>
      <c r="CV21" s="140"/>
      <c r="CW21" s="218"/>
      <c r="CX21" s="226"/>
      <c r="CY21" s="140"/>
      <c r="CZ21" s="218"/>
      <c r="DA21" s="226"/>
      <c r="DB21" s="141"/>
      <c r="DC21" s="210"/>
    </row>
    <row r="22" spans="1:107" s="12" customFormat="1" ht="21.95" customHeight="1" thickBot="1" x14ac:dyDescent="0.25">
      <c r="A22" s="168" t="s">
        <v>850</v>
      </c>
      <c r="B22" s="158" t="s">
        <v>51</v>
      </c>
      <c r="C22" s="158" t="s">
        <v>848</v>
      </c>
      <c r="D22" s="353" t="s">
        <v>6</v>
      </c>
      <c r="E22" s="169">
        <v>17648</v>
      </c>
      <c r="F22" s="169">
        <v>19990</v>
      </c>
      <c r="G22" s="158">
        <f t="shared" si="0"/>
        <v>2342</v>
      </c>
      <c r="H22" s="354">
        <f t="shared" si="9"/>
        <v>1004.8100000000001</v>
      </c>
      <c r="I22" s="157">
        <f>COUNTA(N22,Q22,T22,W22,Z22,AC22,AF22,AI22,AL22,AO22,AR22,AU22,AX22,BA22,BD22,BG22,BJ22,BM22,BP22,BS22,BV22,BY22,CB22,CE22,CH22,CK22,CN22,CQ22,CT22,CW22,CZ22)</f>
        <v>6</v>
      </c>
      <c r="J22" s="157">
        <f t="shared" si="3"/>
        <v>5</v>
      </c>
      <c r="K22" s="157">
        <f t="shared" si="4"/>
        <v>1</v>
      </c>
      <c r="L22" s="158" t="s">
        <v>82</v>
      </c>
      <c r="M22" s="156"/>
      <c r="N22" s="219"/>
      <c r="O22" s="211"/>
      <c r="P22" s="156">
        <v>122.87</v>
      </c>
      <c r="Q22" s="219">
        <v>21.04</v>
      </c>
      <c r="R22" s="211" t="s">
        <v>1148</v>
      </c>
      <c r="S22" s="156"/>
      <c r="T22" s="219"/>
      <c r="U22" s="211"/>
      <c r="V22" s="156">
        <v>128.24</v>
      </c>
      <c r="W22" s="219">
        <v>21.959</v>
      </c>
      <c r="X22" s="296" t="s">
        <v>511</v>
      </c>
      <c r="Y22" s="156"/>
      <c r="Z22" s="219"/>
      <c r="AA22" s="211"/>
      <c r="AB22" s="156"/>
      <c r="AC22" s="219"/>
      <c r="AD22" s="211"/>
      <c r="AE22" s="156"/>
      <c r="AF22" s="157"/>
      <c r="AG22" s="211"/>
      <c r="AH22" s="156"/>
      <c r="AI22" s="219"/>
      <c r="AJ22" s="211"/>
      <c r="AK22" s="156"/>
      <c r="AL22" s="219"/>
      <c r="AM22" s="211"/>
      <c r="AN22" s="156"/>
      <c r="AO22" s="219"/>
      <c r="AP22" s="211"/>
      <c r="AQ22" s="156"/>
      <c r="AR22" s="219"/>
      <c r="AS22" s="211"/>
      <c r="AT22" s="156"/>
      <c r="AU22" s="219"/>
      <c r="AV22" s="211"/>
      <c r="AW22" s="156"/>
      <c r="AX22" s="219"/>
      <c r="AY22" s="211"/>
      <c r="AZ22" s="156"/>
      <c r="BA22" s="219"/>
      <c r="BB22" s="211"/>
      <c r="BC22" s="156"/>
      <c r="BD22" s="219"/>
      <c r="BE22" s="211"/>
      <c r="BF22" s="156">
        <v>173.47</v>
      </c>
      <c r="BG22" s="219">
        <v>29.01</v>
      </c>
      <c r="BH22" s="206" t="s">
        <v>1148</v>
      </c>
      <c r="BI22" s="156"/>
      <c r="BJ22" s="219"/>
      <c r="BK22" s="211"/>
      <c r="BL22" s="156"/>
      <c r="BM22" s="219"/>
      <c r="BN22" s="211"/>
      <c r="BO22" s="156"/>
      <c r="BP22" s="219"/>
      <c r="BQ22" s="211"/>
      <c r="BR22" s="156">
        <v>179.63</v>
      </c>
      <c r="BS22" s="219">
        <v>30.04</v>
      </c>
      <c r="BT22" s="211" t="s">
        <v>1148</v>
      </c>
      <c r="BU22" s="156"/>
      <c r="BV22" s="219"/>
      <c r="BW22" s="211"/>
      <c r="BX22" s="156"/>
      <c r="BY22" s="219"/>
      <c r="BZ22" s="211"/>
      <c r="CA22" s="156"/>
      <c r="CB22" s="219"/>
      <c r="CC22" s="211"/>
      <c r="CD22" s="156"/>
      <c r="CE22" s="219"/>
      <c r="CF22" s="211"/>
      <c r="CG22" s="156">
        <v>229.33</v>
      </c>
      <c r="CH22" s="219">
        <v>38.35</v>
      </c>
      <c r="CI22" s="211" t="s">
        <v>1148</v>
      </c>
      <c r="CJ22" s="156"/>
      <c r="CK22" s="219"/>
      <c r="CL22" s="211"/>
      <c r="CM22" s="156"/>
      <c r="CN22" s="219"/>
      <c r="CO22" s="211"/>
      <c r="CP22" s="156"/>
      <c r="CQ22" s="219"/>
      <c r="CR22" s="211"/>
      <c r="CS22" s="156"/>
      <c r="CT22" s="219"/>
      <c r="CU22" s="211"/>
      <c r="CV22" s="156">
        <v>171.27</v>
      </c>
      <c r="CW22" s="219">
        <v>28.64</v>
      </c>
      <c r="CX22" s="211" t="s">
        <v>1148</v>
      </c>
      <c r="CY22" s="156"/>
      <c r="CZ22" s="219"/>
      <c r="DA22" s="211"/>
      <c r="DB22" s="157"/>
      <c r="DC22" s="175"/>
    </row>
    <row r="23" spans="1:107" s="12" customFormat="1" ht="21.95" customHeight="1" thickBot="1" x14ac:dyDescent="0.25">
      <c r="A23" s="165" t="s">
        <v>1046</v>
      </c>
      <c r="B23" s="159" t="s">
        <v>7</v>
      </c>
      <c r="C23" s="161" t="s">
        <v>1043</v>
      </c>
      <c r="D23" s="159" t="s">
        <v>6</v>
      </c>
      <c r="E23" s="162">
        <v>9198</v>
      </c>
      <c r="F23" s="162">
        <v>11150</v>
      </c>
      <c r="G23" s="158">
        <f t="shared" si="0"/>
        <v>1952</v>
      </c>
      <c r="H23" s="161">
        <f t="shared" si="9"/>
        <v>1204.3900000000001</v>
      </c>
      <c r="I23" s="138">
        <f t="shared" si="2"/>
        <v>7</v>
      </c>
      <c r="J23" s="157">
        <f t="shared" si="3"/>
        <v>6</v>
      </c>
      <c r="K23" s="138">
        <f t="shared" si="4"/>
        <v>1</v>
      </c>
      <c r="L23" s="159" t="s">
        <v>82</v>
      </c>
      <c r="M23" s="163"/>
      <c r="N23" s="216"/>
      <c r="O23" s="206"/>
      <c r="P23" s="163">
        <v>227.35</v>
      </c>
      <c r="Q23" s="216">
        <v>38.93</v>
      </c>
      <c r="R23" s="206" t="s">
        <v>1148</v>
      </c>
      <c r="S23" s="163"/>
      <c r="T23" s="216"/>
      <c r="U23" s="206"/>
      <c r="V23" s="163"/>
      <c r="W23" s="216"/>
      <c r="X23" s="206"/>
      <c r="Y23" s="163"/>
      <c r="Z23" s="216"/>
      <c r="AA23" s="206"/>
      <c r="AB23" s="163">
        <v>143.02000000000001</v>
      </c>
      <c r="AC23" s="216">
        <v>24.49</v>
      </c>
      <c r="AD23" s="206" t="s">
        <v>511</v>
      </c>
      <c r="AE23" s="163"/>
      <c r="AF23" s="162"/>
      <c r="AG23" s="206"/>
      <c r="AH23" s="163"/>
      <c r="AI23" s="216"/>
      <c r="AJ23" s="207"/>
      <c r="AK23" s="163"/>
      <c r="AL23" s="216"/>
      <c r="AM23" s="206"/>
      <c r="AN23" s="163"/>
      <c r="AO23" s="216"/>
      <c r="AP23" s="206"/>
      <c r="AQ23" s="163">
        <v>152.07</v>
      </c>
      <c r="AR23" s="216">
        <v>26.04</v>
      </c>
      <c r="AS23" s="206" t="s">
        <v>1148</v>
      </c>
      <c r="AT23" s="163"/>
      <c r="AU23" s="216"/>
      <c r="AV23" s="206"/>
      <c r="AW23" s="163">
        <v>112.47</v>
      </c>
      <c r="AX23" s="216">
        <v>19.25</v>
      </c>
      <c r="AY23" s="206" t="s">
        <v>1148</v>
      </c>
      <c r="AZ23" s="163"/>
      <c r="BA23" s="216"/>
      <c r="BB23" s="206"/>
      <c r="BC23" s="163"/>
      <c r="BD23" s="216"/>
      <c r="BE23" s="206"/>
      <c r="BF23" s="163"/>
      <c r="BG23" s="216"/>
      <c r="BH23" s="206"/>
      <c r="BI23" s="163"/>
      <c r="BJ23" s="216"/>
      <c r="BK23" s="206"/>
      <c r="BL23" s="163"/>
      <c r="BM23" s="216"/>
      <c r="BN23" s="206"/>
      <c r="BO23" s="163">
        <v>219.35</v>
      </c>
      <c r="BP23" s="216">
        <v>36.68</v>
      </c>
      <c r="BQ23" s="206" t="s">
        <v>1148</v>
      </c>
      <c r="BR23" s="163"/>
      <c r="BS23" s="216"/>
      <c r="BT23" s="206"/>
      <c r="BU23" s="163"/>
      <c r="BV23" s="216"/>
      <c r="BW23" s="206"/>
      <c r="BX23" s="163"/>
      <c r="BY23" s="216"/>
      <c r="BZ23" s="206"/>
      <c r="CA23" s="163"/>
      <c r="CB23" s="216"/>
      <c r="CC23" s="206"/>
      <c r="CD23" s="163"/>
      <c r="CE23" s="216"/>
      <c r="CF23" s="206"/>
      <c r="CG23" s="163">
        <v>182.09</v>
      </c>
      <c r="CH23" s="216">
        <v>30.45</v>
      </c>
      <c r="CI23" s="211" t="s">
        <v>1148</v>
      </c>
      <c r="CJ23" s="163"/>
      <c r="CK23" s="216"/>
      <c r="CL23" s="206"/>
      <c r="CM23" s="163"/>
      <c r="CN23" s="216"/>
      <c r="CO23" s="206"/>
      <c r="CP23" s="163"/>
      <c r="CQ23" s="216"/>
      <c r="CR23" s="206"/>
      <c r="CS23" s="163"/>
      <c r="CT23" s="216"/>
      <c r="CU23" s="206"/>
      <c r="CV23" s="163">
        <v>168.04</v>
      </c>
      <c r="CW23" s="216">
        <v>28.1</v>
      </c>
      <c r="CX23" s="206" t="s">
        <v>1148</v>
      </c>
      <c r="CY23" s="163"/>
      <c r="CZ23" s="216"/>
      <c r="DA23" s="206"/>
      <c r="DB23" s="162"/>
      <c r="DC23" s="176"/>
    </row>
    <row r="24" spans="1:107" s="12" customFormat="1" ht="21.95" customHeight="1" thickBot="1" x14ac:dyDescent="0.25">
      <c r="A24" s="165" t="s">
        <v>999</v>
      </c>
      <c r="B24" s="159" t="s">
        <v>7</v>
      </c>
      <c r="C24" s="159" t="s">
        <v>1044</v>
      </c>
      <c r="D24" s="159" t="s">
        <v>6</v>
      </c>
      <c r="E24" s="162">
        <v>5378</v>
      </c>
      <c r="F24" s="162">
        <v>9249</v>
      </c>
      <c r="G24" s="158">
        <f t="shared" si="0"/>
        <v>3871</v>
      </c>
      <c r="H24" s="161">
        <f t="shared" si="9"/>
        <v>771.23</v>
      </c>
      <c r="I24" s="138">
        <f t="shared" si="2"/>
        <v>4</v>
      </c>
      <c r="J24" s="157">
        <f t="shared" si="3"/>
        <v>3</v>
      </c>
      <c r="K24" s="138">
        <f t="shared" si="4"/>
        <v>1</v>
      </c>
      <c r="L24" s="159" t="s">
        <v>82</v>
      </c>
      <c r="M24" s="163"/>
      <c r="N24" s="216"/>
      <c r="O24" s="206"/>
      <c r="P24" s="163"/>
      <c r="Q24" s="216"/>
      <c r="R24" s="206"/>
      <c r="S24" s="163"/>
      <c r="T24" s="216"/>
      <c r="U24" s="206"/>
      <c r="V24" s="163"/>
      <c r="W24" s="216"/>
      <c r="X24" s="206"/>
      <c r="Y24" s="163"/>
      <c r="Z24" s="216"/>
      <c r="AA24" s="206"/>
      <c r="AB24" s="163">
        <v>142.08000000000001</v>
      </c>
      <c r="AC24" s="216">
        <v>24.33</v>
      </c>
      <c r="AD24" s="206" t="s">
        <v>511</v>
      </c>
      <c r="AE24" s="163"/>
      <c r="AF24" s="162"/>
      <c r="AG24" s="206"/>
      <c r="AH24" s="163"/>
      <c r="AI24" s="216"/>
      <c r="AJ24" s="206"/>
      <c r="AK24" s="163"/>
      <c r="AL24" s="216"/>
      <c r="AM24" s="206"/>
      <c r="AN24" s="163"/>
      <c r="AO24" s="216"/>
      <c r="AP24" s="206"/>
      <c r="AQ24" s="163"/>
      <c r="AR24" s="216"/>
      <c r="AS24" s="206"/>
      <c r="AT24" s="163"/>
      <c r="AU24" s="216"/>
      <c r="AV24" s="206"/>
      <c r="AW24" s="163">
        <v>151.88999999999999</v>
      </c>
      <c r="AX24" s="216">
        <v>26</v>
      </c>
      <c r="AY24" s="207" t="s">
        <v>1148</v>
      </c>
      <c r="AZ24" s="163"/>
      <c r="BA24" s="216"/>
      <c r="BB24" s="206"/>
      <c r="BC24" s="163"/>
      <c r="BD24" s="216"/>
      <c r="BE24" s="206"/>
      <c r="BF24" s="163">
        <v>263.12</v>
      </c>
      <c r="BG24" s="216">
        <v>44</v>
      </c>
      <c r="BH24" s="206" t="s">
        <v>1148</v>
      </c>
      <c r="BI24" s="163"/>
      <c r="BJ24" s="216"/>
      <c r="BK24" s="206"/>
      <c r="BL24" s="163"/>
      <c r="BM24" s="216"/>
      <c r="BN24" s="206"/>
      <c r="BO24" s="163"/>
      <c r="BP24" s="216"/>
      <c r="BQ24" s="206"/>
      <c r="BR24" s="163"/>
      <c r="BS24" s="216"/>
      <c r="BT24" s="206"/>
      <c r="BU24" s="163"/>
      <c r="BV24" s="216"/>
      <c r="BW24" s="206"/>
      <c r="BX24" s="163"/>
      <c r="BY24" s="216"/>
      <c r="BZ24" s="206"/>
      <c r="CA24" s="163"/>
      <c r="CB24" s="216"/>
      <c r="CC24" s="207"/>
      <c r="CD24" s="163"/>
      <c r="CE24" s="216"/>
      <c r="CF24" s="206"/>
      <c r="CG24" s="163"/>
      <c r="CH24" s="216"/>
      <c r="CI24" s="206"/>
      <c r="CJ24" s="163"/>
      <c r="CK24" s="216"/>
      <c r="CL24" s="206"/>
      <c r="CM24" s="163"/>
      <c r="CN24" s="216"/>
      <c r="CO24" s="206"/>
      <c r="CP24" s="163"/>
      <c r="CQ24" s="216"/>
      <c r="CR24" s="206"/>
      <c r="CS24" s="163"/>
      <c r="CT24" s="216"/>
      <c r="CU24" s="206"/>
      <c r="CV24" s="163">
        <v>214.14</v>
      </c>
      <c r="CW24" s="216">
        <v>35.81</v>
      </c>
      <c r="CX24" s="206" t="s">
        <v>1148</v>
      </c>
      <c r="CY24" s="163"/>
      <c r="CZ24" s="216"/>
      <c r="DA24" s="206"/>
      <c r="DB24" s="162"/>
      <c r="DC24" s="176"/>
    </row>
    <row r="25" spans="1:107" s="4" customFormat="1" ht="21.95" customHeight="1" thickBot="1" x14ac:dyDescent="0.25">
      <c r="A25" s="165" t="s">
        <v>1058</v>
      </c>
      <c r="B25" s="159" t="s">
        <v>16</v>
      </c>
      <c r="C25" s="159" t="s">
        <v>1131</v>
      </c>
      <c r="D25" s="159" t="s">
        <v>6</v>
      </c>
      <c r="E25" s="162">
        <v>31541</v>
      </c>
      <c r="F25" s="162">
        <v>33470</v>
      </c>
      <c r="G25" s="158">
        <f t="shared" si="0"/>
        <v>1929</v>
      </c>
      <c r="H25" s="161">
        <f t="shared" si="9"/>
        <v>480.74</v>
      </c>
      <c r="I25" s="138">
        <f t="shared" si="2"/>
        <v>2</v>
      </c>
      <c r="J25" s="157">
        <f t="shared" si="3"/>
        <v>0</v>
      </c>
      <c r="K25" s="138">
        <f t="shared" si="4"/>
        <v>2</v>
      </c>
      <c r="L25" s="159" t="s">
        <v>82</v>
      </c>
      <c r="M25" s="163"/>
      <c r="N25" s="216"/>
      <c r="O25" s="206"/>
      <c r="P25" s="163"/>
      <c r="Q25" s="216"/>
      <c r="R25" s="206"/>
      <c r="S25" s="163">
        <v>232.54</v>
      </c>
      <c r="T25" s="216">
        <v>29.82</v>
      </c>
      <c r="U25" s="206" t="s">
        <v>511</v>
      </c>
      <c r="V25" s="163"/>
      <c r="W25" s="216"/>
      <c r="X25" s="206"/>
      <c r="Y25" s="163"/>
      <c r="Z25" s="216"/>
      <c r="AA25" s="206"/>
      <c r="AB25" s="163"/>
      <c r="AC25" s="216"/>
      <c r="AD25" s="206"/>
      <c r="AE25" s="163"/>
      <c r="AF25" s="162"/>
      <c r="AG25" s="206"/>
      <c r="AH25" s="163">
        <v>248.2</v>
      </c>
      <c r="AI25" s="216">
        <v>42.5</v>
      </c>
      <c r="AJ25" s="206" t="s">
        <v>511</v>
      </c>
      <c r="AK25" s="163"/>
      <c r="AL25" s="216"/>
      <c r="AM25" s="206"/>
      <c r="AN25" s="163"/>
      <c r="AO25" s="216"/>
      <c r="AP25" s="206"/>
      <c r="AQ25" s="163"/>
      <c r="AR25" s="216"/>
      <c r="AS25" s="206"/>
      <c r="AT25" s="163"/>
      <c r="AU25" s="216"/>
      <c r="AV25" s="206"/>
      <c r="AW25" s="163"/>
      <c r="AX25" s="216"/>
      <c r="AY25" s="206"/>
      <c r="AZ25" s="163"/>
      <c r="BA25" s="216"/>
      <c r="BB25" s="206"/>
      <c r="BC25" s="163"/>
      <c r="BD25" s="216"/>
      <c r="BE25" s="206"/>
      <c r="BF25" s="163"/>
      <c r="BG25" s="216"/>
      <c r="BH25" s="206"/>
      <c r="BI25" s="163"/>
      <c r="BJ25" s="216"/>
      <c r="BK25" s="206"/>
      <c r="BL25" s="163"/>
      <c r="BM25" s="216"/>
      <c r="BN25" s="206"/>
      <c r="BO25" s="163"/>
      <c r="BP25" s="216"/>
      <c r="BQ25" s="206"/>
      <c r="BR25" s="163"/>
      <c r="BS25" s="216"/>
      <c r="BT25" s="206"/>
      <c r="BU25" s="163"/>
      <c r="BV25" s="216"/>
      <c r="BW25" s="207"/>
      <c r="BX25" s="163"/>
      <c r="BY25" s="216"/>
      <c r="BZ25" s="206"/>
      <c r="CA25" s="163"/>
      <c r="CB25" s="216"/>
      <c r="CC25" s="206"/>
      <c r="CD25" s="163"/>
      <c r="CE25" s="216"/>
      <c r="CF25" s="206"/>
      <c r="CG25" s="163"/>
      <c r="CH25" s="216"/>
      <c r="CI25" s="206"/>
      <c r="CJ25" s="163"/>
      <c r="CK25" s="216"/>
      <c r="CL25" s="206"/>
      <c r="CM25" s="163"/>
      <c r="CN25" s="216"/>
      <c r="CO25" s="206"/>
      <c r="CP25" s="163"/>
      <c r="CQ25" s="216"/>
      <c r="CR25" s="206"/>
      <c r="CS25" s="163"/>
      <c r="CT25" s="216"/>
      <c r="CU25" s="206"/>
      <c r="CV25" s="163"/>
      <c r="CW25" s="216"/>
      <c r="CX25" s="206"/>
      <c r="CY25" s="163"/>
      <c r="CZ25" s="216"/>
      <c r="DA25" s="206"/>
      <c r="DB25" s="162"/>
      <c r="DC25" s="176"/>
    </row>
    <row r="26" spans="1:107" s="12" customFormat="1" ht="21.95" customHeight="1" thickBot="1" x14ac:dyDescent="0.25">
      <c r="A26" s="168" t="s">
        <v>850</v>
      </c>
      <c r="B26" s="158" t="s">
        <v>51</v>
      </c>
      <c r="C26" s="158" t="s">
        <v>848</v>
      </c>
      <c r="D26" s="353" t="s">
        <v>6</v>
      </c>
      <c r="E26" s="169">
        <v>19990</v>
      </c>
      <c r="F26" s="169">
        <v>23199</v>
      </c>
      <c r="G26" s="158">
        <f t="shared" si="0"/>
        <v>3209</v>
      </c>
      <c r="H26" s="354">
        <f t="shared" si="9"/>
        <v>1198.49</v>
      </c>
      <c r="I26" s="157">
        <f t="shared" si="2"/>
        <v>7</v>
      </c>
      <c r="J26" s="157">
        <f t="shared" si="3"/>
        <v>7</v>
      </c>
      <c r="K26" s="157">
        <f t="shared" si="4"/>
        <v>0</v>
      </c>
      <c r="L26" s="158" t="s">
        <v>83</v>
      </c>
      <c r="M26" s="156"/>
      <c r="N26" s="219"/>
      <c r="O26" s="211"/>
      <c r="P26" s="156">
        <v>152.55000000000001</v>
      </c>
      <c r="Q26" s="219">
        <v>25.51</v>
      </c>
      <c r="R26" s="211" t="s">
        <v>1148</v>
      </c>
      <c r="S26" s="156"/>
      <c r="T26" s="219"/>
      <c r="U26" s="211"/>
      <c r="V26" s="156">
        <v>137.6</v>
      </c>
      <c r="W26" s="219">
        <v>23.01</v>
      </c>
      <c r="X26" s="211" t="s">
        <v>1148</v>
      </c>
      <c r="Y26" s="156"/>
      <c r="Z26" s="219"/>
      <c r="AA26" s="211"/>
      <c r="AB26" s="156"/>
      <c r="AC26" s="219"/>
      <c r="AD26" s="211"/>
      <c r="AE26" s="156"/>
      <c r="AF26" s="157"/>
      <c r="AG26" s="211"/>
      <c r="AH26" s="156"/>
      <c r="AI26" s="219"/>
      <c r="AJ26" s="211"/>
      <c r="AK26" s="156">
        <v>194.45</v>
      </c>
      <c r="AL26" s="219">
        <v>33.01</v>
      </c>
      <c r="AM26" s="211" t="s">
        <v>1148</v>
      </c>
      <c r="AN26" s="156"/>
      <c r="AO26" s="219"/>
      <c r="AP26" s="211"/>
      <c r="AQ26" s="156"/>
      <c r="AR26" s="219"/>
      <c r="AS26" s="211"/>
      <c r="AT26" s="156"/>
      <c r="AU26" s="219"/>
      <c r="AV26" s="211"/>
      <c r="AW26" s="156"/>
      <c r="AX26" s="219"/>
      <c r="AY26" s="211"/>
      <c r="AZ26" s="156">
        <v>147.16999999999999</v>
      </c>
      <c r="BA26" s="219">
        <v>24.61</v>
      </c>
      <c r="BB26" s="211" t="s">
        <v>1148</v>
      </c>
      <c r="BC26" s="156"/>
      <c r="BD26" s="219"/>
      <c r="BE26" s="211"/>
      <c r="BF26" s="156"/>
      <c r="BG26" s="219"/>
      <c r="BH26" s="211"/>
      <c r="BI26" s="156"/>
      <c r="BJ26" s="219"/>
      <c r="BK26" s="211"/>
      <c r="BL26" s="156">
        <v>198.35</v>
      </c>
      <c r="BM26" s="219">
        <v>33.159999999999997</v>
      </c>
      <c r="BN26" s="211" t="s">
        <v>1148</v>
      </c>
      <c r="BO26" s="156"/>
      <c r="BP26" s="219"/>
      <c r="BQ26" s="211"/>
      <c r="BR26" s="156"/>
      <c r="BS26" s="219"/>
      <c r="BT26" s="211"/>
      <c r="BU26" s="156">
        <v>156.66999999999999</v>
      </c>
      <c r="BV26" s="219">
        <v>26.19</v>
      </c>
      <c r="BW26" s="211" t="s">
        <v>1148</v>
      </c>
      <c r="BX26" s="156"/>
      <c r="BY26" s="219"/>
      <c r="BZ26" s="211"/>
      <c r="CA26" s="156"/>
      <c r="CB26" s="219"/>
      <c r="CC26" s="211"/>
      <c r="CD26" s="156">
        <v>211.7</v>
      </c>
      <c r="CE26" s="219">
        <v>35.58</v>
      </c>
      <c r="CF26" s="211" t="s">
        <v>1148</v>
      </c>
      <c r="CG26" s="156"/>
      <c r="CH26" s="219"/>
      <c r="CI26" s="211"/>
      <c r="CJ26" s="156"/>
      <c r="CK26" s="219"/>
      <c r="CL26" s="211"/>
      <c r="CM26" s="156"/>
      <c r="CN26" s="219"/>
      <c r="CO26" s="211"/>
      <c r="CP26" s="156"/>
      <c r="CQ26" s="219"/>
      <c r="CR26" s="211"/>
      <c r="CS26" s="156"/>
      <c r="CT26" s="219"/>
      <c r="CU26" s="211"/>
      <c r="CV26" s="156"/>
      <c r="CW26" s="219"/>
      <c r="CX26" s="211"/>
      <c r="CY26" s="156"/>
      <c r="CZ26" s="219"/>
      <c r="DA26" s="211"/>
      <c r="DB26" s="157"/>
      <c r="DC26" s="175"/>
    </row>
    <row r="27" spans="1:107" s="12" customFormat="1" ht="21.95" customHeight="1" thickBot="1" x14ac:dyDescent="0.25">
      <c r="A27" s="165" t="s">
        <v>1046</v>
      </c>
      <c r="B27" s="159" t="s">
        <v>7</v>
      </c>
      <c r="C27" s="161" t="s">
        <v>1043</v>
      </c>
      <c r="D27" s="159" t="s">
        <v>6</v>
      </c>
      <c r="E27" s="162">
        <v>11150</v>
      </c>
      <c r="F27" s="162">
        <v>13674</v>
      </c>
      <c r="G27" s="159">
        <f t="shared" si="0"/>
        <v>2524</v>
      </c>
      <c r="H27" s="161">
        <f t="shared" si="9"/>
        <v>951.99</v>
      </c>
      <c r="I27" s="138">
        <f t="shared" si="2"/>
        <v>6</v>
      </c>
      <c r="J27" s="157">
        <f t="shared" si="3"/>
        <v>6</v>
      </c>
      <c r="K27" s="138">
        <f t="shared" si="4"/>
        <v>0</v>
      </c>
      <c r="L27" s="159" t="s">
        <v>83</v>
      </c>
      <c r="M27" s="163"/>
      <c r="N27" s="216"/>
      <c r="O27" s="206"/>
      <c r="P27" s="163"/>
      <c r="Q27" s="216"/>
      <c r="R27" s="206"/>
      <c r="S27" s="163"/>
      <c r="T27" s="216"/>
      <c r="U27" s="206"/>
      <c r="V27" s="163">
        <v>153.09</v>
      </c>
      <c r="W27" s="216">
        <v>25.06</v>
      </c>
      <c r="X27" s="206" t="s">
        <v>1148</v>
      </c>
      <c r="Y27" s="163"/>
      <c r="Z27" s="216"/>
      <c r="AA27" s="206"/>
      <c r="AB27" s="163"/>
      <c r="AC27" s="216"/>
      <c r="AD27" s="206"/>
      <c r="AE27" s="163"/>
      <c r="AF27" s="162"/>
      <c r="AG27" s="206"/>
      <c r="AH27" s="163"/>
      <c r="AI27" s="216"/>
      <c r="AJ27" s="206"/>
      <c r="AK27" s="163"/>
      <c r="AL27" s="216"/>
      <c r="AM27" s="206"/>
      <c r="AN27" s="163"/>
      <c r="AO27" s="216"/>
      <c r="AP27" s="206"/>
      <c r="AQ27" s="163">
        <v>162.30000000000001</v>
      </c>
      <c r="AR27" s="216">
        <v>27.14</v>
      </c>
      <c r="AS27" s="206" t="s">
        <v>1148</v>
      </c>
      <c r="AT27" s="163"/>
      <c r="AU27" s="216"/>
      <c r="AV27" s="206"/>
      <c r="AW27" s="163"/>
      <c r="AX27" s="216"/>
      <c r="AY27" s="206"/>
      <c r="AZ27" s="163"/>
      <c r="BA27" s="216"/>
      <c r="BB27" s="206"/>
      <c r="BC27" s="163"/>
      <c r="BD27" s="216"/>
      <c r="BE27" s="206"/>
      <c r="BF27" s="163"/>
      <c r="BG27" s="216"/>
      <c r="BH27" s="206"/>
      <c r="BI27" s="163"/>
      <c r="BJ27" s="216"/>
      <c r="BK27" s="206"/>
      <c r="BL27" s="163">
        <v>131.56</v>
      </c>
      <c r="BM27" s="216">
        <v>22.06</v>
      </c>
      <c r="BN27" s="206" t="s">
        <v>1148</v>
      </c>
      <c r="BO27" s="163"/>
      <c r="BP27" s="216"/>
      <c r="BQ27" s="206"/>
      <c r="BR27" s="163"/>
      <c r="BS27" s="216"/>
      <c r="BT27" s="206"/>
      <c r="BU27" s="163"/>
      <c r="BV27" s="216"/>
      <c r="BW27" s="207"/>
      <c r="BX27" s="163">
        <v>174.02</v>
      </c>
      <c r="BY27" s="216">
        <v>29.1</v>
      </c>
      <c r="BZ27" s="206" t="s">
        <v>1148</v>
      </c>
      <c r="CA27" s="163"/>
      <c r="CB27" s="216"/>
      <c r="CC27" s="206"/>
      <c r="CD27" s="163"/>
      <c r="CE27" s="216"/>
      <c r="CF27" s="206"/>
      <c r="CG27" s="156">
        <v>127.05</v>
      </c>
      <c r="CH27" s="219">
        <v>21.35</v>
      </c>
      <c r="CI27" s="211" t="s">
        <v>1148</v>
      </c>
      <c r="CJ27" s="163"/>
      <c r="CK27" s="216"/>
      <c r="CL27" s="206"/>
      <c r="CM27" s="163"/>
      <c r="CN27" s="216"/>
      <c r="CO27" s="206"/>
      <c r="CP27" s="163"/>
      <c r="CQ27" s="216"/>
      <c r="CR27" s="206"/>
      <c r="CS27" s="163"/>
      <c r="CT27" s="216"/>
      <c r="CU27" s="206"/>
      <c r="CV27" s="163">
        <v>203.97</v>
      </c>
      <c r="CW27" s="216">
        <v>34.28</v>
      </c>
      <c r="CX27" s="206" t="s">
        <v>1148</v>
      </c>
      <c r="CY27" s="163"/>
      <c r="CZ27" s="216"/>
      <c r="DA27" s="206"/>
      <c r="DB27" s="162"/>
      <c r="DC27" s="176"/>
    </row>
    <row r="28" spans="1:107" s="12" customFormat="1" ht="21.95" customHeight="1" thickBot="1" x14ac:dyDescent="0.25">
      <c r="A28" s="165" t="s">
        <v>999</v>
      </c>
      <c r="B28" s="159" t="s">
        <v>7</v>
      </c>
      <c r="C28" s="159" t="s">
        <v>1044</v>
      </c>
      <c r="D28" s="159" t="s">
        <v>6</v>
      </c>
      <c r="E28" s="162">
        <v>9249</v>
      </c>
      <c r="F28" s="162">
        <v>12145</v>
      </c>
      <c r="G28" s="159">
        <f t="shared" si="0"/>
        <v>2896</v>
      </c>
      <c r="H28" s="161">
        <f t="shared" si="9"/>
        <v>1133.25</v>
      </c>
      <c r="I28" s="138">
        <f t="shared" si="2"/>
        <v>5</v>
      </c>
      <c r="J28" s="157">
        <f t="shared" si="3"/>
        <v>5</v>
      </c>
      <c r="K28" s="138">
        <f t="shared" ref="K28:K40" si="10">COUNTIF(N28:DD28,"POSTO VIP")</f>
        <v>0</v>
      </c>
      <c r="L28" s="159" t="s">
        <v>83</v>
      </c>
      <c r="M28" s="139"/>
      <c r="N28" s="217"/>
      <c r="O28" s="207"/>
      <c r="P28" s="139"/>
      <c r="Q28" s="217"/>
      <c r="R28" s="207"/>
      <c r="S28" s="139"/>
      <c r="T28" s="217"/>
      <c r="U28" s="207"/>
      <c r="V28" s="139"/>
      <c r="W28" s="217"/>
      <c r="X28" s="207"/>
      <c r="Y28" s="139"/>
      <c r="Z28" s="217"/>
      <c r="AA28" s="207"/>
      <c r="AB28" s="139"/>
      <c r="AC28" s="217"/>
      <c r="AD28" s="207"/>
      <c r="AE28" s="139">
        <v>227.24</v>
      </c>
      <c r="AF28" s="138">
        <v>38</v>
      </c>
      <c r="AG28" s="207" t="s">
        <v>1148</v>
      </c>
      <c r="AH28" s="139"/>
      <c r="AI28" s="217"/>
      <c r="AJ28" s="207"/>
      <c r="AK28" s="139"/>
      <c r="AL28" s="217"/>
      <c r="AM28" s="207"/>
      <c r="AN28" s="139"/>
      <c r="AO28" s="217"/>
      <c r="AP28" s="207"/>
      <c r="AQ28" s="139"/>
      <c r="AR28" s="217"/>
      <c r="AS28" s="207"/>
      <c r="AT28" s="139"/>
      <c r="AU28" s="217"/>
      <c r="AV28" s="207"/>
      <c r="AW28" s="139"/>
      <c r="AX28" s="217"/>
      <c r="AY28" s="207"/>
      <c r="AZ28" s="139">
        <v>248.7</v>
      </c>
      <c r="BA28" s="217">
        <v>41.588999999999999</v>
      </c>
      <c r="BB28" s="207" t="s">
        <v>1148</v>
      </c>
      <c r="BC28" s="139"/>
      <c r="BD28" s="217"/>
      <c r="BE28" s="207"/>
      <c r="BF28" s="139">
        <v>191.48</v>
      </c>
      <c r="BG28" s="217">
        <v>32.020000000000003</v>
      </c>
      <c r="BH28" s="207" t="s">
        <v>1148</v>
      </c>
      <c r="BI28" s="139"/>
      <c r="BJ28" s="217"/>
      <c r="BK28" s="207"/>
      <c r="BL28" s="139">
        <v>215.93</v>
      </c>
      <c r="BM28" s="217">
        <v>36.11</v>
      </c>
      <c r="BN28" s="207" t="s">
        <v>1148</v>
      </c>
      <c r="BO28" s="139"/>
      <c r="BP28" s="217"/>
      <c r="BQ28" s="207"/>
      <c r="BR28" s="139"/>
      <c r="BS28" s="217"/>
      <c r="BT28" s="207"/>
      <c r="BU28" s="139"/>
      <c r="BV28" s="217"/>
      <c r="BW28" s="207"/>
      <c r="BX28" s="139"/>
      <c r="BY28" s="217"/>
      <c r="BZ28" s="207"/>
      <c r="CA28" s="139"/>
      <c r="CB28" s="217"/>
      <c r="CC28" s="207"/>
      <c r="CD28" s="139"/>
      <c r="CE28" s="217"/>
      <c r="CF28" s="207"/>
      <c r="CG28" s="139"/>
      <c r="CH28" s="217"/>
      <c r="CI28" s="207"/>
      <c r="CJ28" s="139"/>
      <c r="CK28" s="217"/>
      <c r="CL28" s="207"/>
      <c r="CM28" s="139"/>
      <c r="CN28" s="217"/>
      <c r="CO28" s="207"/>
      <c r="CP28" s="139">
        <v>249.9</v>
      </c>
      <c r="CQ28" s="217">
        <v>42</v>
      </c>
      <c r="CR28" s="206" t="s">
        <v>1148</v>
      </c>
      <c r="CS28" s="139"/>
      <c r="CT28" s="217"/>
      <c r="CU28" s="207"/>
      <c r="CV28" s="139"/>
      <c r="CW28" s="217"/>
      <c r="CX28" s="207"/>
      <c r="CY28" s="139"/>
      <c r="CZ28" s="217"/>
      <c r="DA28" s="207"/>
      <c r="DB28" s="138"/>
      <c r="DC28" s="176"/>
    </row>
    <row r="29" spans="1:107" s="12" customFormat="1" ht="21.95" customHeight="1" thickBot="1" x14ac:dyDescent="0.25">
      <c r="A29" s="168" t="s">
        <v>850</v>
      </c>
      <c r="B29" s="158" t="s">
        <v>51</v>
      </c>
      <c r="C29" s="158" t="s">
        <v>848</v>
      </c>
      <c r="D29" s="353" t="s">
        <v>6</v>
      </c>
      <c r="E29" s="169">
        <v>23199</v>
      </c>
      <c r="F29" s="169">
        <v>25593</v>
      </c>
      <c r="G29" s="158">
        <f t="shared" si="0"/>
        <v>2394</v>
      </c>
      <c r="H29" s="354">
        <f t="shared" si="9"/>
        <v>794.44</v>
      </c>
      <c r="I29" s="157">
        <f t="shared" si="2"/>
        <v>5</v>
      </c>
      <c r="J29" s="157">
        <f t="shared" si="3"/>
        <v>4</v>
      </c>
      <c r="K29" s="157">
        <f t="shared" si="10"/>
        <v>1</v>
      </c>
      <c r="L29" s="158" t="s">
        <v>84</v>
      </c>
      <c r="M29" s="156"/>
      <c r="N29" s="219"/>
      <c r="O29" s="211"/>
      <c r="P29" s="156"/>
      <c r="Q29" s="219"/>
      <c r="R29" s="211"/>
      <c r="S29" s="156"/>
      <c r="T29" s="219"/>
      <c r="U29" s="211"/>
      <c r="V29" s="156"/>
      <c r="W29" s="219"/>
      <c r="X29" s="211"/>
      <c r="Y29" s="156"/>
      <c r="Z29" s="219"/>
      <c r="AA29" s="211"/>
      <c r="AB29" s="156"/>
      <c r="AC29" s="219"/>
      <c r="AD29" s="211"/>
      <c r="AE29" s="156"/>
      <c r="AF29" s="157"/>
      <c r="AG29" s="211"/>
      <c r="AH29" s="156"/>
      <c r="AI29" s="219"/>
      <c r="AJ29" s="211"/>
      <c r="AK29" s="156"/>
      <c r="AL29" s="219"/>
      <c r="AM29" s="211"/>
      <c r="AN29" s="156"/>
      <c r="AO29" s="219"/>
      <c r="AP29" s="211"/>
      <c r="AQ29" s="156"/>
      <c r="AR29" s="219"/>
      <c r="AS29" s="211"/>
      <c r="AT29" s="156">
        <v>193.08</v>
      </c>
      <c r="AU29" s="219">
        <v>32.450000000000003</v>
      </c>
      <c r="AV29" s="211" t="s">
        <v>1148</v>
      </c>
      <c r="AW29" s="156"/>
      <c r="AX29" s="219"/>
      <c r="AY29" s="211"/>
      <c r="AZ29" s="156"/>
      <c r="BA29" s="219"/>
      <c r="BB29" s="211"/>
      <c r="BC29" s="156">
        <v>176.71</v>
      </c>
      <c r="BD29" s="219">
        <v>29.7</v>
      </c>
      <c r="BE29" s="211" t="s">
        <v>511</v>
      </c>
      <c r="BF29" s="156"/>
      <c r="BG29" s="219"/>
      <c r="BH29" s="211"/>
      <c r="BI29" s="156"/>
      <c r="BJ29" s="219"/>
      <c r="BK29" s="211"/>
      <c r="BL29" s="156">
        <v>158.97999999999999</v>
      </c>
      <c r="BM29" s="219">
        <v>26.72</v>
      </c>
      <c r="BN29" s="211" t="s">
        <v>1148</v>
      </c>
      <c r="BO29" s="156">
        <v>140.84</v>
      </c>
      <c r="BP29" s="219">
        <v>23.67</v>
      </c>
      <c r="BQ29" s="211" t="s">
        <v>1148</v>
      </c>
      <c r="BR29" s="156"/>
      <c r="BS29" s="219"/>
      <c r="BT29" s="211"/>
      <c r="BU29" s="156"/>
      <c r="BV29" s="219"/>
      <c r="BW29" s="211"/>
      <c r="BX29" s="156">
        <v>124.83</v>
      </c>
      <c r="BY29" s="219">
        <v>20.98</v>
      </c>
      <c r="BZ29" s="211" t="s">
        <v>1148</v>
      </c>
      <c r="CA29" s="156"/>
      <c r="CB29" s="219"/>
      <c r="CC29" s="211"/>
      <c r="CD29" s="156"/>
      <c r="CE29" s="219"/>
      <c r="CF29" s="211"/>
      <c r="CG29" s="156"/>
      <c r="CH29" s="219"/>
      <c r="CI29" s="211"/>
      <c r="CJ29" s="156"/>
      <c r="CK29" s="219"/>
      <c r="CL29" s="211"/>
      <c r="CM29" s="156"/>
      <c r="CN29" s="219"/>
      <c r="CO29" s="211"/>
      <c r="CP29" s="156"/>
      <c r="CQ29" s="219"/>
      <c r="CR29" s="211"/>
      <c r="CS29" s="156"/>
      <c r="CT29" s="219"/>
      <c r="CU29" s="211"/>
      <c r="CV29" s="156"/>
      <c r="CW29" s="219"/>
      <c r="CX29" s="211"/>
      <c r="CY29" s="156"/>
      <c r="CZ29" s="219"/>
      <c r="DA29" s="211"/>
      <c r="DB29" s="157"/>
      <c r="DC29" s="175"/>
    </row>
    <row r="30" spans="1:107" s="12" customFormat="1" ht="21.95" customHeight="1" thickBot="1" x14ac:dyDescent="0.25">
      <c r="A30" s="165" t="s">
        <v>1046</v>
      </c>
      <c r="B30" s="159" t="s">
        <v>7</v>
      </c>
      <c r="C30" s="161" t="s">
        <v>1043</v>
      </c>
      <c r="D30" s="159" t="s">
        <v>6</v>
      </c>
      <c r="E30" s="162">
        <v>13674</v>
      </c>
      <c r="F30" s="162">
        <v>16292</v>
      </c>
      <c r="G30" s="159">
        <f t="shared" si="0"/>
        <v>2618</v>
      </c>
      <c r="H30" s="161">
        <f t="shared" si="9"/>
        <v>1366.78</v>
      </c>
      <c r="I30" s="138">
        <f t="shared" si="2"/>
        <v>7</v>
      </c>
      <c r="J30" s="157">
        <f t="shared" si="3"/>
        <v>7</v>
      </c>
      <c r="K30" s="138">
        <f t="shared" si="10"/>
        <v>0</v>
      </c>
      <c r="L30" s="159" t="s">
        <v>84</v>
      </c>
      <c r="M30" s="163"/>
      <c r="N30" s="216"/>
      <c r="O30" s="206"/>
      <c r="P30" s="163"/>
      <c r="Q30" s="216"/>
      <c r="R30" s="206"/>
      <c r="S30" s="163"/>
      <c r="T30" s="216"/>
      <c r="U30" s="206"/>
      <c r="V30" s="163"/>
      <c r="W30" s="216"/>
      <c r="X30" s="206"/>
      <c r="Y30" s="163"/>
      <c r="Z30" s="216"/>
      <c r="AA30" s="206"/>
      <c r="AB30" s="163"/>
      <c r="AC30" s="216"/>
      <c r="AD30" s="206"/>
      <c r="AE30" s="163">
        <v>229.37</v>
      </c>
      <c r="AF30" s="162">
        <v>38.549999999999997</v>
      </c>
      <c r="AG30" s="206" t="s">
        <v>1148</v>
      </c>
      <c r="AH30" s="163"/>
      <c r="AI30" s="216"/>
      <c r="AJ30" s="206"/>
      <c r="AK30" s="163"/>
      <c r="AL30" s="216"/>
      <c r="AM30" s="206"/>
      <c r="AN30" s="163"/>
      <c r="AO30" s="216"/>
      <c r="AP30" s="206"/>
      <c r="AQ30" s="163"/>
      <c r="AR30" s="216"/>
      <c r="AS30" s="206"/>
      <c r="AT30" s="163"/>
      <c r="AU30" s="216"/>
      <c r="AV30" s="206"/>
      <c r="AW30" s="163">
        <v>202.66</v>
      </c>
      <c r="AX30" s="216">
        <v>34.06</v>
      </c>
      <c r="AY30" s="206" t="s">
        <v>1148</v>
      </c>
      <c r="AZ30" s="163"/>
      <c r="BA30" s="216"/>
      <c r="BB30" s="206"/>
      <c r="BC30" s="163"/>
      <c r="BD30" s="216"/>
      <c r="BE30" s="206"/>
      <c r="BF30" s="163"/>
      <c r="BG30" s="216"/>
      <c r="BH30" s="206"/>
      <c r="BI30" s="163"/>
      <c r="BJ30" s="216"/>
      <c r="BK30" s="206"/>
      <c r="BL30" s="163">
        <v>218.13</v>
      </c>
      <c r="BM30" s="216">
        <v>36.659999999999997</v>
      </c>
      <c r="BN30" s="206" t="s">
        <v>1148</v>
      </c>
      <c r="BO30" s="163"/>
      <c r="BP30" s="216"/>
      <c r="BQ30" s="206"/>
      <c r="BR30" s="163">
        <v>168.86</v>
      </c>
      <c r="BS30" s="216">
        <v>28.38</v>
      </c>
      <c r="BT30" s="206" t="s">
        <v>1148</v>
      </c>
      <c r="BU30" s="163"/>
      <c r="BV30" s="216"/>
      <c r="BW30" s="207"/>
      <c r="BX30" s="163">
        <v>169.16</v>
      </c>
      <c r="BY30" s="216">
        <v>28.43</v>
      </c>
      <c r="BZ30" s="206" t="s">
        <v>1148</v>
      </c>
      <c r="CA30" s="163"/>
      <c r="CB30" s="216"/>
      <c r="CC30" s="206"/>
      <c r="CD30" s="163"/>
      <c r="CE30" s="216"/>
      <c r="CF30" s="206"/>
      <c r="CG30" s="163"/>
      <c r="CH30" s="216"/>
      <c r="CI30" s="206"/>
      <c r="CJ30" s="163">
        <v>166.18</v>
      </c>
      <c r="CK30" s="216">
        <v>27.93</v>
      </c>
      <c r="CL30" s="206" t="s">
        <v>1148</v>
      </c>
      <c r="CM30" s="163">
        <v>212.42</v>
      </c>
      <c r="CN30" s="216">
        <v>35.701000000000001</v>
      </c>
      <c r="CO30" s="206" t="s">
        <v>1148</v>
      </c>
      <c r="CP30" s="163"/>
      <c r="CQ30" s="216"/>
      <c r="CR30" s="206"/>
      <c r="CS30" s="163"/>
      <c r="CT30" s="216"/>
      <c r="CU30" s="206"/>
      <c r="CV30" s="163"/>
      <c r="CW30" s="216"/>
      <c r="CX30" s="206"/>
      <c r="CY30" s="163"/>
      <c r="CZ30" s="216"/>
      <c r="DA30" s="206"/>
      <c r="DB30" s="162"/>
      <c r="DC30" s="176"/>
    </row>
    <row r="31" spans="1:107" s="12" customFormat="1" ht="21.95" customHeight="1" thickBot="1" x14ac:dyDescent="0.25">
      <c r="A31" s="165" t="s">
        <v>999</v>
      </c>
      <c r="B31" s="159" t="s">
        <v>7</v>
      </c>
      <c r="C31" s="159" t="s">
        <v>1044</v>
      </c>
      <c r="D31" s="159" t="s">
        <v>6</v>
      </c>
      <c r="E31" s="162">
        <v>12145</v>
      </c>
      <c r="F31" s="162">
        <v>15086</v>
      </c>
      <c r="G31" s="159">
        <f t="shared" si="0"/>
        <v>2941</v>
      </c>
      <c r="H31" s="161">
        <f t="shared" si="9"/>
        <v>627.29</v>
      </c>
      <c r="I31" s="138">
        <f t="shared" si="2"/>
        <v>3</v>
      </c>
      <c r="J31" s="157">
        <f t="shared" si="3"/>
        <v>3</v>
      </c>
      <c r="K31" s="138">
        <f t="shared" si="10"/>
        <v>0</v>
      </c>
      <c r="L31" s="159" t="s">
        <v>84</v>
      </c>
      <c r="M31" s="139">
        <v>102.45</v>
      </c>
      <c r="N31" s="217">
        <v>17.21</v>
      </c>
      <c r="O31" s="207" t="s">
        <v>1148</v>
      </c>
      <c r="P31" s="139"/>
      <c r="Q31" s="217"/>
      <c r="R31" s="207"/>
      <c r="S31" s="139"/>
      <c r="T31" s="217"/>
      <c r="U31" s="207"/>
      <c r="V31" s="139"/>
      <c r="W31" s="217"/>
      <c r="X31" s="207"/>
      <c r="Y31" s="139"/>
      <c r="Z31" s="217"/>
      <c r="AA31" s="207"/>
      <c r="AB31" s="139"/>
      <c r="AC31" s="217"/>
      <c r="AD31" s="207"/>
      <c r="AE31" s="139"/>
      <c r="AF31" s="138"/>
      <c r="AG31" s="207"/>
      <c r="AH31" s="139"/>
      <c r="AI31" s="217"/>
      <c r="AJ31" s="207"/>
      <c r="AK31" s="139"/>
      <c r="AL31" s="217"/>
      <c r="AM31" s="207"/>
      <c r="AN31" s="139"/>
      <c r="AO31" s="217"/>
      <c r="AP31" s="207"/>
      <c r="AQ31" s="139"/>
      <c r="AR31" s="217"/>
      <c r="AS31" s="207"/>
      <c r="AT31" s="139"/>
      <c r="AU31" s="217"/>
      <c r="AV31" s="207"/>
      <c r="AW31" s="139"/>
      <c r="AX31" s="217"/>
      <c r="AY31" s="207"/>
      <c r="AZ31" s="139"/>
      <c r="BA31" s="217"/>
      <c r="BB31" s="207"/>
      <c r="BC31" s="139"/>
      <c r="BD31" s="217"/>
      <c r="BE31" s="207"/>
      <c r="BF31" s="139"/>
      <c r="BG31" s="217"/>
      <c r="BH31" s="207"/>
      <c r="BI31" s="139"/>
      <c r="BJ31" s="217"/>
      <c r="BK31" s="207"/>
      <c r="BL31" s="139">
        <v>262.14999999999998</v>
      </c>
      <c r="BM31" s="217">
        <v>44.06</v>
      </c>
      <c r="BN31" s="207" t="s">
        <v>1148</v>
      </c>
      <c r="BO31" s="139"/>
      <c r="BP31" s="217"/>
      <c r="BQ31" s="207"/>
      <c r="BR31" s="139"/>
      <c r="BS31" s="217"/>
      <c r="BT31" s="207"/>
      <c r="BU31" s="139"/>
      <c r="BV31" s="217"/>
      <c r="BW31" s="207"/>
      <c r="BX31" s="139"/>
      <c r="BY31" s="217"/>
      <c r="BZ31" s="207"/>
      <c r="CA31" s="139"/>
      <c r="CB31" s="217"/>
      <c r="CC31" s="207"/>
      <c r="CD31" s="139"/>
      <c r="CE31" s="217"/>
      <c r="CF31" s="207"/>
      <c r="CG31" s="139"/>
      <c r="CH31" s="217"/>
      <c r="CI31" s="207"/>
      <c r="CJ31" s="139"/>
      <c r="CK31" s="217"/>
      <c r="CL31" s="207"/>
      <c r="CM31" s="139"/>
      <c r="CN31" s="217"/>
      <c r="CO31" s="207"/>
      <c r="CP31" s="139"/>
      <c r="CQ31" s="217"/>
      <c r="CR31" s="206"/>
      <c r="CS31" s="139">
        <v>262.69</v>
      </c>
      <c r="CT31" s="217">
        <v>43.42</v>
      </c>
      <c r="CU31" s="207" t="s">
        <v>1148</v>
      </c>
      <c r="CV31" s="139"/>
      <c r="CW31" s="217"/>
      <c r="CX31" s="207"/>
      <c r="CY31" s="139"/>
      <c r="CZ31" s="217"/>
      <c r="DA31" s="207"/>
      <c r="DB31" s="138"/>
      <c r="DC31" s="176"/>
    </row>
    <row r="32" spans="1:107" s="12" customFormat="1" ht="21.95" customHeight="1" thickBot="1" x14ac:dyDescent="0.25">
      <c r="A32" s="168" t="s">
        <v>850</v>
      </c>
      <c r="B32" s="158" t="s">
        <v>51</v>
      </c>
      <c r="C32" s="158" t="s">
        <v>848</v>
      </c>
      <c r="D32" s="353" t="s">
        <v>6</v>
      </c>
      <c r="E32" s="169">
        <v>25593</v>
      </c>
      <c r="F32" s="169">
        <v>28640</v>
      </c>
      <c r="G32" s="158">
        <f t="shared" si="0"/>
        <v>3047</v>
      </c>
      <c r="H32" s="354">
        <f t="shared" si="9"/>
        <v>1273.04</v>
      </c>
      <c r="I32" s="157">
        <f t="shared" si="2"/>
        <v>7</v>
      </c>
      <c r="J32" s="157">
        <f t="shared" si="3"/>
        <v>7</v>
      </c>
      <c r="K32" s="157">
        <f t="shared" si="10"/>
        <v>0</v>
      </c>
      <c r="L32" s="158" t="s">
        <v>73</v>
      </c>
      <c r="M32" s="156"/>
      <c r="N32" s="219"/>
      <c r="O32" s="211"/>
      <c r="P32" s="156">
        <v>177.99</v>
      </c>
      <c r="Q32" s="219">
        <v>29.42</v>
      </c>
      <c r="R32" s="211" t="s">
        <v>1148</v>
      </c>
      <c r="S32" s="156"/>
      <c r="T32" s="219"/>
      <c r="U32" s="211"/>
      <c r="V32" s="156"/>
      <c r="W32" s="219"/>
      <c r="X32" s="211"/>
      <c r="Y32" s="156">
        <v>187.08</v>
      </c>
      <c r="Z32" s="219">
        <v>30.72</v>
      </c>
      <c r="AA32" s="211" t="s">
        <v>1148</v>
      </c>
      <c r="AB32" s="156"/>
      <c r="AC32" s="219"/>
      <c r="AD32" s="211"/>
      <c r="AE32" s="156"/>
      <c r="AF32" s="157"/>
      <c r="AG32" s="211"/>
      <c r="AH32" s="156"/>
      <c r="AI32" s="219"/>
      <c r="AJ32" s="211"/>
      <c r="AK32" s="156"/>
      <c r="AL32" s="219"/>
      <c r="AM32" s="211"/>
      <c r="AN32" s="156">
        <v>171.1</v>
      </c>
      <c r="AO32" s="219">
        <v>27.42</v>
      </c>
      <c r="AP32" s="211" t="s">
        <v>1148</v>
      </c>
      <c r="AQ32" s="156"/>
      <c r="AR32" s="219"/>
      <c r="AS32" s="211"/>
      <c r="AT32" s="156"/>
      <c r="AU32" s="219"/>
      <c r="AV32" s="211"/>
      <c r="AW32" s="156">
        <v>188.38</v>
      </c>
      <c r="AX32" s="219">
        <v>30.19</v>
      </c>
      <c r="AY32" s="211" t="s">
        <v>1148</v>
      </c>
      <c r="AZ32" s="156"/>
      <c r="BA32" s="219"/>
      <c r="BB32" s="211"/>
      <c r="BC32" s="156"/>
      <c r="BD32" s="219"/>
      <c r="BE32" s="211"/>
      <c r="BF32" s="156"/>
      <c r="BG32" s="219"/>
      <c r="BH32" s="211"/>
      <c r="BI32" s="156"/>
      <c r="BJ32" s="219"/>
      <c r="BK32" s="211"/>
      <c r="BL32" s="156"/>
      <c r="BM32" s="219"/>
      <c r="BN32" s="211"/>
      <c r="BO32" s="156">
        <v>202.49</v>
      </c>
      <c r="BP32" s="219">
        <v>32.451000000000001</v>
      </c>
      <c r="BQ32" s="211" t="s">
        <v>1148</v>
      </c>
      <c r="BR32" s="156"/>
      <c r="BS32" s="219"/>
      <c r="BT32" s="211"/>
      <c r="BU32" s="156"/>
      <c r="BV32" s="219"/>
      <c r="BW32" s="211"/>
      <c r="BX32" s="156"/>
      <c r="BY32" s="219"/>
      <c r="BZ32" s="211"/>
      <c r="CA32" s="156"/>
      <c r="CB32" s="219"/>
      <c r="CC32" s="211"/>
      <c r="CD32" s="156">
        <v>192.87</v>
      </c>
      <c r="CE32" s="219">
        <v>30.908999999999999</v>
      </c>
      <c r="CF32" s="211" t="s">
        <v>1148</v>
      </c>
      <c r="CG32" s="156"/>
      <c r="CH32" s="219"/>
      <c r="CI32" s="211"/>
      <c r="CJ32" s="156"/>
      <c r="CK32" s="219"/>
      <c r="CL32" s="211"/>
      <c r="CM32" s="156">
        <v>153.13</v>
      </c>
      <c r="CN32" s="219">
        <v>24.541</v>
      </c>
      <c r="CO32" s="211" t="s">
        <v>1148</v>
      </c>
      <c r="CP32" s="156"/>
      <c r="CQ32" s="219"/>
      <c r="CR32" s="211"/>
      <c r="CS32" s="156"/>
      <c r="CT32" s="219"/>
      <c r="CU32" s="211"/>
      <c r="CV32" s="156"/>
      <c r="CW32" s="219"/>
      <c r="CX32" s="211"/>
      <c r="CY32" s="156"/>
      <c r="CZ32" s="219"/>
      <c r="DA32" s="211"/>
      <c r="DB32" s="157"/>
      <c r="DC32" s="175"/>
    </row>
    <row r="33" spans="1:107" s="12" customFormat="1" ht="21.95" customHeight="1" thickBot="1" x14ac:dyDescent="0.25">
      <c r="A33" s="165" t="s">
        <v>1046</v>
      </c>
      <c r="B33" s="159" t="s">
        <v>7</v>
      </c>
      <c r="C33" s="161" t="s">
        <v>1043</v>
      </c>
      <c r="D33" s="159" t="s">
        <v>6</v>
      </c>
      <c r="E33" s="162">
        <v>16292</v>
      </c>
      <c r="F33" s="162">
        <v>18896</v>
      </c>
      <c r="G33" s="159">
        <f t="shared" si="0"/>
        <v>2604</v>
      </c>
      <c r="H33" s="161">
        <f t="shared" si="9"/>
        <v>1145.8999999999999</v>
      </c>
      <c r="I33" s="138">
        <f t="shared" si="2"/>
        <v>6</v>
      </c>
      <c r="J33" s="157">
        <f t="shared" si="3"/>
        <v>6</v>
      </c>
      <c r="K33" s="138">
        <f t="shared" si="10"/>
        <v>0</v>
      </c>
      <c r="L33" s="159" t="s">
        <v>73</v>
      </c>
      <c r="M33" s="163"/>
      <c r="N33" s="216"/>
      <c r="O33" s="206"/>
      <c r="P33" s="163">
        <v>200.26</v>
      </c>
      <c r="Q33" s="216">
        <v>33.100999999999999</v>
      </c>
      <c r="R33" s="206" t="s">
        <v>1148</v>
      </c>
      <c r="S33" s="163"/>
      <c r="T33" s="216"/>
      <c r="U33" s="206"/>
      <c r="V33" s="163"/>
      <c r="W33" s="216"/>
      <c r="X33" s="206"/>
      <c r="Y33" s="163"/>
      <c r="Z33" s="216"/>
      <c r="AA33" s="206"/>
      <c r="AB33" s="163">
        <v>189.79</v>
      </c>
      <c r="AC33" s="216">
        <v>30.710999999999999</v>
      </c>
      <c r="AD33" s="206" t="s">
        <v>1148</v>
      </c>
      <c r="AE33" s="163"/>
      <c r="AF33" s="162"/>
      <c r="AG33" s="206"/>
      <c r="AH33" s="163"/>
      <c r="AI33" s="216"/>
      <c r="AJ33" s="206"/>
      <c r="AK33" s="163"/>
      <c r="AL33" s="216"/>
      <c r="AM33" s="206"/>
      <c r="AN33" s="163"/>
      <c r="AO33" s="216"/>
      <c r="AP33" s="206"/>
      <c r="AQ33" s="163">
        <v>238.06</v>
      </c>
      <c r="AR33" s="216">
        <v>38.151000000000003</v>
      </c>
      <c r="AS33" s="206" t="s">
        <v>1148</v>
      </c>
      <c r="AT33" s="163"/>
      <c r="AU33" s="216"/>
      <c r="AV33" s="206"/>
      <c r="AW33" s="163">
        <v>102.27</v>
      </c>
      <c r="AX33" s="216">
        <v>16.39</v>
      </c>
      <c r="AY33" s="206" t="s">
        <v>1148</v>
      </c>
      <c r="AZ33" s="163"/>
      <c r="BA33" s="216"/>
      <c r="BB33" s="206"/>
      <c r="BC33" s="163"/>
      <c r="BD33" s="216"/>
      <c r="BE33" s="206"/>
      <c r="BF33" s="163"/>
      <c r="BG33" s="216"/>
      <c r="BH33" s="206"/>
      <c r="BI33" s="163"/>
      <c r="BJ33" s="216"/>
      <c r="BK33" s="206"/>
      <c r="BL33" s="163">
        <v>187.7</v>
      </c>
      <c r="BM33" s="216">
        <v>30.08</v>
      </c>
      <c r="BN33" s="206" t="s">
        <v>1148</v>
      </c>
      <c r="BO33" s="163"/>
      <c r="BP33" s="216"/>
      <c r="BQ33" s="206"/>
      <c r="BR33" s="163"/>
      <c r="BS33" s="216"/>
      <c r="BT33" s="206"/>
      <c r="BU33" s="163"/>
      <c r="BV33" s="216"/>
      <c r="BW33" s="207"/>
      <c r="BX33" s="163"/>
      <c r="BY33" s="216"/>
      <c r="BZ33" s="206"/>
      <c r="CA33" s="163"/>
      <c r="CB33" s="216"/>
      <c r="CC33" s="206"/>
      <c r="CD33" s="163">
        <v>227.82</v>
      </c>
      <c r="CE33" s="216">
        <v>36.51</v>
      </c>
      <c r="CF33" s="206" t="s">
        <v>1148</v>
      </c>
      <c r="CG33" s="163"/>
      <c r="CH33" s="216"/>
      <c r="CI33" s="206"/>
      <c r="CJ33" s="163"/>
      <c r="CK33" s="216"/>
      <c r="CL33" s="206"/>
      <c r="CM33" s="163"/>
      <c r="CN33" s="216"/>
      <c r="CO33" s="206"/>
      <c r="CP33" s="163"/>
      <c r="CQ33" s="216"/>
      <c r="CR33" s="206"/>
      <c r="CS33" s="163"/>
      <c r="CT33" s="216"/>
      <c r="CU33" s="206"/>
      <c r="CV33" s="163"/>
      <c r="CW33" s="216"/>
      <c r="CX33" s="206"/>
      <c r="CY33" s="163"/>
      <c r="CZ33" s="216"/>
      <c r="DA33" s="206"/>
      <c r="DB33" s="162"/>
      <c r="DC33" s="176"/>
    </row>
    <row r="34" spans="1:107" s="12" customFormat="1" ht="21.95" customHeight="1" thickBot="1" x14ac:dyDescent="0.25">
      <c r="A34" s="165" t="s">
        <v>999</v>
      </c>
      <c r="B34" s="159" t="s">
        <v>7</v>
      </c>
      <c r="C34" s="159" t="s">
        <v>1044</v>
      </c>
      <c r="D34" s="159" t="s">
        <v>6</v>
      </c>
      <c r="E34" s="162">
        <v>15086</v>
      </c>
      <c r="F34" s="162">
        <v>18851</v>
      </c>
      <c r="G34" s="159">
        <f t="shared" si="0"/>
        <v>3765</v>
      </c>
      <c r="H34" s="161">
        <f t="shared" si="9"/>
        <v>770.2</v>
      </c>
      <c r="I34" s="138">
        <f t="shared" si="2"/>
        <v>3</v>
      </c>
      <c r="J34" s="157">
        <f t="shared" si="3"/>
        <v>3</v>
      </c>
      <c r="K34" s="138">
        <f t="shared" si="10"/>
        <v>0</v>
      </c>
      <c r="L34" s="159" t="s">
        <v>73</v>
      </c>
      <c r="M34" s="139"/>
      <c r="N34" s="217"/>
      <c r="O34" s="207"/>
      <c r="P34" s="139"/>
      <c r="Q34" s="217"/>
      <c r="R34" s="207"/>
      <c r="S34" s="139"/>
      <c r="T34" s="217"/>
      <c r="U34" s="207"/>
      <c r="V34" s="139"/>
      <c r="W34" s="217"/>
      <c r="X34" s="207"/>
      <c r="Y34" s="139"/>
      <c r="Z34" s="217"/>
      <c r="AA34" s="207"/>
      <c r="AB34" s="139"/>
      <c r="AC34" s="217"/>
      <c r="AD34" s="207"/>
      <c r="AE34" s="139"/>
      <c r="AF34" s="138"/>
      <c r="AG34" s="207"/>
      <c r="AH34" s="139"/>
      <c r="AI34" s="217"/>
      <c r="AJ34" s="207"/>
      <c r="AK34" s="139">
        <v>249.6</v>
      </c>
      <c r="AL34" s="217">
        <v>40</v>
      </c>
      <c r="AM34" s="207" t="s">
        <v>1148</v>
      </c>
      <c r="AN34" s="139"/>
      <c r="AO34" s="217"/>
      <c r="AP34" s="207"/>
      <c r="AQ34" s="139"/>
      <c r="AR34" s="217"/>
      <c r="AS34" s="207"/>
      <c r="AT34" s="139"/>
      <c r="AU34" s="217"/>
      <c r="AV34" s="207"/>
      <c r="AW34" s="139"/>
      <c r="AX34" s="217"/>
      <c r="AY34" s="207"/>
      <c r="AZ34" s="139"/>
      <c r="BA34" s="217"/>
      <c r="BB34" s="207"/>
      <c r="BC34" s="139"/>
      <c r="BD34" s="217"/>
      <c r="BE34" s="207"/>
      <c r="BF34" s="139"/>
      <c r="BG34" s="217"/>
      <c r="BH34" s="207"/>
      <c r="BI34" s="139">
        <v>249.6</v>
      </c>
      <c r="BJ34" s="217">
        <v>40</v>
      </c>
      <c r="BK34" s="207" t="s">
        <v>1148</v>
      </c>
      <c r="BL34" s="139"/>
      <c r="BM34" s="217"/>
      <c r="BN34" s="207"/>
      <c r="BO34" s="139"/>
      <c r="BP34" s="217"/>
      <c r="BQ34" s="207"/>
      <c r="BR34" s="139"/>
      <c r="BS34" s="217"/>
      <c r="BT34" s="207"/>
      <c r="BU34" s="139"/>
      <c r="BV34" s="217"/>
      <c r="BW34" s="207"/>
      <c r="BX34" s="139"/>
      <c r="BY34" s="217"/>
      <c r="BZ34" s="207"/>
      <c r="CA34" s="139"/>
      <c r="CB34" s="217"/>
      <c r="CC34" s="207"/>
      <c r="CD34" s="139"/>
      <c r="CE34" s="217"/>
      <c r="CF34" s="207"/>
      <c r="CG34" s="139"/>
      <c r="CH34" s="217"/>
      <c r="CI34" s="207"/>
      <c r="CJ34" s="139"/>
      <c r="CK34" s="217"/>
      <c r="CL34" s="207"/>
      <c r="CM34" s="139"/>
      <c r="CN34" s="217"/>
      <c r="CO34" s="207"/>
      <c r="CP34" s="139"/>
      <c r="CQ34" s="217"/>
      <c r="CR34" s="206"/>
      <c r="CS34" s="139"/>
      <c r="CT34" s="217"/>
      <c r="CU34" s="207"/>
      <c r="CV34" s="139">
        <v>271</v>
      </c>
      <c r="CW34" s="217">
        <v>43.43</v>
      </c>
      <c r="CX34" s="207" t="s">
        <v>1148</v>
      </c>
      <c r="CY34" s="139"/>
      <c r="CZ34" s="217"/>
      <c r="DA34" s="207"/>
      <c r="DB34" s="138"/>
      <c r="DC34" s="176"/>
    </row>
    <row r="35" spans="1:107" s="12" customFormat="1" ht="21.95" customHeight="1" thickBot="1" x14ac:dyDescent="0.25">
      <c r="A35" s="168" t="s">
        <v>850</v>
      </c>
      <c r="B35" s="158" t="s">
        <v>51</v>
      </c>
      <c r="C35" s="158" t="s">
        <v>848</v>
      </c>
      <c r="D35" s="353" t="s">
        <v>6</v>
      </c>
      <c r="E35" s="169">
        <v>28640</v>
      </c>
      <c r="F35" s="169">
        <v>30643</v>
      </c>
      <c r="G35" s="158">
        <f t="shared" si="0"/>
        <v>2003</v>
      </c>
      <c r="H35" s="354">
        <f t="shared" si="9"/>
        <v>846.07999999999993</v>
      </c>
      <c r="I35" s="157">
        <f t="shared" si="2"/>
        <v>5</v>
      </c>
      <c r="J35" s="157">
        <f>COUNTIF(M35:DC35,"POSTO SANTA RITA")</f>
        <v>4</v>
      </c>
      <c r="K35" s="157">
        <f t="shared" si="10"/>
        <v>1</v>
      </c>
      <c r="L35" s="158" t="s">
        <v>74</v>
      </c>
      <c r="M35" s="156"/>
      <c r="N35" s="219"/>
      <c r="O35" s="211"/>
      <c r="P35" s="156">
        <v>188.26</v>
      </c>
      <c r="Q35" s="219">
        <v>30.17</v>
      </c>
      <c r="R35" s="206" t="s">
        <v>1148</v>
      </c>
      <c r="S35" s="156"/>
      <c r="T35" s="219"/>
      <c r="U35" s="211"/>
      <c r="V35" s="156"/>
      <c r="W35" s="219"/>
      <c r="X35" s="211"/>
      <c r="Y35" s="156"/>
      <c r="Z35" s="219"/>
      <c r="AA35" s="211"/>
      <c r="AB35" s="156"/>
      <c r="AC35" s="219"/>
      <c r="AD35" s="211"/>
      <c r="AE35" s="156">
        <v>193</v>
      </c>
      <c r="AF35" s="157">
        <v>30.93</v>
      </c>
      <c r="AG35" s="211" t="s">
        <v>1148</v>
      </c>
      <c r="AH35" s="156"/>
      <c r="AI35" s="219"/>
      <c r="AJ35" s="211"/>
      <c r="AK35" s="156"/>
      <c r="AL35" s="219"/>
      <c r="AM35" s="211"/>
      <c r="AN35" s="156"/>
      <c r="AO35" s="219"/>
      <c r="AP35" s="211"/>
      <c r="AQ35" s="156"/>
      <c r="AR35" s="219"/>
      <c r="AS35" s="211"/>
      <c r="AT35" s="156">
        <v>146.38999999999999</v>
      </c>
      <c r="AU35" s="219">
        <v>23.46</v>
      </c>
      <c r="AV35" s="211" t="s">
        <v>1148</v>
      </c>
      <c r="AW35" s="156"/>
      <c r="AX35" s="219"/>
      <c r="AY35" s="211"/>
      <c r="AZ35" s="156"/>
      <c r="BA35" s="219"/>
      <c r="BB35" s="211"/>
      <c r="BC35" s="156">
        <v>107.64</v>
      </c>
      <c r="BD35" s="219">
        <v>17.25</v>
      </c>
      <c r="BE35" s="206" t="s">
        <v>511</v>
      </c>
      <c r="BF35" s="156"/>
      <c r="BG35" s="219"/>
      <c r="BH35" s="211"/>
      <c r="BI35" s="156"/>
      <c r="BJ35" s="219"/>
      <c r="BK35" s="211"/>
      <c r="BL35" s="156"/>
      <c r="BM35" s="219"/>
      <c r="BN35" s="211"/>
      <c r="BO35" s="156"/>
      <c r="BP35" s="219"/>
      <c r="BQ35" s="211"/>
      <c r="BR35" s="156"/>
      <c r="BS35" s="219"/>
      <c r="BT35" s="211"/>
      <c r="BU35" s="156"/>
      <c r="BV35" s="219"/>
      <c r="BW35" s="211"/>
      <c r="BX35" s="156"/>
      <c r="BY35" s="219"/>
      <c r="BZ35" s="211"/>
      <c r="CA35" s="156"/>
      <c r="CB35" s="219"/>
      <c r="CC35" s="211"/>
      <c r="CD35" s="156"/>
      <c r="CE35" s="219"/>
      <c r="CF35" s="211"/>
      <c r="CG35" s="156"/>
      <c r="CH35" s="219"/>
      <c r="CI35" s="211"/>
      <c r="CJ35" s="156"/>
      <c r="CK35" s="219"/>
      <c r="CL35" s="211"/>
      <c r="CM35" s="156"/>
      <c r="CN35" s="219"/>
      <c r="CO35" s="211"/>
      <c r="CP35" s="156">
        <v>210.79</v>
      </c>
      <c r="CQ35" s="219">
        <v>33.78</v>
      </c>
      <c r="CR35" s="211" t="s">
        <v>1148</v>
      </c>
      <c r="CS35" s="156"/>
      <c r="CT35" s="219"/>
      <c r="CU35" s="211"/>
      <c r="CV35" s="156"/>
      <c r="CW35" s="219"/>
      <c r="CX35" s="211"/>
      <c r="CY35" s="156"/>
      <c r="CZ35" s="219"/>
      <c r="DA35" s="211"/>
      <c r="DB35" s="157"/>
      <c r="DC35" s="175"/>
    </row>
    <row r="36" spans="1:107" s="12" customFormat="1" ht="21.95" customHeight="1" thickBot="1" x14ac:dyDescent="0.25">
      <c r="A36" s="165" t="s">
        <v>1046</v>
      </c>
      <c r="B36" s="159" t="s">
        <v>7</v>
      </c>
      <c r="C36" s="161" t="s">
        <v>1043</v>
      </c>
      <c r="D36" s="159" t="s">
        <v>6</v>
      </c>
      <c r="E36" s="162">
        <v>18896</v>
      </c>
      <c r="F36" s="162">
        <v>20292</v>
      </c>
      <c r="G36" s="159">
        <f t="shared" si="0"/>
        <v>1396</v>
      </c>
      <c r="H36" s="161">
        <f t="shared" si="9"/>
        <v>932.31999999999994</v>
      </c>
      <c r="I36" s="138">
        <f t="shared" si="2"/>
        <v>5</v>
      </c>
      <c r="J36" s="157">
        <f t="shared" ref="J36:J37" si="11">COUNTIF(M36:DC36,"POSTO SANTA RITA")</f>
        <v>5</v>
      </c>
      <c r="K36" s="138">
        <f t="shared" si="10"/>
        <v>0</v>
      </c>
      <c r="L36" s="159" t="s">
        <v>74</v>
      </c>
      <c r="M36" s="163"/>
      <c r="N36" s="216"/>
      <c r="O36" s="206"/>
      <c r="P36" s="163"/>
      <c r="Q36" s="216"/>
      <c r="R36" s="206"/>
      <c r="S36" s="163">
        <v>219.77</v>
      </c>
      <c r="T36" s="216">
        <v>35.22</v>
      </c>
      <c r="U36" s="206" t="s">
        <v>1148</v>
      </c>
      <c r="V36" s="163"/>
      <c r="W36" s="216"/>
      <c r="X36" s="206"/>
      <c r="Y36" s="163"/>
      <c r="Z36" s="216"/>
      <c r="AA36" s="206"/>
      <c r="AB36" s="163"/>
      <c r="AC36" s="216"/>
      <c r="AD36" s="206"/>
      <c r="AE36" s="163"/>
      <c r="AF36" s="162"/>
      <c r="AG36" s="206"/>
      <c r="AH36" s="163"/>
      <c r="AI36" s="216"/>
      <c r="AJ36" s="206"/>
      <c r="AK36" s="163"/>
      <c r="AL36" s="216"/>
      <c r="AM36" s="206"/>
      <c r="AN36" s="163"/>
      <c r="AO36" s="216"/>
      <c r="AP36" s="206"/>
      <c r="AQ36" s="163"/>
      <c r="AR36" s="216"/>
      <c r="AS36" s="206"/>
      <c r="AT36" s="163">
        <v>244.11</v>
      </c>
      <c r="AU36" s="216">
        <v>39.119999999999997</v>
      </c>
      <c r="AV36" s="206" t="s">
        <v>1148</v>
      </c>
      <c r="AW36" s="163"/>
      <c r="AX36" s="216"/>
      <c r="AY36" s="206"/>
      <c r="AZ36" s="163"/>
      <c r="BA36" s="216"/>
      <c r="BB36" s="206"/>
      <c r="BC36" s="163"/>
      <c r="BD36" s="216"/>
      <c r="BE36" s="206"/>
      <c r="BF36" s="163">
        <v>94.41</v>
      </c>
      <c r="BG36" s="216">
        <v>15.13</v>
      </c>
      <c r="BH36" s="206" t="s">
        <v>1148</v>
      </c>
      <c r="BI36" s="163"/>
      <c r="BJ36" s="216"/>
      <c r="BK36" s="206"/>
      <c r="BL36" s="163"/>
      <c r="BM36" s="216"/>
      <c r="BN36" s="206"/>
      <c r="BO36" s="163"/>
      <c r="BP36" s="216"/>
      <c r="BQ36" s="206"/>
      <c r="BR36" s="163"/>
      <c r="BS36" s="216"/>
      <c r="BT36" s="206"/>
      <c r="BU36" s="163"/>
      <c r="BV36" s="216"/>
      <c r="BW36" s="207"/>
      <c r="BX36" s="163"/>
      <c r="BY36" s="216"/>
      <c r="BZ36" s="206"/>
      <c r="CA36" s="163"/>
      <c r="CB36" s="216"/>
      <c r="CC36" s="206"/>
      <c r="CD36" s="163">
        <v>140.03</v>
      </c>
      <c r="CE36" s="216">
        <v>22.44</v>
      </c>
      <c r="CF36" s="206" t="s">
        <v>1148</v>
      </c>
      <c r="CG36" s="163"/>
      <c r="CH36" s="216"/>
      <c r="CI36" s="206"/>
      <c r="CJ36" s="163"/>
      <c r="CK36" s="216"/>
      <c r="CL36" s="206"/>
      <c r="CM36" s="163"/>
      <c r="CN36" s="216"/>
      <c r="CO36" s="206"/>
      <c r="CP36" s="163"/>
      <c r="CQ36" s="216"/>
      <c r="CR36" s="206"/>
      <c r="CS36" s="163"/>
      <c r="CT36" s="216"/>
      <c r="CU36" s="206"/>
      <c r="CV36" s="163"/>
      <c r="CW36" s="216"/>
      <c r="CX36" s="206"/>
      <c r="CY36" s="163">
        <v>234</v>
      </c>
      <c r="CZ36" s="216">
        <v>37.5</v>
      </c>
      <c r="DA36" s="206" t="s">
        <v>1148</v>
      </c>
      <c r="DB36" s="162"/>
      <c r="DC36" s="176"/>
    </row>
    <row r="37" spans="1:107" s="12" customFormat="1" ht="21.95" customHeight="1" thickBot="1" x14ac:dyDescent="0.25">
      <c r="A37" s="165" t="s">
        <v>999</v>
      </c>
      <c r="B37" s="159" t="s">
        <v>7</v>
      </c>
      <c r="C37" s="159" t="s">
        <v>1044</v>
      </c>
      <c r="D37" s="159" t="s">
        <v>6</v>
      </c>
      <c r="E37" s="162">
        <v>18851</v>
      </c>
      <c r="F37" s="162">
        <v>22250</v>
      </c>
      <c r="G37" s="159">
        <f t="shared" si="0"/>
        <v>3399</v>
      </c>
      <c r="H37" s="161">
        <f t="shared" si="9"/>
        <v>1120.8700000000001</v>
      </c>
      <c r="I37" s="138">
        <f t="shared" si="2"/>
        <v>5</v>
      </c>
      <c r="J37" s="157">
        <f t="shared" si="11"/>
        <v>5</v>
      </c>
      <c r="K37" s="138">
        <f t="shared" si="10"/>
        <v>0</v>
      </c>
      <c r="L37" s="159" t="s">
        <v>74</v>
      </c>
      <c r="M37" s="139"/>
      <c r="N37" s="217"/>
      <c r="O37" s="207"/>
      <c r="P37" s="139"/>
      <c r="Q37" s="217"/>
      <c r="R37" s="207"/>
      <c r="S37" s="139">
        <v>215.4</v>
      </c>
      <c r="T37" s="217">
        <v>34.520000000000003</v>
      </c>
      <c r="U37" s="206" t="s">
        <v>1148</v>
      </c>
      <c r="V37" s="206"/>
      <c r="W37" s="217"/>
      <c r="X37" s="207"/>
      <c r="Y37" s="139"/>
      <c r="Z37" s="217"/>
      <c r="AA37" s="207"/>
      <c r="AB37" s="139"/>
      <c r="AC37" s="217"/>
      <c r="AD37" s="207"/>
      <c r="AE37" s="139"/>
      <c r="AF37" s="138"/>
      <c r="AG37" s="207"/>
      <c r="AH37" s="139"/>
      <c r="AI37" s="217"/>
      <c r="AJ37" s="207"/>
      <c r="AK37" s="139">
        <v>225.57</v>
      </c>
      <c r="AL37" s="217">
        <v>36.15</v>
      </c>
      <c r="AM37" s="207" t="s">
        <v>1148</v>
      </c>
      <c r="AN37" s="139"/>
      <c r="AO37" s="217"/>
      <c r="AP37" s="207"/>
      <c r="AQ37" s="139"/>
      <c r="AR37" s="217"/>
      <c r="AS37" s="207"/>
      <c r="AT37" s="139"/>
      <c r="AU37" s="217"/>
      <c r="AV37" s="207"/>
      <c r="AW37" s="139"/>
      <c r="AX37" s="217"/>
      <c r="AY37" s="207"/>
      <c r="AZ37" s="139"/>
      <c r="BA37" s="217"/>
      <c r="BB37" s="207"/>
      <c r="BC37" s="139"/>
      <c r="BD37" s="217"/>
      <c r="BE37" s="207"/>
      <c r="BF37" s="139">
        <v>245.6</v>
      </c>
      <c r="BG37" s="217">
        <v>39.35</v>
      </c>
      <c r="BH37" s="207" t="s">
        <v>1148</v>
      </c>
      <c r="BI37" s="139"/>
      <c r="BJ37" s="217"/>
      <c r="BK37" s="207"/>
      <c r="BL37" s="139"/>
      <c r="BM37" s="217"/>
      <c r="BN37" s="207"/>
      <c r="BO37" s="139"/>
      <c r="BP37" s="217"/>
      <c r="BQ37" s="207"/>
      <c r="BR37" s="139"/>
      <c r="BS37" s="217"/>
      <c r="BT37" s="207"/>
      <c r="BU37" s="139"/>
      <c r="BV37" s="217"/>
      <c r="BW37" s="207"/>
      <c r="BX37" s="139"/>
      <c r="BY37" s="217"/>
      <c r="BZ37" s="207"/>
      <c r="CA37" s="139">
        <v>242.11</v>
      </c>
      <c r="CB37" s="217">
        <v>38.799999999999997</v>
      </c>
      <c r="CC37" s="207" t="s">
        <v>1148</v>
      </c>
      <c r="CD37" s="139"/>
      <c r="CE37" s="217"/>
      <c r="CF37" s="207"/>
      <c r="CG37" s="139"/>
      <c r="CH37" s="217"/>
      <c r="CI37" s="207"/>
      <c r="CJ37" s="139"/>
      <c r="CK37" s="217"/>
      <c r="CL37" s="207"/>
      <c r="CM37" s="139"/>
      <c r="CN37" s="217"/>
      <c r="CO37" s="207"/>
      <c r="CP37" s="139"/>
      <c r="CQ37" s="217"/>
      <c r="CR37" s="206"/>
      <c r="CS37" s="139"/>
      <c r="CT37" s="217"/>
      <c r="CU37" s="207"/>
      <c r="CV37" s="139"/>
      <c r="CW37" s="217"/>
      <c r="CX37" s="207"/>
      <c r="CY37" s="139">
        <v>192.19</v>
      </c>
      <c r="CZ37" s="217">
        <v>30.8</v>
      </c>
      <c r="DA37" s="206" t="s">
        <v>1148</v>
      </c>
      <c r="DB37" s="138"/>
      <c r="DC37" s="176"/>
    </row>
    <row r="38" spans="1:107" s="12" customFormat="1" ht="21.95" customHeight="1" x14ac:dyDescent="0.2">
      <c r="A38" s="168" t="s">
        <v>850</v>
      </c>
      <c r="B38" s="158" t="s">
        <v>51</v>
      </c>
      <c r="C38" s="158" t="s">
        <v>848</v>
      </c>
      <c r="D38" s="353" t="s">
        <v>34</v>
      </c>
      <c r="E38" s="169">
        <v>30643</v>
      </c>
      <c r="F38" s="169">
        <v>32424</v>
      </c>
      <c r="G38" s="158">
        <f t="shared" si="0"/>
        <v>1781</v>
      </c>
      <c r="H38" s="354">
        <f t="shared" si="9"/>
        <v>660.74</v>
      </c>
      <c r="I38" s="157">
        <f t="shared" si="2"/>
        <v>4</v>
      </c>
      <c r="J38" s="157">
        <f t="shared" ref="J38:J40" si="12">COUNTIF(M38:DC38,"POSTO S. RITA")</f>
        <v>0</v>
      </c>
      <c r="K38" s="157">
        <f t="shared" si="10"/>
        <v>0</v>
      </c>
      <c r="L38" s="158" t="s">
        <v>75</v>
      </c>
      <c r="M38" s="156"/>
      <c r="N38" s="219"/>
      <c r="O38" s="211"/>
      <c r="P38" s="156"/>
      <c r="Q38" s="219"/>
      <c r="R38" s="211"/>
      <c r="S38" s="156"/>
      <c r="T38" s="219"/>
      <c r="U38" s="211"/>
      <c r="V38" s="156"/>
      <c r="W38" s="219"/>
      <c r="X38" s="211"/>
      <c r="Y38" s="156"/>
      <c r="Z38" s="219"/>
      <c r="AA38" s="211"/>
      <c r="AB38" s="156">
        <v>206.66</v>
      </c>
      <c r="AC38" s="219">
        <v>33.11</v>
      </c>
      <c r="AD38" s="211" t="s">
        <v>1148</v>
      </c>
      <c r="AE38" s="156"/>
      <c r="AF38" s="157"/>
      <c r="AG38" s="211"/>
      <c r="AH38" s="156"/>
      <c r="AI38" s="219"/>
      <c r="AJ38" s="211"/>
      <c r="AK38" s="156"/>
      <c r="AL38" s="219"/>
      <c r="AM38" s="211"/>
      <c r="AN38" s="156"/>
      <c r="AO38" s="219"/>
      <c r="AP38" s="211"/>
      <c r="AQ38" s="156">
        <v>230.88</v>
      </c>
      <c r="AR38" s="219">
        <v>37</v>
      </c>
      <c r="AS38" s="211" t="s">
        <v>1148</v>
      </c>
      <c r="AT38" s="156"/>
      <c r="AU38" s="219"/>
      <c r="AV38" s="211"/>
      <c r="AW38" s="156"/>
      <c r="AX38" s="219"/>
      <c r="AY38" s="211"/>
      <c r="AZ38" s="156"/>
      <c r="BA38" s="219"/>
      <c r="BB38" s="211"/>
      <c r="BC38" s="156"/>
      <c r="BD38" s="219"/>
      <c r="BE38" s="211"/>
      <c r="BF38" s="156"/>
      <c r="BG38" s="219"/>
      <c r="BH38" s="211"/>
      <c r="BI38" s="156">
        <v>153.19</v>
      </c>
      <c r="BJ38" s="219">
        <v>24.55</v>
      </c>
      <c r="BK38" s="211" t="s">
        <v>1148</v>
      </c>
      <c r="BL38" s="156"/>
      <c r="BM38" s="219"/>
      <c r="BN38" s="211"/>
      <c r="BO38" s="156">
        <v>70.010000000000005</v>
      </c>
      <c r="BP38" s="219">
        <v>11.22</v>
      </c>
      <c r="BQ38" s="211" t="s">
        <v>1148</v>
      </c>
      <c r="BR38" s="156"/>
      <c r="BS38" s="219"/>
      <c r="BT38" s="211"/>
      <c r="BU38" s="156"/>
      <c r="BV38" s="219"/>
      <c r="BW38" s="211"/>
      <c r="BX38" s="156"/>
      <c r="BY38" s="219"/>
      <c r="BZ38" s="211"/>
      <c r="CA38" s="156"/>
      <c r="CB38" s="219"/>
      <c r="CC38" s="211"/>
      <c r="CD38" s="156"/>
      <c r="CE38" s="219"/>
      <c r="CF38" s="211"/>
      <c r="CG38" s="156"/>
      <c r="CH38" s="219"/>
      <c r="CI38" s="211"/>
      <c r="CJ38" s="156"/>
      <c r="CK38" s="219"/>
      <c r="CL38" s="211"/>
      <c r="CM38" s="156"/>
      <c r="CN38" s="219"/>
      <c r="CO38" s="211"/>
      <c r="CP38" s="156"/>
      <c r="CQ38" s="219"/>
      <c r="CR38" s="211"/>
      <c r="CS38" s="156"/>
      <c r="CT38" s="219"/>
      <c r="CU38" s="211"/>
      <c r="CV38" s="156"/>
      <c r="CW38" s="219"/>
      <c r="CX38" s="211"/>
      <c r="CY38" s="156"/>
      <c r="CZ38" s="219"/>
      <c r="DA38" s="211"/>
      <c r="DB38" s="157"/>
      <c r="DC38" s="175"/>
    </row>
    <row r="39" spans="1:107" s="12" customFormat="1" ht="21.95" customHeight="1" x14ac:dyDescent="0.2">
      <c r="A39" s="165" t="s">
        <v>1046</v>
      </c>
      <c r="B39" s="159" t="s">
        <v>7</v>
      </c>
      <c r="C39" s="161" t="s">
        <v>1043</v>
      </c>
      <c r="D39" s="159" t="s">
        <v>34</v>
      </c>
      <c r="E39" s="162">
        <v>20292</v>
      </c>
      <c r="F39" s="162">
        <v>24366</v>
      </c>
      <c r="G39" s="159">
        <f t="shared" si="0"/>
        <v>4074</v>
      </c>
      <c r="H39" s="161">
        <f t="shared" si="9"/>
        <v>819.61</v>
      </c>
      <c r="I39" s="138">
        <f t="shared" si="2"/>
        <v>4</v>
      </c>
      <c r="J39" s="138">
        <f t="shared" si="12"/>
        <v>0</v>
      </c>
      <c r="K39" s="138">
        <f t="shared" si="10"/>
        <v>0</v>
      </c>
      <c r="L39" s="159" t="s">
        <v>75</v>
      </c>
      <c r="M39" s="163"/>
      <c r="N39" s="216"/>
      <c r="O39" s="206"/>
      <c r="P39" s="163"/>
      <c r="Q39" s="216"/>
      <c r="R39" s="206"/>
      <c r="S39" s="163"/>
      <c r="T39" s="216"/>
      <c r="U39" s="206"/>
      <c r="V39" s="163">
        <v>237.3</v>
      </c>
      <c r="W39" s="216">
        <v>38.020000000000003</v>
      </c>
      <c r="X39" s="206" t="s">
        <v>1148</v>
      </c>
      <c r="Y39" s="163"/>
      <c r="Z39" s="216"/>
      <c r="AA39" s="206"/>
      <c r="AB39" s="163"/>
      <c r="AC39" s="216"/>
      <c r="AD39" s="206"/>
      <c r="AE39" s="163"/>
      <c r="AF39" s="162"/>
      <c r="AG39" s="206"/>
      <c r="AH39" s="163"/>
      <c r="AI39" s="216"/>
      <c r="AJ39" s="206"/>
      <c r="AK39" s="163"/>
      <c r="AL39" s="216"/>
      <c r="AM39" s="206"/>
      <c r="AN39" s="163"/>
      <c r="AO39" s="216"/>
      <c r="AP39" s="206"/>
      <c r="AQ39" s="163"/>
      <c r="AR39" s="216"/>
      <c r="AS39" s="206"/>
      <c r="AT39" s="163"/>
      <c r="AU39" s="216"/>
      <c r="AV39" s="206"/>
      <c r="AW39" s="163"/>
      <c r="AX39" s="216"/>
      <c r="AY39" s="206"/>
      <c r="AZ39" s="163"/>
      <c r="BA39" s="216"/>
      <c r="BB39" s="206"/>
      <c r="BC39" s="163"/>
      <c r="BD39" s="216"/>
      <c r="BE39" s="206"/>
      <c r="BF39" s="163"/>
      <c r="BG39" s="216"/>
      <c r="BH39" s="206"/>
      <c r="BI39" s="163"/>
      <c r="BJ39" s="216"/>
      <c r="BK39" s="206"/>
      <c r="BL39" s="163">
        <v>222.21</v>
      </c>
      <c r="BM39" s="216">
        <v>35.61</v>
      </c>
      <c r="BN39" s="206" t="s">
        <v>1148</v>
      </c>
      <c r="BO39" s="163"/>
      <c r="BP39" s="216"/>
      <c r="BQ39" s="206"/>
      <c r="BR39" s="163"/>
      <c r="BS39" s="216"/>
      <c r="BT39" s="206"/>
      <c r="BU39" s="163">
        <v>150</v>
      </c>
      <c r="BV39" s="216">
        <v>24.04</v>
      </c>
      <c r="BW39" s="207" t="s">
        <v>1148</v>
      </c>
      <c r="BX39" s="163"/>
      <c r="BY39" s="216"/>
      <c r="BZ39" s="206"/>
      <c r="CA39" s="163"/>
      <c r="CB39" s="216"/>
      <c r="CC39" s="206"/>
      <c r="CD39" s="163"/>
      <c r="CE39" s="216"/>
      <c r="CF39" s="206"/>
      <c r="CG39" s="163"/>
      <c r="CH39" s="216"/>
      <c r="CI39" s="206"/>
      <c r="CJ39" s="163"/>
      <c r="CK39" s="216"/>
      <c r="CL39" s="206"/>
      <c r="CM39" s="163"/>
      <c r="CN39" s="216"/>
      <c r="CO39" s="206"/>
      <c r="CP39" s="163">
        <v>210.1</v>
      </c>
      <c r="CQ39" s="216">
        <v>33.67</v>
      </c>
      <c r="CR39" s="206" t="s">
        <v>1148</v>
      </c>
      <c r="CS39" s="163"/>
      <c r="CT39" s="216"/>
      <c r="CU39" s="206"/>
      <c r="CV39" s="163"/>
      <c r="CW39" s="216"/>
      <c r="CX39" s="206"/>
      <c r="CY39" s="163"/>
      <c r="CZ39" s="216"/>
      <c r="DA39" s="206"/>
      <c r="DB39" s="162"/>
      <c r="DC39" s="176"/>
    </row>
    <row r="40" spans="1:107" s="12" customFormat="1" ht="21.95" customHeight="1" x14ac:dyDescent="0.2">
      <c r="A40" s="165" t="s">
        <v>999</v>
      </c>
      <c r="B40" s="159" t="s">
        <v>7</v>
      </c>
      <c r="C40" s="159" t="s">
        <v>1044</v>
      </c>
      <c r="D40" s="159" t="s">
        <v>6</v>
      </c>
      <c r="E40" s="162">
        <v>18851</v>
      </c>
      <c r="F40" s="162">
        <v>22250</v>
      </c>
      <c r="G40" s="159">
        <f t="shared" si="0"/>
        <v>3399</v>
      </c>
      <c r="H40" s="161">
        <f t="shared" si="9"/>
        <v>0</v>
      </c>
      <c r="I40" s="138">
        <f>COUNTA(N40,Q40,T40,W40,Z40,AC40,AF40,AI40,AL40,AO40,AR40,AU40,AX40,BA40,BD40,BG40,BJ40,BM40,BP40,BS40,BV40,BY40,CB40,CE40,CH40,CK40,CN40,CQ40,CT40,CW40,CZ40)</f>
        <v>0</v>
      </c>
      <c r="J40" s="138">
        <f t="shared" si="12"/>
        <v>0</v>
      </c>
      <c r="K40" s="138">
        <f t="shared" si="10"/>
        <v>0</v>
      </c>
      <c r="L40" s="159" t="s">
        <v>75</v>
      </c>
      <c r="M40" s="139"/>
      <c r="N40" s="217"/>
      <c r="O40" s="207"/>
      <c r="P40" s="139"/>
      <c r="Q40" s="217"/>
      <c r="R40" s="207"/>
      <c r="S40" s="139"/>
      <c r="T40" s="217"/>
      <c r="U40" s="207"/>
      <c r="V40" s="139"/>
      <c r="W40" s="217"/>
      <c r="X40" s="207"/>
      <c r="Y40" s="139"/>
      <c r="Z40" s="217"/>
      <c r="AA40" s="207"/>
      <c r="AB40" s="139"/>
      <c r="AC40" s="217"/>
      <c r="AD40" s="207"/>
      <c r="AE40" s="139"/>
      <c r="AF40" s="138"/>
      <c r="AG40" s="207"/>
      <c r="AH40" s="139"/>
      <c r="AI40" s="217"/>
      <c r="AJ40" s="207"/>
      <c r="AK40" s="139"/>
      <c r="AL40" s="217"/>
      <c r="AM40" s="207"/>
      <c r="AN40" s="139"/>
      <c r="AO40" s="217"/>
      <c r="AP40" s="207"/>
      <c r="AQ40" s="139"/>
      <c r="AR40" s="217"/>
      <c r="AS40" s="207"/>
      <c r="AT40" s="139"/>
      <c r="AU40" s="217"/>
      <c r="AV40" s="207"/>
      <c r="AW40" s="139"/>
      <c r="AX40" s="217"/>
      <c r="AY40" s="207"/>
      <c r="AZ40" s="139"/>
      <c r="BA40" s="217"/>
      <c r="BB40" s="207"/>
      <c r="BC40" s="139"/>
      <c r="BD40" s="217"/>
      <c r="BE40" s="207"/>
      <c r="BF40" s="139"/>
      <c r="BG40" s="217"/>
      <c r="BH40" s="207"/>
      <c r="BI40" s="139"/>
      <c r="BJ40" s="217"/>
      <c r="BK40" s="207"/>
      <c r="BL40" s="139"/>
      <c r="BM40" s="217"/>
      <c r="BN40" s="207"/>
      <c r="BO40" s="139"/>
      <c r="BP40" s="217"/>
      <c r="BQ40" s="207"/>
      <c r="BR40" s="139"/>
      <c r="BS40" s="217"/>
      <c r="BT40" s="207"/>
      <c r="BU40" s="139"/>
      <c r="BV40" s="217"/>
      <c r="BW40" s="207"/>
      <c r="BX40" s="139"/>
      <c r="BY40" s="217"/>
      <c r="BZ40" s="207"/>
      <c r="CA40" s="139"/>
      <c r="CB40" s="217"/>
      <c r="CC40" s="207"/>
      <c r="CD40" s="139"/>
      <c r="CE40" s="217"/>
      <c r="CF40" s="207"/>
      <c r="CG40" s="139"/>
      <c r="CH40" s="217"/>
      <c r="CI40" s="207"/>
      <c r="CJ40" s="139"/>
      <c r="CK40" s="217"/>
      <c r="CL40" s="207"/>
      <c r="CM40" s="139"/>
      <c r="CN40" s="217"/>
      <c r="CO40" s="207"/>
      <c r="CP40" s="139"/>
      <c r="CQ40" s="217"/>
      <c r="CR40" s="206"/>
      <c r="CS40" s="139"/>
      <c r="CT40" s="217"/>
      <c r="CU40" s="207"/>
      <c r="CV40" s="139"/>
      <c r="CW40" s="217"/>
      <c r="CX40" s="207"/>
      <c r="CY40" s="139"/>
      <c r="CZ40" s="217"/>
      <c r="DA40" s="207"/>
      <c r="DB40" s="138"/>
      <c r="DC40" s="176"/>
    </row>
    <row r="41" spans="1:107" s="12" customFormat="1" ht="21.95" customHeight="1" thickBot="1" x14ac:dyDescent="0.25">
      <c r="A41" s="165" t="s">
        <v>1046</v>
      </c>
      <c r="B41" s="159" t="s">
        <v>7</v>
      </c>
      <c r="C41" s="161" t="s">
        <v>1043</v>
      </c>
      <c r="D41" s="159" t="s">
        <v>6</v>
      </c>
      <c r="E41" s="162">
        <v>24366</v>
      </c>
      <c r="F41" s="162">
        <v>27800</v>
      </c>
      <c r="G41" s="159">
        <f t="shared" ref="G41:G46" si="13">F41-E41</f>
        <v>3434</v>
      </c>
      <c r="H41" s="161">
        <f t="shared" si="9"/>
        <v>0</v>
      </c>
      <c r="I41" s="138">
        <f t="shared" ref="I41:I45" si="14">COUNTA(N41,Q41,T41,W41,Z41,AC41,AF41,AI41,AL41,AO41,AR41,AU41,AX41,BA41,BD41,BG41,BJ41,BM41,BP41,BS41,BV41,BY41,CB41,CE41,CH41,CK41,CN41,CQ41,CT41,CW41,CZ41)</f>
        <v>0</v>
      </c>
      <c r="J41" s="138">
        <f t="shared" ref="J41:J46" si="15">COUNTIF(M41:DC41,"POSTO S. RITA")</f>
        <v>0</v>
      </c>
      <c r="K41" s="138">
        <f t="shared" ref="K41:K47" si="16">COUNTIF(N41:DD41,"POSTO VIP")</f>
        <v>0</v>
      </c>
      <c r="L41" s="159" t="s">
        <v>76</v>
      </c>
      <c r="M41" s="163"/>
      <c r="N41" s="216"/>
      <c r="O41" s="206"/>
      <c r="P41" s="163"/>
      <c r="Q41" s="216"/>
      <c r="R41" s="206"/>
      <c r="S41" s="163"/>
      <c r="T41" s="216"/>
      <c r="U41" s="206"/>
      <c r="V41" s="163"/>
      <c r="W41" s="216"/>
      <c r="X41" s="206"/>
      <c r="Y41" s="163"/>
      <c r="Z41" s="216"/>
      <c r="AA41" s="206"/>
      <c r="AB41" s="163"/>
      <c r="AC41" s="216"/>
      <c r="AD41" s="206"/>
      <c r="AE41" s="163"/>
      <c r="AF41" s="162"/>
      <c r="AG41" s="206"/>
      <c r="AH41" s="163"/>
      <c r="AI41" s="216"/>
      <c r="AJ41" s="206"/>
      <c r="AK41" s="163"/>
      <c r="AL41" s="216"/>
      <c r="AM41" s="206"/>
      <c r="AN41" s="163"/>
      <c r="AO41" s="216"/>
      <c r="AP41" s="206"/>
      <c r="AQ41" s="163"/>
      <c r="AR41" s="216"/>
      <c r="AS41" s="206"/>
      <c r="AT41" s="163"/>
      <c r="AU41" s="216"/>
      <c r="AV41" s="206"/>
      <c r="AW41" s="163"/>
      <c r="AX41" s="216"/>
      <c r="AY41" s="206"/>
      <c r="AZ41" s="163"/>
      <c r="BA41" s="216"/>
      <c r="BB41" s="206"/>
      <c r="BC41" s="163"/>
      <c r="BD41" s="216"/>
      <c r="BE41" s="206"/>
      <c r="BF41" s="163"/>
      <c r="BG41" s="216"/>
      <c r="BH41" s="206"/>
      <c r="BI41" s="163"/>
      <c r="BJ41" s="216"/>
      <c r="BK41" s="206"/>
      <c r="BL41" s="163"/>
      <c r="BM41" s="216"/>
      <c r="BN41" s="206"/>
      <c r="BO41" s="163"/>
      <c r="BP41" s="216"/>
      <c r="BQ41" s="206"/>
      <c r="BR41" s="163"/>
      <c r="BS41" s="216"/>
      <c r="BT41" s="206"/>
      <c r="BU41" s="163"/>
      <c r="BV41" s="216"/>
      <c r="BW41" s="207"/>
      <c r="BX41" s="163"/>
      <c r="BY41" s="216"/>
      <c r="BZ41" s="206"/>
      <c r="CA41" s="163"/>
      <c r="CB41" s="216"/>
      <c r="CC41" s="206"/>
      <c r="CD41" s="163"/>
      <c r="CE41" s="216"/>
      <c r="CF41" s="206"/>
      <c r="CG41" s="163"/>
      <c r="CH41" s="216"/>
      <c r="CI41" s="206"/>
      <c r="CJ41" s="163"/>
      <c r="CK41" s="216"/>
      <c r="CL41" s="206"/>
      <c r="CM41" s="163"/>
      <c r="CN41" s="216"/>
      <c r="CO41" s="206"/>
      <c r="CP41" s="163"/>
      <c r="CQ41" s="216"/>
      <c r="CR41" s="206"/>
      <c r="CS41" s="163"/>
      <c r="CT41" s="216"/>
      <c r="CU41" s="206"/>
      <c r="CV41" s="163"/>
      <c r="CW41" s="216"/>
      <c r="CX41" s="206"/>
      <c r="CY41" s="163"/>
      <c r="CZ41" s="216"/>
      <c r="DA41" s="206"/>
      <c r="DB41" s="162"/>
      <c r="DC41" s="176"/>
    </row>
    <row r="42" spans="1:107" s="12" customFormat="1" ht="21.95" customHeight="1" x14ac:dyDescent="0.2">
      <c r="A42" s="168" t="s">
        <v>850</v>
      </c>
      <c r="B42" s="158" t="s">
        <v>41</v>
      </c>
      <c r="C42" s="158" t="s">
        <v>296</v>
      </c>
      <c r="D42" s="353" t="s">
        <v>6</v>
      </c>
      <c r="E42" s="169"/>
      <c r="F42" s="169"/>
      <c r="G42" s="158">
        <f t="shared" si="13"/>
        <v>0</v>
      </c>
      <c r="H42" s="354">
        <f t="shared" si="9"/>
        <v>0</v>
      </c>
      <c r="I42" s="157">
        <f t="shared" si="14"/>
        <v>0</v>
      </c>
      <c r="J42" s="157">
        <f t="shared" si="15"/>
        <v>0</v>
      </c>
      <c r="K42" s="157">
        <f t="shared" si="16"/>
        <v>0</v>
      </c>
      <c r="L42" s="158" t="s">
        <v>85</v>
      </c>
      <c r="M42" s="156"/>
      <c r="N42" s="219"/>
      <c r="O42" s="211"/>
      <c r="P42" s="156"/>
      <c r="Q42" s="219"/>
      <c r="R42" s="211"/>
      <c r="S42" s="156"/>
      <c r="T42" s="219"/>
      <c r="U42" s="211"/>
      <c r="V42" s="156"/>
      <c r="W42" s="219"/>
      <c r="X42" s="211"/>
      <c r="Y42" s="156"/>
      <c r="Z42" s="219"/>
      <c r="AA42" s="211"/>
      <c r="AB42" s="156"/>
      <c r="AC42" s="219"/>
      <c r="AD42" s="211"/>
      <c r="AE42" s="156"/>
      <c r="AF42" s="157"/>
      <c r="AG42" s="211"/>
      <c r="AH42" s="156"/>
      <c r="AI42" s="219"/>
      <c r="AJ42" s="211"/>
      <c r="AK42" s="156"/>
      <c r="AL42" s="219"/>
      <c r="AM42" s="211"/>
      <c r="AN42" s="156"/>
      <c r="AO42" s="219"/>
      <c r="AP42" s="211"/>
      <c r="AQ42" s="156"/>
      <c r="AR42" s="219"/>
      <c r="AS42" s="211"/>
      <c r="AT42" s="156"/>
      <c r="AU42" s="219"/>
      <c r="AV42" s="211"/>
      <c r="AW42" s="156"/>
      <c r="AX42" s="219"/>
      <c r="AY42" s="211"/>
      <c r="AZ42" s="156"/>
      <c r="BA42" s="219"/>
      <c r="BB42" s="211"/>
      <c r="BC42" s="156"/>
      <c r="BD42" s="219"/>
      <c r="BE42" s="211"/>
      <c r="BF42" s="156"/>
      <c r="BG42" s="219"/>
      <c r="BH42" s="211"/>
      <c r="BI42" s="156"/>
      <c r="BJ42" s="219"/>
      <c r="BK42" s="211"/>
      <c r="BL42" s="156"/>
      <c r="BM42" s="219"/>
      <c r="BN42" s="211"/>
      <c r="BO42" s="156"/>
      <c r="BP42" s="219"/>
      <c r="BQ42" s="211"/>
      <c r="BR42" s="156"/>
      <c r="BS42" s="219"/>
      <c r="BT42" s="211"/>
      <c r="BU42" s="156"/>
      <c r="BV42" s="219"/>
      <c r="BW42" s="211"/>
      <c r="BX42" s="156"/>
      <c r="BY42" s="219"/>
      <c r="BZ42" s="211"/>
      <c r="CA42" s="156"/>
      <c r="CB42" s="219"/>
      <c r="CC42" s="211"/>
      <c r="CD42" s="156"/>
      <c r="CE42" s="219"/>
      <c r="CF42" s="211"/>
      <c r="CG42" s="156"/>
      <c r="CH42" s="219"/>
      <c r="CI42" s="211"/>
      <c r="CJ42" s="156"/>
      <c r="CK42" s="219"/>
      <c r="CL42" s="211"/>
      <c r="CM42" s="156"/>
      <c r="CN42" s="219"/>
      <c r="CO42" s="211"/>
      <c r="CP42" s="156"/>
      <c r="CQ42" s="219"/>
      <c r="CR42" s="211"/>
      <c r="CS42" s="156"/>
      <c r="CT42" s="219"/>
      <c r="CU42" s="211"/>
      <c r="CV42" s="156"/>
      <c r="CW42" s="219"/>
      <c r="CX42" s="211"/>
      <c r="CY42" s="156"/>
      <c r="CZ42" s="219"/>
      <c r="DA42" s="211"/>
      <c r="DB42" s="157"/>
      <c r="DC42" s="175"/>
    </row>
    <row r="43" spans="1:107" s="12" customFormat="1" ht="21.95" customHeight="1" x14ac:dyDescent="0.2">
      <c r="A43" s="165" t="s">
        <v>1046</v>
      </c>
      <c r="B43" s="159" t="s">
        <v>16</v>
      </c>
      <c r="C43" s="161" t="s">
        <v>287</v>
      </c>
      <c r="D43" s="159" t="s">
        <v>6</v>
      </c>
      <c r="E43" s="162"/>
      <c r="F43" s="162"/>
      <c r="G43" s="159">
        <f t="shared" si="13"/>
        <v>0</v>
      </c>
      <c r="H43" s="161">
        <f t="shared" ref="H43:H47" si="17">SUM(M43+P43+S43+V43+Y43+AB43+AE43+AH43+AK43+AN43+AQ43+AT43+AW43+AZ43+BC43+BF43+BI43+BL43+BO43+BR43+BU43+BX43+CA43+CD43+CG43+CJ43+CM43+CP43+CS43+CV43+CY43)</f>
        <v>0</v>
      </c>
      <c r="I43" s="138">
        <f t="shared" si="14"/>
        <v>0</v>
      </c>
      <c r="J43" s="138">
        <f t="shared" si="15"/>
        <v>0</v>
      </c>
      <c r="K43" s="138">
        <f t="shared" si="16"/>
        <v>0</v>
      </c>
      <c r="L43" s="159" t="s">
        <v>85</v>
      </c>
      <c r="M43" s="163"/>
      <c r="N43" s="216"/>
      <c r="O43" s="206"/>
      <c r="P43" s="163"/>
      <c r="Q43" s="216"/>
      <c r="R43" s="206"/>
      <c r="S43" s="163"/>
      <c r="T43" s="216"/>
      <c r="U43" s="206"/>
      <c r="V43" s="163"/>
      <c r="W43" s="216"/>
      <c r="X43" s="206"/>
      <c r="Y43" s="163"/>
      <c r="Z43" s="216"/>
      <c r="AA43" s="206"/>
      <c r="AB43" s="163"/>
      <c r="AC43" s="216"/>
      <c r="AD43" s="206"/>
      <c r="AE43" s="163"/>
      <c r="AF43" s="162"/>
      <c r="AG43" s="206"/>
      <c r="AH43" s="163"/>
      <c r="AI43" s="216"/>
      <c r="AJ43" s="206"/>
      <c r="AK43" s="163"/>
      <c r="AL43" s="216"/>
      <c r="AM43" s="206"/>
      <c r="AN43" s="163"/>
      <c r="AO43" s="216"/>
      <c r="AP43" s="206"/>
      <c r="AQ43" s="163"/>
      <c r="AR43" s="216"/>
      <c r="AS43" s="206"/>
      <c r="AT43" s="163"/>
      <c r="AU43" s="216"/>
      <c r="AV43" s="206"/>
      <c r="AW43" s="163"/>
      <c r="AX43" s="216"/>
      <c r="AY43" s="206"/>
      <c r="AZ43" s="163"/>
      <c r="BA43" s="216"/>
      <c r="BB43" s="206"/>
      <c r="BC43" s="163"/>
      <c r="BD43" s="216"/>
      <c r="BE43" s="206"/>
      <c r="BF43" s="163"/>
      <c r="BG43" s="216"/>
      <c r="BH43" s="206"/>
      <c r="BI43" s="163"/>
      <c r="BJ43" s="216"/>
      <c r="BK43" s="206"/>
      <c r="BL43" s="163"/>
      <c r="BM43" s="216"/>
      <c r="BN43" s="206"/>
      <c r="BO43" s="163"/>
      <c r="BP43" s="216"/>
      <c r="BQ43" s="206"/>
      <c r="BR43" s="163"/>
      <c r="BS43" s="216"/>
      <c r="BT43" s="206"/>
      <c r="BU43" s="163"/>
      <c r="BV43" s="216"/>
      <c r="BW43" s="207"/>
      <c r="BX43" s="163"/>
      <c r="BY43" s="216"/>
      <c r="BZ43" s="206"/>
      <c r="CA43" s="163"/>
      <c r="CB43" s="216"/>
      <c r="CC43" s="206"/>
      <c r="CD43" s="163"/>
      <c r="CE43" s="216"/>
      <c r="CF43" s="206"/>
      <c r="CG43" s="163"/>
      <c r="CH43" s="216"/>
      <c r="CI43" s="206"/>
      <c r="CJ43" s="163"/>
      <c r="CK43" s="216"/>
      <c r="CL43" s="206"/>
      <c r="CM43" s="163"/>
      <c r="CN43" s="216"/>
      <c r="CO43" s="206"/>
      <c r="CP43" s="163"/>
      <c r="CQ43" s="216"/>
      <c r="CR43" s="206"/>
      <c r="CS43" s="163"/>
      <c r="CT43" s="216"/>
      <c r="CU43" s="206"/>
      <c r="CV43" s="163"/>
      <c r="CW43" s="216"/>
      <c r="CX43" s="206"/>
      <c r="CY43" s="163"/>
      <c r="CZ43" s="216"/>
      <c r="DA43" s="206"/>
      <c r="DB43" s="162"/>
      <c r="DC43" s="176"/>
    </row>
    <row r="44" spans="1:107" s="12" customFormat="1" ht="21.95" customHeight="1" thickBot="1" x14ac:dyDescent="0.25">
      <c r="A44" s="165" t="s">
        <v>999</v>
      </c>
      <c r="B44" s="159" t="s">
        <v>5</v>
      </c>
      <c r="C44" s="159" t="s">
        <v>387</v>
      </c>
      <c r="D44" s="159" t="s">
        <v>6</v>
      </c>
      <c r="E44" s="162"/>
      <c r="F44" s="162"/>
      <c r="G44" s="159">
        <f t="shared" si="13"/>
        <v>0</v>
      </c>
      <c r="H44" s="161">
        <f t="shared" si="17"/>
        <v>0</v>
      </c>
      <c r="I44" s="138">
        <f t="shared" si="14"/>
        <v>0</v>
      </c>
      <c r="J44" s="138">
        <f t="shared" si="15"/>
        <v>0</v>
      </c>
      <c r="K44" s="138">
        <f t="shared" si="16"/>
        <v>0</v>
      </c>
      <c r="L44" s="159" t="s">
        <v>85</v>
      </c>
      <c r="M44" s="139"/>
      <c r="N44" s="217"/>
      <c r="O44" s="207"/>
      <c r="P44" s="139"/>
      <c r="Q44" s="217"/>
      <c r="R44" s="207"/>
      <c r="S44" s="139"/>
      <c r="T44" s="217"/>
      <c r="U44" s="207"/>
      <c r="V44" s="139"/>
      <c r="W44" s="217"/>
      <c r="X44" s="207"/>
      <c r="Y44" s="139"/>
      <c r="Z44" s="217"/>
      <c r="AA44" s="207"/>
      <c r="AB44" s="139"/>
      <c r="AC44" s="217"/>
      <c r="AD44" s="207"/>
      <c r="AE44" s="139"/>
      <c r="AF44" s="138"/>
      <c r="AG44" s="207"/>
      <c r="AH44" s="139"/>
      <c r="AI44" s="217"/>
      <c r="AJ44" s="207"/>
      <c r="AK44" s="139"/>
      <c r="AL44" s="217"/>
      <c r="AM44" s="207"/>
      <c r="AN44" s="139"/>
      <c r="AO44" s="217"/>
      <c r="AP44" s="207"/>
      <c r="AQ44" s="139"/>
      <c r="AR44" s="217"/>
      <c r="AS44" s="207"/>
      <c r="AT44" s="139"/>
      <c r="AU44" s="217"/>
      <c r="AV44" s="207"/>
      <c r="AW44" s="139"/>
      <c r="AX44" s="217"/>
      <c r="AY44" s="207"/>
      <c r="AZ44" s="139"/>
      <c r="BA44" s="217"/>
      <c r="BB44" s="207"/>
      <c r="BC44" s="139"/>
      <c r="BD44" s="217"/>
      <c r="BE44" s="207"/>
      <c r="BF44" s="139"/>
      <c r="BG44" s="217"/>
      <c r="BH44" s="207"/>
      <c r="BI44" s="139"/>
      <c r="BJ44" s="217"/>
      <c r="BK44" s="207"/>
      <c r="BL44" s="139"/>
      <c r="BM44" s="217"/>
      <c r="BN44" s="207"/>
      <c r="BO44" s="139"/>
      <c r="BP44" s="217"/>
      <c r="BQ44" s="207"/>
      <c r="BR44" s="139"/>
      <c r="BS44" s="217"/>
      <c r="BT44" s="207"/>
      <c r="BU44" s="139"/>
      <c r="BV44" s="217"/>
      <c r="BW44" s="207"/>
      <c r="BX44" s="139"/>
      <c r="BY44" s="217"/>
      <c r="BZ44" s="207"/>
      <c r="CA44" s="139"/>
      <c r="CB44" s="217"/>
      <c r="CC44" s="207"/>
      <c r="CD44" s="139"/>
      <c r="CE44" s="217"/>
      <c r="CF44" s="207"/>
      <c r="CG44" s="139"/>
      <c r="CH44" s="217"/>
      <c r="CI44" s="207"/>
      <c r="CJ44" s="139"/>
      <c r="CK44" s="217"/>
      <c r="CL44" s="207"/>
      <c r="CM44" s="139"/>
      <c r="CN44" s="217"/>
      <c r="CO44" s="207"/>
      <c r="CP44" s="139"/>
      <c r="CQ44" s="217"/>
      <c r="CR44" s="206"/>
      <c r="CS44" s="139"/>
      <c r="CT44" s="217"/>
      <c r="CU44" s="207"/>
      <c r="CV44" s="139"/>
      <c r="CW44" s="217"/>
      <c r="CX44" s="207"/>
      <c r="CY44" s="139"/>
      <c r="CZ44" s="217"/>
      <c r="DA44" s="207"/>
      <c r="DB44" s="138"/>
      <c r="DC44" s="176"/>
    </row>
    <row r="45" spans="1:107" s="12" customFormat="1" ht="21.95" customHeight="1" x14ac:dyDescent="0.2">
      <c r="A45" s="168" t="s">
        <v>850</v>
      </c>
      <c r="B45" s="158" t="s">
        <v>41</v>
      </c>
      <c r="C45" s="158" t="s">
        <v>296</v>
      </c>
      <c r="D45" s="353" t="s">
        <v>6</v>
      </c>
      <c r="E45" s="169"/>
      <c r="F45" s="169"/>
      <c r="G45" s="158">
        <f t="shared" si="13"/>
        <v>0</v>
      </c>
      <c r="H45" s="354">
        <f t="shared" si="17"/>
        <v>0</v>
      </c>
      <c r="I45" s="157">
        <f t="shared" si="14"/>
        <v>0</v>
      </c>
      <c r="J45" s="157">
        <f t="shared" si="15"/>
        <v>0</v>
      </c>
      <c r="K45" s="157">
        <f t="shared" si="16"/>
        <v>0</v>
      </c>
      <c r="L45" s="158" t="s">
        <v>77</v>
      </c>
      <c r="M45" s="156"/>
      <c r="N45" s="219"/>
      <c r="O45" s="211"/>
      <c r="P45" s="156"/>
      <c r="Q45" s="219"/>
      <c r="R45" s="211"/>
      <c r="S45" s="156"/>
      <c r="T45" s="219"/>
      <c r="U45" s="211"/>
      <c r="V45" s="156"/>
      <c r="W45" s="219"/>
      <c r="X45" s="211"/>
      <c r="Y45" s="156"/>
      <c r="Z45" s="219"/>
      <c r="AA45" s="211"/>
      <c r="AB45" s="156"/>
      <c r="AC45" s="219"/>
      <c r="AD45" s="211"/>
      <c r="AE45" s="156"/>
      <c r="AF45" s="157"/>
      <c r="AG45" s="211"/>
      <c r="AH45" s="156"/>
      <c r="AI45" s="219"/>
      <c r="AJ45" s="211"/>
      <c r="AK45" s="156"/>
      <c r="AL45" s="219"/>
      <c r="AM45" s="211"/>
      <c r="AN45" s="156"/>
      <c r="AO45" s="219"/>
      <c r="AP45" s="211"/>
      <c r="AQ45" s="156"/>
      <c r="AR45" s="219"/>
      <c r="AS45" s="211"/>
      <c r="AT45" s="156"/>
      <c r="AU45" s="219"/>
      <c r="AV45" s="211"/>
      <c r="AW45" s="156"/>
      <c r="AX45" s="219"/>
      <c r="AY45" s="211"/>
      <c r="AZ45" s="156"/>
      <c r="BA45" s="219"/>
      <c r="BB45" s="211"/>
      <c r="BC45" s="156"/>
      <c r="BD45" s="219"/>
      <c r="BE45" s="211"/>
      <c r="BF45" s="156"/>
      <c r="BG45" s="219"/>
      <c r="BH45" s="211"/>
      <c r="BI45" s="156"/>
      <c r="BJ45" s="219"/>
      <c r="BK45" s="211"/>
      <c r="BL45" s="156"/>
      <c r="BM45" s="219"/>
      <c r="BN45" s="211"/>
      <c r="BO45" s="156"/>
      <c r="BP45" s="219"/>
      <c r="BQ45" s="211"/>
      <c r="BR45" s="156"/>
      <c r="BS45" s="219"/>
      <c r="BT45" s="211"/>
      <c r="BU45" s="156"/>
      <c r="BV45" s="219"/>
      <c r="BW45" s="211"/>
      <c r="BX45" s="156"/>
      <c r="BY45" s="219"/>
      <c r="BZ45" s="211"/>
      <c r="CA45" s="156"/>
      <c r="CB45" s="219"/>
      <c r="CC45" s="211"/>
      <c r="CD45" s="156"/>
      <c r="CE45" s="219"/>
      <c r="CF45" s="211"/>
      <c r="CG45" s="156"/>
      <c r="CH45" s="219"/>
      <c r="CI45" s="211"/>
      <c r="CJ45" s="156"/>
      <c r="CK45" s="219"/>
      <c r="CL45" s="211"/>
      <c r="CM45" s="156"/>
      <c r="CN45" s="219"/>
      <c r="CO45" s="211"/>
      <c r="CP45" s="156"/>
      <c r="CQ45" s="219"/>
      <c r="CR45" s="211"/>
      <c r="CS45" s="156"/>
      <c r="CT45" s="219"/>
      <c r="CU45" s="211"/>
      <c r="CV45" s="156"/>
      <c r="CW45" s="219"/>
      <c r="CX45" s="211"/>
      <c r="CY45" s="156"/>
      <c r="CZ45" s="219"/>
      <c r="DA45" s="211"/>
      <c r="DB45" s="157"/>
      <c r="DC45" s="175"/>
    </row>
    <row r="46" spans="1:107" s="12" customFormat="1" ht="21.95" customHeight="1" x14ac:dyDescent="0.2">
      <c r="A46" s="165" t="s">
        <v>1046</v>
      </c>
      <c r="B46" s="159" t="s">
        <v>16</v>
      </c>
      <c r="C46" s="161" t="s">
        <v>287</v>
      </c>
      <c r="D46" s="159" t="s">
        <v>6</v>
      </c>
      <c r="E46" s="162"/>
      <c r="F46" s="162"/>
      <c r="G46" s="159">
        <f t="shared" si="13"/>
        <v>0</v>
      </c>
      <c r="H46" s="161">
        <f t="shared" si="17"/>
        <v>0</v>
      </c>
      <c r="I46" s="138">
        <f>COUNTA(N46,Q46,T46,W46,Z46,AC46,AF46,AI46,AL46,AO46,AR46,AU46,AX46,BA46,BD46,BG46,BJ46,BM46,BP46,BS46,BV46,BY46,CB46,CE46,CH46,CK46,CN46,CQ46,CT46,CW46,CZ46)</f>
        <v>0</v>
      </c>
      <c r="J46" s="138">
        <f t="shared" si="15"/>
        <v>0</v>
      </c>
      <c r="K46" s="138">
        <f t="shared" si="16"/>
        <v>0</v>
      </c>
      <c r="L46" s="159" t="s">
        <v>77</v>
      </c>
      <c r="M46" s="163"/>
      <c r="N46" s="216"/>
      <c r="O46" s="206"/>
      <c r="P46" s="163"/>
      <c r="Q46" s="216"/>
      <c r="R46" s="206"/>
      <c r="S46" s="163"/>
      <c r="T46" s="216"/>
      <c r="U46" s="206"/>
      <c r="V46" s="163"/>
      <c r="W46" s="216"/>
      <c r="X46" s="206"/>
      <c r="Y46" s="163"/>
      <c r="Z46" s="216"/>
      <c r="AA46" s="206"/>
      <c r="AB46" s="163"/>
      <c r="AC46" s="216"/>
      <c r="AD46" s="206"/>
      <c r="AE46" s="163"/>
      <c r="AF46" s="162"/>
      <c r="AG46" s="206"/>
      <c r="AH46" s="163"/>
      <c r="AI46" s="216"/>
      <c r="AJ46" s="206"/>
      <c r="AK46" s="163"/>
      <c r="AL46" s="216"/>
      <c r="AM46" s="206"/>
      <c r="AN46" s="163"/>
      <c r="AO46" s="216"/>
      <c r="AP46" s="206"/>
      <c r="AQ46" s="163"/>
      <c r="AR46" s="216"/>
      <c r="AS46" s="206"/>
      <c r="AT46" s="163"/>
      <c r="AU46" s="216"/>
      <c r="AV46" s="206"/>
      <c r="AW46" s="163"/>
      <c r="AX46" s="216"/>
      <c r="AY46" s="206"/>
      <c r="AZ46" s="163"/>
      <c r="BA46" s="216"/>
      <c r="BB46" s="206"/>
      <c r="BC46" s="163"/>
      <c r="BD46" s="216"/>
      <c r="BE46" s="206"/>
      <c r="BF46" s="163"/>
      <c r="BG46" s="216"/>
      <c r="BH46" s="206"/>
      <c r="BI46" s="163"/>
      <c r="BJ46" s="216"/>
      <c r="BK46" s="206"/>
      <c r="BL46" s="163"/>
      <c r="BM46" s="216"/>
      <c r="BN46" s="206"/>
      <c r="BO46" s="163"/>
      <c r="BP46" s="216"/>
      <c r="BQ46" s="206"/>
      <c r="BR46" s="163"/>
      <c r="BS46" s="216"/>
      <c r="BT46" s="206"/>
      <c r="BU46" s="163"/>
      <c r="BV46" s="216"/>
      <c r="BW46" s="207"/>
      <c r="BX46" s="163"/>
      <c r="BY46" s="216"/>
      <c r="BZ46" s="206"/>
      <c r="CA46" s="163"/>
      <c r="CB46" s="216"/>
      <c r="CC46" s="206"/>
      <c r="CD46" s="163"/>
      <c r="CE46" s="216"/>
      <c r="CF46" s="206"/>
      <c r="CG46" s="163"/>
      <c r="CH46" s="216"/>
      <c r="CI46" s="206"/>
      <c r="CJ46" s="163"/>
      <c r="CK46" s="216"/>
      <c r="CL46" s="206"/>
      <c r="CM46" s="163"/>
      <c r="CN46" s="216"/>
      <c r="CO46" s="206"/>
      <c r="CP46" s="163"/>
      <c r="CQ46" s="216"/>
      <c r="CR46" s="206"/>
      <c r="CS46" s="163"/>
      <c r="CT46" s="216"/>
      <c r="CU46" s="206"/>
      <c r="CV46" s="163"/>
      <c r="CW46" s="216"/>
      <c r="CX46" s="206"/>
      <c r="CY46" s="163"/>
      <c r="CZ46" s="216"/>
      <c r="DA46" s="206"/>
      <c r="DB46" s="162"/>
      <c r="DC46" s="176"/>
    </row>
    <row r="47" spans="1:107" s="12" customFormat="1" ht="21.95" customHeight="1" x14ac:dyDescent="0.2">
      <c r="A47" s="165" t="s">
        <v>999</v>
      </c>
      <c r="B47" s="159" t="s">
        <v>5</v>
      </c>
      <c r="C47" s="159" t="s">
        <v>387</v>
      </c>
      <c r="D47" s="159" t="s">
        <v>6</v>
      </c>
      <c r="E47" s="162"/>
      <c r="F47" s="162"/>
      <c r="G47" s="159">
        <f t="shared" ref="G47" si="18">F47-E47</f>
        <v>0</v>
      </c>
      <c r="H47" s="161">
        <f t="shared" si="17"/>
        <v>0</v>
      </c>
      <c r="I47" s="138">
        <f t="shared" ref="I47" si="19">COUNTA(N47,Q47,T47,W47,Z47,AC47,AF47,AI47,AL47,AO47,AR47,AU47,AX47,BA47,BD47,BG47,BJ47,BM47,BP47,BS47,BV47,BY47,CB47,CE47,CH47,CK47,CN47,CQ47,CT47,CW47,CZ47)</f>
        <v>0</v>
      </c>
      <c r="J47" s="138">
        <f t="shared" ref="J47" si="20">COUNTIF(M47:DC47,"POSTO S. RITA")</f>
        <v>0</v>
      </c>
      <c r="K47" s="138">
        <f t="shared" si="16"/>
        <v>0</v>
      </c>
      <c r="L47" s="159" t="s">
        <v>77</v>
      </c>
      <c r="M47" s="139"/>
      <c r="N47" s="217"/>
      <c r="O47" s="207"/>
      <c r="P47" s="139"/>
      <c r="Q47" s="217"/>
      <c r="R47" s="207"/>
      <c r="S47" s="139"/>
      <c r="T47" s="217"/>
      <c r="U47" s="207"/>
      <c r="V47" s="139"/>
      <c r="W47" s="217"/>
      <c r="X47" s="207"/>
      <c r="Y47" s="139"/>
      <c r="Z47" s="217"/>
      <c r="AA47" s="207"/>
      <c r="AB47" s="139"/>
      <c r="AC47" s="217"/>
      <c r="AD47" s="207"/>
      <c r="AE47" s="139"/>
      <c r="AF47" s="138"/>
      <c r="AG47" s="207"/>
      <c r="AH47" s="139"/>
      <c r="AI47" s="217"/>
      <c r="AJ47" s="207"/>
      <c r="AK47" s="139"/>
      <c r="AL47" s="217"/>
      <c r="AM47" s="207"/>
      <c r="AN47" s="139"/>
      <c r="AO47" s="217"/>
      <c r="AP47" s="207"/>
      <c r="AQ47" s="139"/>
      <c r="AR47" s="217"/>
      <c r="AS47" s="207"/>
      <c r="AT47" s="139"/>
      <c r="AU47" s="217"/>
      <c r="AV47" s="207"/>
      <c r="AW47" s="139"/>
      <c r="AX47" s="217"/>
      <c r="AY47" s="207"/>
      <c r="AZ47" s="139"/>
      <c r="BA47" s="217"/>
      <c r="BB47" s="207"/>
      <c r="BC47" s="139"/>
      <c r="BD47" s="217"/>
      <c r="BE47" s="207"/>
      <c r="BF47" s="139"/>
      <c r="BG47" s="217"/>
      <c r="BH47" s="207"/>
      <c r="BI47" s="139"/>
      <c r="BJ47" s="217"/>
      <c r="BK47" s="207"/>
      <c r="BL47" s="139"/>
      <c r="BM47" s="217"/>
      <c r="BN47" s="207"/>
      <c r="BO47" s="139"/>
      <c r="BP47" s="217"/>
      <c r="BQ47" s="207"/>
      <c r="BR47" s="139"/>
      <c r="BS47" s="217"/>
      <c r="BT47" s="207"/>
      <c r="BU47" s="139"/>
      <c r="BV47" s="217"/>
      <c r="BW47" s="207"/>
      <c r="BX47" s="139"/>
      <c r="BY47" s="217"/>
      <c r="BZ47" s="207"/>
      <c r="CA47" s="139"/>
      <c r="CB47" s="217"/>
      <c r="CC47" s="207"/>
      <c r="CD47" s="139"/>
      <c r="CE47" s="217"/>
      <c r="CF47" s="207"/>
      <c r="CG47" s="139"/>
      <c r="CH47" s="217"/>
      <c r="CI47" s="207"/>
      <c r="CJ47" s="139"/>
      <c r="CK47" s="217"/>
      <c r="CL47" s="207"/>
      <c r="CM47" s="139"/>
      <c r="CN47" s="217"/>
      <c r="CO47" s="207"/>
      <c r="CP47" s="139"/>
      <c r="CQ47" s="217"/>
      <c r="CR47" s="206"/>
      <c r="CS47" s="139"/>
      <c r="CT47" s="217"/>
      <c r="CU47" s="207"/>
      <c r="CV47" s="139"/>
      <c r="CW47" s="217"/>
      <c r="CX47" s="207"/>
      <c r="CY47" s="139"/>
      <c r="CZ47" s="217"/>
      <c r="DA47" s="207"/>
      <c r="DB47" s="138"/>
      <c r="DC47" s="176"/>
    </row>
  </sheetData>
  <autoFilter ref="A2:DC47" xr:uid="{00000000-0009-0000-0000-000007000000}"/>
  <mergeCells count="34">
    <mergeCell ref="BU1:BW1"/>
    <mergeCell ref="BX1:BZ1"/>
    <mergeCell ref="CA1:CC1"/>
    <mergeCell ref="BF1:BH1"/>
    <mergeCell ref="BI1:BK1"/>
    <mergeCell ref="BL1:BN1"/>
    <mergeCell ref="DC1:DC2"/>
    <mergeCell ref="C1:L1"/>
    <mergeCell ref="CS1:CU1"/>
    <mergeCell ref="CV1:CX1"/>
    <mergeCell ref="CY1:DA1"/>
    <mergeCell ref="DB1:DB2"/>
    <mergeCell ref="CD1:CF1"/>
    <mergeCell ref="CG1:CI1"/>
    <mergeCell ref="CJ1:CL1"/>
    <mergeCell ref="CM1:CO1"/>
    <mergeCell ref="CP1:CR1"/>
    <mergeCell ref="BO1:BQ1"/>
    <mergeCell ref="BR1:BT1"/>
    <mergeCell ref="AQ1:AS1"/>
    <mergeCell ref="AT1:AV1"/>
    <mergeCell ref="AW1:AY1"/>
    <mergeCell ref="AZ1:BB1"/>
    <mergeCell ref="BC1:BE1"/>
    <mergeCell ref="AB1:AD1"/>
    <mergeCell ref="AE1:AG1"/>
    <mergeCell ref="AH1:AJ1"/>
    <mergeCell ref="AK1:AM1"/>
    <mergeCell ref="AN1:AP1"/>
    <mergeCell ref="M1:O1"/>
    <mergeCell ref="P1:R1"/>
    <mergeCell ref="S1:U1"/>
    <mergeCell ref="V1:X1"/>
    <mergeCell ref="Y1:AA1"/>
  </mergeCells>
  <phoneticPr fontId="10" type="noConversion"/>
  <conditionalFormatting sqref="G2:G10 A3:XFD47">
    <cfRule type="cellIs" dxfId="42" priority="49" operator="equal">
      <formula>0</formula>
    </cfRule>
  </conditionalFormatting>
  <printOptions horizontalCentered="1"/>
  <pageMargins left="0.11811023622047245" right="0.11811023622047245" top="0.59055118110236227" bottom="0.59055118110236227" header="0.31496062992125984" footer="0.31496062992125984"/>
  <pageSetup paperSize="9" scale="65" orientation="landscape" r:id="rId1"/>
  <rowBreaks count="2" manualBreakCount="2">
    <brk id="23" max="106" man="1"/>
    <brk id="34" max="10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A57"/>
  <sheetViews>
    <sheetView showGridLines="0" zoomScale="80" zoomScaleNormal="80" workbookViewId="0">
      <pane xSplit="2" ySplit="2" topLeftCell="BQ44" activePane="bottomRight" state="frozen"/>
      <selection activeCell="F9" sqref="F9"/>
      <selection pane="topRight" activeCell="F9" sqref="F9"/>
      <selection pane="bottomLeft" activeCell="F9" sqref="F9"/>
      <selection pane="bottomRight" activeCell="CD53" sqref="CD53"/>
    </sheetView>
  </sheetViews>
  <sheetFormatPr defaultRowHeight="15" x14ac:dyDescent="0.25"/>
  <cols>
    <col min="1" max="1" width="25.28515625" customWidth="1"/>
    <col min="2" max="2" width="13.140625" style="9" customWidth="1"/>
    <col min="3" max="3" width="14.7109375" style="9" customWidth="1"/>
    <col min="4" max="4" width="18.140625" style="9" bestFit="1" customWidth="1"/>
    <col min="5" max="5" width="14.140625" bestFit="1" customWidth="1"/>
    <col min="6" max="6" width="13.140625" bestFit="1" customWidth="1"/>
    <col min="7" max="7" width="18.5703125" bestFit="1" customWidth="1"/>
    <col min="8" max="8" width="19.5703125" style="4" bestFit="1" customWidth="1"/>
    <col min="9" max="9" width="14.42578125" style="4" customWidth="1"/>
    <col min="10" max="10" width="11" bestFit="1" customWidth="1"/>
    <col min="11" max="11" width="14.28515625" style="4" bestFit="1" customWidth="1"/>
    <col min="12" max="12" width="11" style="4" customWidth="1"/>
    <col min="13" max="13" width="18.5703125" style="4" bestFit="1" customWidth="1"/>
    <col min="14" max="14" width="14.5703125" style="4" bestFit="1" customWidth="1"/>
    <col min="15" max="15" width="11" style="4" customWidth="1"/>
    <col min="16" max="16" width="16" style="4" bestFit="1" customWidth="1"/>
    <col min="17" max="17" width="14.5703125" style="4" bestFit="1" customWidth="1"/>
    <col min="18" max="18" width="11" style="4" customWidth="1"/>
    <col min="19" max="19" width="16" style="4" bestFit="1" customWidth="1"/>
    <col min="20" max="20" width="14.5703125" style="4" bestFit="1" customWidth="1"/>
    <col min="21" max="21" width="11" style="4" customWidth="1"/>
    <col min="22" max="22" width="16" style="4" bestFit="1" customWidth="1"/>
    <col min="23" max="23" width="14.5703125" style="4" bestFit="1" customWidth="1"/>
    <col min="24" max="24" width="11" style="4" customWidth="1"/>
    <col min="25" max="25" width="16" style="4" bestFit="1" customWidth="1"/>
    <col min="26" max="26" width="14.5703125" style="4" bestFit="1" customWidth="1"/>
    <col min="27" max="27" width="11" style="4" customWidth="1"/>
    <col min="28" max="28" width="16" style="4" bestFit="1" customWidth="1"/>
    <col min="29" max="29" width="14.5703125" style="4" bestFit="1" customWidth="1"/>
    <col min="30" max="30" width="11" style="4" customWidth="1"/>
    <col min="31" max="31" width="18.5703125" style="4" bestFit="1" customWidth="1"/>
    <col min="32" max="32" width="14.5703125" style="4" bestFit="1" customWidth="1"/>
    <col min="33" max="33" width="11" style="4" customWidth="1"/>
    <col min="34" max="34" width="18.5703125" style="4" bestFit="1" customWidth="1"/>
    <col min="35" max="35" width="14.5703125" style="4" bestFit="1" customWidth="1"/>
    <col min="36" max="36" width="11" style="4" customWidth="1"/>
    <col min="37" max="37" width="16" style="4" bestFit="1" customWidth="1"/>
    <col min="38" max="38" width="15.42578125" style="4" bestFit="1" customWidth="1"/>
    <col min="39" max="39" width="11" style="4" customWidth="1"/>
    <col min="40" max="40" width="16" style="4" bestFit="1" customWidth="1"/>
    <col min="41" max="41" width="15" style="4" bestFit="1" customWidth="1"/>
    <col min="42" max="42" width="11" style="4" customWidth="1"/>
    <col min="43" max="43" width="16" style="4" bestFit="1" customWidth="1"/>
    <col min="44" max="44" width="15.42578125" style="4" bestFit="1" customWidth="1"/>
    <col min="45" max="45" width="11" style="4" customWidth="1"/>
    <col min="46" max="46" width="18.5703125" style="4" bestFit="1" customWidth="1"/>
    <col min="47" max="47" width="15.42578125" style="4" bestFit="1" customWidth="1"/>
    <col min="48" max="48" width="11" style="4" customWidth="1"/>
    <col min="49" max="49" width="16" style="4" bestFit="1" customWidth="1"/>
    <col min="50" max="50" width="15.42578125" style="4" bestFit="1" customWidth="1"/>
    <col min="51" max="51" width="11" style="4" customWidth="1"/>
    <col min="52" max="52" width="16" style="4" bestFit="1" customWidth="1"/>
    <col min="53" max="53" width="15.42578125" style="4" bestFit="1" customWidth="1"/>
    <col min="54" max="54" width="11" style="4" customWidth="1"/>
    <col min="55" max="55" width="18.5703125" style="4" bestFit="1" customWidth="1"/>
    <col min="56" max="56" width="15.42578125" style="4" bestFit="1" customWidth="1"/>
    <col min="57" max="57" width="11" style="4" customWidth="1"/>
    <col min="58" max="58" width="16" style="4" bestFit="1" customWidth="1"/>
    <col min="59" max="59" width="15.42578125" style="4" bestFit="1" customWidth="1"/>
    <col min="60" max="60" width="11" style="4" customWidth="1"/>
    <col min="61" max="61" width="16" style="4" bestFit="1" customWidth="1"/>
    <col min="62" max="62" width="15.42578125" style="4" bestFit="1" customWidth="1"/>
    <col min="63" max="63" width="11" style="4" customWidth="1"/>
    <col min="64" max="64" width="16" style="4" bestFit="1" customWidth="1"/>
    <col min="65" max="65" width="15.42578125" style="4" bestFit="1" customWidth="1"/>
    <col min="66" max="66" width="11" style="4" customWidth="1"/>
    <col min="67" max="67" width="16" style="4" bestFit="1" customWidth="1"/>
    <col min="68" max="68" width="15.85546875" style="4" bestFit="1" customWidth="1"/>
    <col min="69" max="69" width="11" style="4" customWidth="1"/>
    <col min="70" max="70" width="16" style="4" bestFit="1" customWidth="1"/>
    <col min="71" max="71" width="15.42578125" style="4" bestFit="1" customWidth="1"/>
    <col min="72" max="72" width="11" style="4" customWidth="1"/>
    <col min="73" max="73" width="18.5703125" style="4" bestFit="1" customWidth="1"/>
    <col min="74" max="74" width="15.85546875" style="4" bestFit="1" customWidth="1"/>
    <col min="75" max="75" width="11" style="4" customWidth="1"/>
    <col min="76" max="76" width="18.5703125" style="4" bestFit="1" customWidth="1"/>
    <col min="77" max="77" width="15.85546875" style="4" bestFit="1" customWidth="1"/>
    <col min="78" max="78" width="11" style="4" customWidth="1"/>
    <col min="79" max="79" width="18.5703125" style="4" bestFit="1" customWidth="1"/>
    <col min="80" max="80" width="15.85546875" style="4" bestFit="1" customWidth="1"/>
    <col min="81" max="81" width="11" style="4" customWidth="1"/>
    <col min="82" max="82" width="18.5703125" style="4" bestFit="1" customWidth="1"/>
    <col min="83" max="83" width="15.85546875" style="4" bestFit="1" customWidth="1"/>
    <col min="84" max="84" width="11" style="4" customWidth="1"/>
    <col min="85" max="85" width="18.5703125" style="4" bestFit="1" customWidth="1"/>
    <col min="86" max="86" width="15.85546875" style="4" bestFit="1" customWidth="1"/>
    <col min="87" max="87" width="11" style="4" customWidth="1"/>
    <col min="88" max="88" width="18.5703125" style="4" bestFit="1" customWidth="1"/>
    <col min="89" max="89" width="15.85546875" style="4" bestFit="1" customWidth="1"/>
    <col min="90" max="90" width="11" style="4" customWidth="1"/>
    <col min="91" max="91" width="18.5703125" style="4" bestFit="1" customWidth="1"/>
    <col min="92" max="92" width="15.85546875" style="4" bestFit="1" customWidth="1"/>
    <col min="93" max="93" width="11" style="4" customWidth="1"/>
    <col min="94" max="94" width="18.5703125" style="4" bestFit="1" customWidth="1"/>
    <col min="95" max="95" width="15.85546875" style="4" bestFit="1" customWidth="1"/>
    <col min="96" max="96" width="11" style="4" customWidth="1"/>
    <col min="97" max="97" width="18.5703125" style="4" bestFit="1" customWidth="1"/>
    <col min="98" max="98" width="15.85546875" style="4" bestFit="1" customWidth="1"/>
    <col min="99" max="99" width="11" style="4" customWidth="1"/>
    <col min="100" max="100" width="18.5703125" style="4" bestFit="1" customWidth="1"/>
    <col min="101" max="101" width="15.42578125" style="4" bestFit="1" customWidth="1"/>
    <col min="102" max="102" width="11" style="4" customWidth="1"/>
    <col min="103" max="103" width="18.5703125" style="4" bestFit="1" customWidth="1"/>
    <col min="104" max="104" width="18" customWidth="1"/>
    <col min="105" max="105" width="14.42578125" bestFit="1" customWidth="1"/>
  </cols>
  <sheetData>
    <row r="1" spans="1:105" s="137" customFormat="1" ht="48.75" customHeight="1" thickBot="1" x14ac:dyDescent="0.3">
      <c r="A1" s="178" t="s">
        <v>505</v>
      </c>
      <c r="B1" s="177">
        <f>COUNTIF(D3:D32,"ATIVO")</f>
        <v>0</v>
      </c>
      <c r="C1" s="761" t="s">
        <v>1606</v>
      </c>
      <c r="D1" s="762"/>
      <c r="E1" s="762"/>
      <c r="F1" s="762"/>
      <c r="G1" s="762"/>
      <c r="H1" s="762"/>
      <c r="I1" s="762"/>
      <c r="J1" s="763"/>
      <c r="K1" s="764" t="s">
        <v>500</v>
      </c>
      <c r="L1" s="752"/>
      <c r="M1" s="752"/>
      <c r="N1" s="752" t="s">
        <v>500</v>
      </c>
      <c r="O1" s="752"/>
      <c r="P1" s="752"/>
      <c r="Q1" s="752" t="s">
        <v>500</v>
      </c>
      <c r="R1" s="752"/>
      <c r="S1" s="752"/>
      <c r="T1" s="752" t="s">
        <v>500</v>
      </c>
      <c r="U1" s="752"/>
      <c r="V1" s="752"/>
      <c r="W1" s="752" t="s">
        <v>500</v>
      </c>
      <c r="X1" s="752"/>
      <c r="Y1" s="752"/>
      <c r="Z1" s="752" t="s">
        <v>500</v>
      </c>
      <c r="AA1" s="752"/>
      <c r="AB1" s="752"/>
      <c r="AC1" s="752" t="s">
        <v>500</v>
      </c>
      <c r="AD1" s="752"/>
      <c r="AE1" s="752"/>
      <c r="AF1" s="752" t="s">
        <v>500</v>
      </c>
      <c r="AG1" s="752"/>
      <c r="AH1" s="752"/>
      <c r="AI1" s="752" t="s">
        <v>500</v>
      </c>
      <c r="AJ1" s="752"/>
      <c r="AK1" s="752"/>
      <c r="AL1" s="752" t="s">
        <v>500</v>
      </c>
      <c r="AM1" s="752"/>
      <c r="AN1" s="752"/>
      <c r="AO1" s="752" t="s">
        <v>500</v>
      </c>
      <c r="AP1" s="752"/>
      <c r="AQ1" s="752"/>
      <c r="AR1" s="752" t="s">
        <v>500</v>
      </c>
      <c r="AS1" s="752"/>
      <c r="AT1" s="752"/>
      <c r="AU1" s="752" t="s">
        <v>500</v>
      </c>
      <c r="AV1" s="752"/>
      <c r="AW1" s="752"/>
      <c r="AX1" s="752" t="s">
        <v>500</v>
      </c>
      <c r="AY1" s="752"/>
      <c r="AZ1" s="752"/>
      <c r="BA1" s="752" t="s">
        <v>500</v>
      </c>
      <c r="BB1" s="752"/>
      <c r="BC1" s="752"/>
      <c r="BD1" s="752" t="s">
        <v>500</v>
      </c>
      <c r="BE1" s="752"/>
      <c r="BF1" s="752"/>
      <c r="BG1" s="752" t="s">
        <v>500</v>
      </c>
      <c r="BH1" s="752"/>
      <c r="BI1" s="752"/>
      <c r="BJ1" s="752" t="s">
        <v>500</v>
      </c>
      <c r="BK1" s="752"/>
      <c r="BL1" s="752"/>
      <c r="BM1" s="752" t="s">
        <v>500</v>
      </c>
      <c r="BN1" s="752"/>
      <c r="BO1" s="752"/>
      <c r="BP1" s="752" t="s">
        <v>500</v>
      </c>
      <c r="BQ1" s="752"/>
      <c r="BR1" s="752"/>
      <c r="BS1" s="752" t="s">
        <v>500</v>
      </c>
      <c r="BT1" s="752"/>
      <c r="BU1" s="752"/>
      <c r="BV1" s="752" t="s">
        <v>500</v>
      </c>
      <c r="BW1" s="752"/>
      <c r="BX1" s="752"/>
      <c r="BY1" s="752" t="s">
        <v>500</v>
      </c>
      <c r="BZ1" s="752"/>
      <c r="CA1" s="752"/>
      <c r="CB1" s="752" t="s">
        <v>500</v>
      </c>
      <c r="CC1" s="752"/>
      <c r="CD1" s="752"/>
      <c r="CE1" s="752" t="s">
        <v>500</v>
      </c>
      <c r="CF1" s="752"/>
      <c r="CG1" s="752"/>
      <c r="CH1" s="752" t="s">
        <v>500</v>
      </c>
      <c r="CI1" s="752"/>
      <c r="CJ1" s="752"/>
      <c r="CK1" s="752" t="s">
        <v>500</v>
      </c>
      <c r="CL1" s="752"/>
      <c r="CM1" s="752"/>
      <c r="CN1" s="752" t="s">
        <v>500</v>
      </c>
      <c r="CO1" s="752"/>
      <c r="CP1" s="752"/>
      <c r="CQ1" s="752" t="s">
        <v>500</v>
      </c>
      <c r="CR1" s="752"/>
      <c r="CS1" s="752"/>
      <c r="CT1" s="752" t="s">
        <v>500</v>
      </c>
      <c r="CU1" s="752"/>
      <c r="CV1" s="752"/>
      <c r="CW1" s="752" t="s">
        <v>500</v>
      </c>
      <c r="CX1" s="752"/>
      <c r="CY1" s="752"/>
      <c r="CZ1" s="765" t="s">
        <v>4</v>
      </c>
      <c r="DA1" s="767" t="s">
        <v>411</v>
      </c>
    </row>
    <row r="2" spans="1:105" s="137" customFormat="1" ht="30" customHeight="1" thickBot="1" x14ac:dyDescent="0.3">
      <c r="A2" s="170" t="s">
        <v>67</v>
      </c>
      <c r="B2" s="154" t="s">
        <v>0</v>
      </c>
      <c r="C2" s="154" t="s">
        <v>68</v>
      </c>
      <c r="D2" s="154" t="s">
        <v>24</v>
      </c>
      <c r="E2" s="154" t="s">
        <v>69</v>
      </c>
      <c r="F2" s="154" t="s">
        <v>70</v>
      </c>
      <c r="G2" s="154" t="s">
        <v>71</v>
      </c>
      <c r="H2" s="154" t="s">
        <v>100</v>
      </c>
      <c r="I2" s="154" t="s">
        <v>508</v>
      </c>
      <c r="J2" s="155" t="s">
        <v>72</v>
      </c>
      <c r="K2" s="350" t="s">
        <v>468</v>
      </c>
      <c r="L2" s="350" t="s">
        <v>499</v>
      </c>
      <c r="M2" s="350" t="s">
        <v>466</v>
      </c>
      <c r="N2" s="350" t="s">
        <v>469</v>
      </c>
      <c r="O2" s="350" t="s">
        <v>499</v>
      </c>
      <c r="P2" s="350" t="s">
        <v>466</v>
      </c>
      <c r="Q2" s="350" t="s">
        <v>470</v>
      </c>
      <c r="R2" s="350" t="s">
        <v>499</v>
      </c>
      <c r="S2" s="350" t="s">
        <v>466</v>
      </c>
      <c r="T2" s="350" t="s">
        <v>471</v>
      </c>
      <c r="U2" s="350" t="s">
        <v>499</v>
      </c>
      <c r="V2" s="350" t="s">
        <v>466</v>
      </c>
      <c r="W2" s="350" t="s">
        <v>472</v>
      </c>
      <c r="X2" s="350" t="s">
        <v>499</v>
      </c>
      <c r="Y2" s="350" t="s">
        <v>466</v>
      </c>
      <c r="Z2" s="350" t="s">
        <v>473</v>
      </c>
      <c r="AA2" s="350" t="s">
        <v>499</v>
      </c>
      <c r="AB2" s="350" t="s">
        <v>466</v>
      </c>
      <c r="AC2" s="350" t="s">
        <v>474</v>
      </c>
      <c r="AD2" s="350" t="s">
        <v>499</v>
      </c>
      <c r="AE2" s="350" t="s">
        <v>466</v>
      </c>
      <c r="AF2" s="350" t="s">
        <v>475</v>
      </c>
      <c r="AG2" s="350" t="s">
        <v>499</v>
      </c>
      <c r="AH2" s="350" t="s">
        <v>466</v>
      </c>
      <c r="AI2" s="350" t="s">
        <v>476</v>
      </c>
      <c r="AJ2" s="350" t="s">
        <v>499</v>
      </c>
      <c r="AK2" s="350" t="s">
        <v>466</v>
      </c>
      <c r="AL2" s="350" t="s">
        <v>477</v>
      </c>
      <c r="AM2" s="350" t="s">
        <v>499</v>
      </c>
      <c r="AN2" s="350" t="s">
        <v>466</v>
      </c>
      <c r="AO2" s="350" t="s">
        <v>478</v>
      </c>
      <c r="AP2" s="350" t="s">
        <v>499</v>
      </c>
      <c r="AQ2" s="350" t="s">
        <v>466</v>
      </c>
      <c r="AR2" s="350" t="s">
        <v>479</v>
      </c>
      <c r="AS2" s="350" t="s">
        <v>499</v>
      </c>
      <c r="AT2" s="350" t="s">
        <v>466</v>
      </c>
      <c r="AU2" s="350" t="s">
        <v>480</v>
      </c>
      <c r="AV2" s="350" t="s">
        <v>499</v>
      </c>
      <c r="AW2" s="350" t="s">
        <v>466</v>
      </c>
      <c r="AX2" s="350" t="s">
        <v>481</v>
      </c>
      <c r="AY2" s="350" t="s">
        <v>499</v>
      </c>
      <c r="AZ2" s="350" t="s">
        <v>466</v>
      </c>
      <c r="BA2" s="350" t="s">
        <v>482</v>
      </c>
      <c r="BB2" s="350" t="s">
        <v>499</v>
      </c>
      <c r="BC2" s="350" t="s">
        <v>466</v>
      </c>
      <c r="BD2" s="350" t="s">
        <v>483</v>
      </c>
      <c r="BE2" s="350" t="s">
        <v>499</v>
      </c>
      <c r="BF2" s="350" t="s">
        <v>466</v>
      </c>
      <c r="BG2" s="350" t="s">
        <v>484</v>
      </c>
      <c r="BH2" s="350" t="s">
        <v>499</v>
      </c>
      <c r="BI2" s="350" t="s">
        <v>466</v>
      </c>
      <c r="BJ2" s="350" t="s">
        <v>485</v>
      </c>
      <c r="BK2" s="350" t="s">
        <v>499</v>
      </c>
      <c r="BL2" s="350" t="s">
        <v>466</v>
      </c>
      <c r="BM2" s="350" t="s">
        <v>486</v>
      </c>
      <c r="BN2" s="350" t="s">
        <v>499</v>
      </c>
      <c r="BO2" s="350" t="s">
        <v>466</v>
      </c>
      <c r="BP2" s="350" t="s">
        <v>487</v>
      </c>
      <c r="BQ2" s="350" t="s">
        <v>499</v>
      </c>
      <c r="BR2" s="350" t="s">
        <v>466</v>
      </c>
      <c r="BS2" s="350" t="s">
        <v>488</v>
      </c>
      <c r="BT2" s="350" t="s">
        <v>499</v>
      </c>
      <c r="BU2" s="350" t="s">
        <v>466</v>
      </c>
      <c r="BV2" s="350" t="s">
        <v>489</v>
      </c>
      <c r="BW2" s="350" t="s">
        <v>499</v>
      </c>
      <c r="BX2" s="350" t="s">
        <v>466</v>
      </c>
      <c r="BY2" s="350" t="s">
        <v>490</v>
      </c>
      <c r="BZ2" s="350" t="s">
        <v>499</v>
      </c>
      <c r="CA2" s="350" t="s">
        <v>466</v>
      </c>
      <c r="CB2" s="350" t="s">
        <v>491</v>
      </c>
      <c r="CC2" s="350" t="s">
        <v>499</v>
      </c>
      <c r="CD2" s="350" t="s">
        <v>466</v>
      </c>
      <c r="CE2" s="350" t="s">
        <v>492</v>
      </c>
      <c r="CF2" s="350" t="s">
        <v>499</v>
      </c>
      <c r="CG2" s="350" t="s">
        <v>466</v>
      </c>
      <c r="CH2" s="350" t="s">
        <v>493</v>
      </c>
      <c r="CI2" s="350" t="s">
        <v>499</v>
      </c>
      <c r="CJ2" s="350" t="s">
        <v>466</v>
      </c>
      <c r="CK2" s="350" t="s">
        <v>494</v>
      </c>
      <c r="CL2" s="350" t="s">
        <v>499</v>
      </c>
      <c r="CM2" s="350" t="s">
        <v>466</v>
      </c>
      <c r="CN2" s="350" t="s">
        <v>495</v>
      </c>
      <c r="CO2" s="350" t="s">
        <v>499</v>
      </c>
      <c r="CP2" s="350" t="s">
        <v>466</v>
      </c>
      <c r="CQ2" s="350" t="s">
        <v>496</v>
      </c>
      <c r="CR2" s="350" t="s">
        <v>499</v>
      </c>
      <c r="CS2" s="350" t="s">
        <v>466</v>
      </c>
      <c r="CT2" s="350" t="s">
        <v>497</v>
      </c>
      <c r="CU2" s="350" t="s">
        <v>499</v>
      </c>
      <c r="CV2" s="350" t="s">
        <v>466</v>
      </c>
      <c r="CW2" s="350" t="s">
        <v>498</v>
      </c>
      <c r="CX2" s="350" t="s">
        <v>499</v>
      </c>
      <c r="CY2" s="350" t="s">
        <v>466</v>
      </c>
      <c r="CZ2" s="766"/>
      <c r="DA2" s="768"/>
    </row>
    <row r="3" spans="1:105" s="70" customFormat="1" ht="22.5" customHeight="1" x14ac:dyDescent="0.25">
      <c r="A3" s="355" t="s">
        <v>1082</v>
      </c>
      <c r="B3" s="152" t="s">
        <v>1073</v>
      </c>
      <c r="C3" s="152" t="s">
        <v>1074</v>
      </c>
      <c r="D3" s="152" t="s">
        <v>6</v>
      </c>
      <c r="E3" s="152">
        <v>5118</v>
      </c>
      <c r="F3" s="152">
        <v>6852</v>
      </c>
      <c r="G3" s="152">
        <f>F3-E3</f>
        <v>1734</v>
      </c>
      <c r="H3" s="179">
        <f>SUM(K3+N3+Q3+T3+W3+Z3+AC3+AF3+AI3+AL3+AO3+AR3+AU3+AX3+BA3+BD3+BG3+BJ3+BM3+BP3+BS3+BV3+BY3+CB3+CE3+CH3+CK3+CN3+CQ3+CT3+CW3)</f>
        <v>939.87</v>
      </c>
      <c r="I3" s="153">
        <f>COUNTA(L3,O3,R3,U3,X3,AA3,AD3,AG3,AJ3,AM3,AP3,AS3,AV3,AY3,BB3,BE3,BH3,BK3,BN3,BQ3,BT3,BW3,BZ3,CC3,CF3,CI3,CL3,CO3,CR3,CU3,CX3)</f>
        <v>4</v>
      </c>
      <c r="J3" s="152" t="s">
        <v>79</v>
      </c>
      <c r="K3" s="156"/>
      <c r="L3" s="157"/>
      <c r="M3" s="211"/>
      <c r="N3" s="156"/>
      <c r="O3" s="157"/>
      <c r="P3" s="211"/>
      <c r="Q3" s="156"/>
      <c r="R3" s="157"/>
      <c r="S3" s="211"/>
      <c r="T3" s="156">
        <v>234.72</v>
      </c>
      <c r="U3" s="157">
        <v>41.991</v>
      </c>
      <c r="V3" s="211" t="s">
        <v>1130</v>
      </c>
      <c r="W3" s="156"/>
      <c r="X3" s="157"/>
      <c r="Y3" s="211"/>
      <c r="Z3" s="156"/>
      <c r="AA3" s="157"/>
      <c r="AB3" s="211"/>
      <c r="AC3" s="156"/>
      <c r="AD3" s="157"/>
      <c r="AE3" s="211"/>
      <c r="AF3" s="156"/>
      <c r="AG3" s="157"/>
      <c r="AH3" s="211"/>
      <c r="AI3" s="156">
        <v>248.03</v>
      </c>
      <c r="AJ3" s="157">
        <v>44.372</v>
      </c>
      <c r="AK3" s="211" t="s">
        <v>1130</v>
      </c>
      <c r="AL3" s="156"/>
      <c r="AM3" s="157"/>
      <c r="AN3" s="211"/>
      <c r="AO3" s="156"/>
      <c r="AP3" s="157"/>
      <c r="AQ3" s="211"/>
      <c r="AR3" s="156"/>
      <c r="AS3" s="157"/>
      <c r="AT3" s="211"/>
      <c r="AU3" s="156"/>
      <c r="AV3" s="157"/>
      <c r="AW3" s="211"/>
      <c r="AX3" s="156"/>
      <c r="AY3" s="157"/>
      <c r="AZ3" s="211"/>
      <c r="BA3" s="156"/>
      <c r="BB3" s="157"/>
      <c r="BC3" s="211"/>
      <c r="BD3" s="156"/>
      <c r="BE3" s="157"/>
      <c r="BF3" s="211"/>
      <c r="BG3" s="156"/>
      <c r="BH3" s="157"/>
      <c r="BI3" s="211"/>
      <c r="BJ3" s="156"/>
      <c r="BK3" s="157"/>
      <c r="BL3" s="211"/>
      <c r="BM3" s="156">
        <v>225.04</v>
      </c>
      <c r="BN3" s="157">
        <v>40.259</v>
      </c>
      <c r="BO3" s="211" t="s">
        <v>1130</v>
      </c>
      <c r="BP3" s="156"/>
      <c r="BQ3" s="157"/>
      <c r="BR3" s="211"/>
      <c r="BS3" s="156"/>
      <c r="BT3" s="157"/>
      <c r="BU3" s="211"/>
      <c r="BV3" s="156"/>
      <c r="BW3" s="157"/>
      <c r="BX3" s="211"/>
      <c r="BY3" s="156"/>
      <c r="BZ3" s="157"/>
      <c r="CA3" s="211"/>
      <c r="CB3" s="156"/>
      <c r="CC3" s="157"/>
      <c r="CD3" s="211"/>
      <c r="CE3" s="156"/>
      <c r="CF3" s="157"/>
      <c r="CG3" s="211"/>
      <c r="CH3" s="156"/>
      <c r="CI3" s="157"/>
      <c r="CJ3" s="211"/>
      <c r="CK3" s="156">
        <v>232.08</v>
      </c>
      <c r="CL3" s="157">
        <v>41.517000000000003</v>
      </c>
      <c r="CM3" s="211" t="s">
        <v>1130</v>
      </c>
      <c r="CN3" s="156"/>
      <c r="CO3" s="157"/>
      <c r="CP3" s="211"/>
      <c r="CQ3" s="156"/>
      <c r="CR3" s="157"/>
      <c r="CS3" s="211"/>
      <c r="CT3" s="156"/>
      <c r="CU3" s="157"/>
      <c r="CV3" s="211"/>
      <c r="CW3" s="156"/>
      <c r="CX3" s="157"/>
      <c r="CY3" s="211"/>
      <c r="CZ3" s="157"/>
      <c r="DA3" s="229"/>
    </row>
    <row r="4" spans="1:105" s="70" customFormat="1" ht="22.5" customHeight="1" x14ac:dyDescent="0.25">
      <c r="A4" s="356" t="s">
        <v>1081</v>
      </c>
      <c r="B4" s="145" t="s">
        <v>861</v>
      </c>
      <c r="C4" s="145" t="s">
        <v>865</v>
      </c>
      <c r="D4" s="145" t="s">
        <v>6</v>
      </c>
      <c r="E4" s="145">
        <v>9480</v>
      </c>
      <c r="F4" s="145">
        <v>12392</v>
      </c>
      <c r="G4" s="145">
        <f>F4-E4</f>
        <v>2912</v>
      </c>
      <c r="H4" s="144">
        <f>SUM(K4+N4+Q4+T4+W4+Z4+AC4+AF4+AI4+AL4+AO4+AR4+AU4+AX4+BA4+BD4+BG4+BJ4+BM4+BP4+BS4+BV4+BY4+CB4+CE4+CH4+CK4+CN4+CQ4+CT4+CW4)</f>
        <v>1771.1400000000003</v>
      </c>
      <c r="I4" s="143">
        <f>COUNTA(L4,O4,R4,U4,X4,AA4,AD4,AG4,AJ4,AM4,AP4,AS4,AV4,AY4,BB4,BE4,BH4,BK4,BN4,BQ4,BT4,BW4,BZ4,CC4,CF4,CI4,CL4,CO4,CR4,CU4,CX4)</f>
        <v>9</v>
      </c>
      <c r="J4" s="145" t="s">
        <v>79</v>
      </c>
      <c r="K4" s="163"/>
      <c r="L4" s="162"/>
      <c r="M4" s="207"/>
      <c r="N4" s="163"/>
      <c r="O4" s="162"/>
      <c r="P4" s="207"/>
      <c r="Q4" s="163"/>
      <c r="R4" s="162"/>
      <c r="S4" s="207"/>
      <c r="T4" s="163">
        <v>251.07</v>
      </c>
      <c r="U4" s="162">
        <v>44.914999999999999</v>
      </c>
      <c r="V4" s="207" t="s">
        <v>1130</v>
      </c>
      <c r="W4" s="163"/>
      <c r="X4" s="162"/>
      <c r="Y4" s="207"/>
      <c r="Z4" s="163">
        <v>161</v>
      </c>
      <c r="AA4" s="162">
        <v>28.802</v>
      </c>
      <c r="AB4" s="207" t="s">
        <v>1130</v>
      </c>
      <c r="AC4" s="163"/>
      <c r="AD4" s="162"/>
      <c r="AE4" s="207"/>
      <c r="AF4" s="163"/>
      <c r="AG4" s="162"/>
      <c r="AH4" s="207"/>
      <c r="AI4" s="163">
        <v>41.46</v>
      </c>
      <c r="AJ4" s="162">
        <v>7.4169999999999998</v>
      </c>
      <c r="AK4" s="207" t="s">
        <v>1130</v>
      </c>
      <c r="AL4" s="163">
        <v>228.46</v>
      </c>
      <c r="AM4" s="162">
        <v>40.871000000000002</v>
      </c>
      <c r="AN4" s="207" t="s">
        <v>1130</v>
      </c>
      <c r="AO4" s="163"/>
      <c r="AP4" s="162"/>
      <c r="AQ4" s="207"/>
      <c r="AR4" s="163"/>
      <c r="AS4" s="162"/>
      <c r="AT4" s="207"/>
      <c r="AU4" s="163">
        <v>266.64</v>
      </c>
      <c r="AV4" s="162">
        <v>47.701000000000001</v>
      </c>
      <c r="AW4" s="207" t="s">
        <v>1130</v>
      </c>
      <c r="AX4" s="163"/>
      <c r="AY4" s="162"/>
      <c r="AZ4" s="207"/>
      <c r="BA4" s="163"/>
      <c r="BB4" s="162"/>
      <c r="BC4" s="207"/>
      <c r="BD4" s="163"/>
      <c r="BE4" s="162"/>
      <c r="BF4" s="207"/>
      <c r="BG4" s="163"/>
      <c r="BH4" s="162"/>
      <c r="BI4" s="207"/>
      <c r="BJ4" s="163">
        <v>243.84</v>
      </c>
      <c r="BK4" s="162">
        <v>43.621000000000002</v>
      </c>
      <c r="BL4" s="207" t="s">
        <v>1130</v>
      </c>
      <c r="BM4" s="163">
        <v>85.64</v>
      </c>
      <c r="BN4" s="162">
        <v>15.321999999999999</v>
      </c>
      <c r="BO4" s="207" t="s">
        <v>1130</v>
      </c>
      <c r="BP4" s="163"/>
      <c r="BQ4" s="162"/>
      <c r="BR4" s="207"/>
      <c r="BS4" s="163"/>
      <c r="BT4" s="162"/>
      <c r="BU4" s="207"/>
      <c r="BV4" s="163"/>
      <c r="BW4" s="162"/>
      <c r="BX4" s="207"/>
      <c r="BY4" s="163"/>
      <c r="BZ4" s="162"/>
      <c r="CA4" s="207"/>
      <c r="CB4" s="163">
        <v>248.38</v>
      </c>
      <c r="CC4" s="162">
        <v>44.433999999999997</v>
      </c>
      <c r="CD4" s="207" t="s">
        <v>1130</v>
      </c>
      <c r="CE4" s="163"/>
      <c r="CF4" s="162"/>
      <c r="CG4" s="207"/>
      <c r="CH4" s="163"/>
      <c r="CI4" s="162"/>
      <c r="CJ4" s="207"/>
      <c r="CK4" s="163"/>
      <c r="CL4" s="162"/>
      <c r="CM4" s="207"/>
      <c r="CN4" s="163"/>
      <c r="CO4" s="162"/>
      <c r="CP4" s="207"/>
      <c r="CQ4" s="163"/>
      <c r="CR4" s="162"/>
      <c r="CS4" s="207"/>
      <c r="CT4" s="163">
        <v>244.65</v>
      </c>
      <c r="CU4" s="162">
        <v>43.76</v>
      </c>
      <c r="CV4" s="207" t="s">
        <v>1130</v>
      </c>
      <c r="CW4" s="163"/>
      <c r="CX4" s="162"/>
      <c r="CY4" s="207"/>
      <c r="CZ4" s="162"/>
      <c r="DA4" s="231"/>
    </row>
    <row r="5" spans="1:105" s="70" customFormat="1" ht="22.5" customHeight="1" x14ac:dyDescent="0.25">
      <c r="A5" s="356" t="s">
        <v>1086</v>
      </c>
      <c r="B5" s="145" t="s">
        <v>1087</v>
      </c>
      <c r="C5" s="145" t="s">
        <v>12</v>
      </c>
      <c r="D5" s="145" t="s">
        <v>6</v>
      </c>
      <c r="E5" s="145">
        <v>28299</v>
      </c>
      <c r="F5" s="145">
        <v>31590</v>
      </c>
      <c r="G5" s="145">
        <f>F5-E5</f>
        <v>3291</v>
      </c>
      <c r="H5" s="144">
        <f>SUM(K5+N5+Q5+T5+W5+Z5+AC5+AF5+AI5+AL5+AO5+AR5+AU5+AX5+BA5+BD5+BG5+BJ5+BM5+BP5+BS5+BV5+BY5+CB5+CE5+CH5+CK5+CN5+CQ5+CT5+CW5)</f>
        <v>1617.06</v>
      </c>
      <c r="I5" s="143">
        <f t="shared" ref="I5:I6" si="0">COUNTA(L5,O5,R5,U5,X5,AA5,AD5,AG5,AJ5,AM5,AP5,AS5,AV5,AY5,BB5,BE5,BH5,BK5,BN5,BQ5,BT5,BW5,BZ5,CC5,CF5,CI5,CL5,CO5,CR5,CU5,CX5)</f>
        <v>7</v>
      </c>
      <c r="J5" s="145" t="s">
        <v>79</v>
      </c>
      <c r="K5" s="163"/>
      <c r="L5" s="162"/>
      <c r="M5" s="207"/>
      <c r="N5" s="163"/>
      <c r="O5" s="162"/>
      <c r="P5" s="207"/>
      <c r="Q5" s="163">
        <v>210.02</v>
      </c>
      <c r="R5" s="162">
        <v>37.572000000000003</v>
      </c>
      <c r="S5" s="207" t="s">
        <v>1130</v>
      </c>
      <c r="T5" s="163"/>
      <c r="U5" s="162"/>
      <c r="V5" s="207"/>
      <c r="W5" s="163"/>
      <c r="X5" s="162"/>
      <c r="Y5" s="207"/>
      <c r="Z5" s="163">
        <v>243.16</v>
      </c>
      <c r="AA5" s="162">
        <v>43.5</v>
      </c>
      <c r="AB5" s="207" t="s">
        <v>1130</v>
      </c>
      <c r="AC5" s="163"/>
      <c r="AD5" s="162"/>
      <c r="AE5" s="207"/>
      <c r="AF5" s="163"/>
      <c r="AG5" s="162"/>
      <c r="AH5" s="207"/>
      <c r="AI5" s="163">
        <v>249.42</v>
      </c>
      <c r="AJ5" s="162">
        <v>44.62</v>
      </c>
      <c r="AK5" s="207" t="s">
        <v>1130</v>
      </c>
      <c r="AL5" s="163"/>
      <c r="AM5" s="162"/>
      <c r="AN5" s="207"/>
      <c r="AO5" s="163"/>
      <c r="AP5" s="162"/>
      <c r="AQ5" s="207"/>
      <c r="AR5" s="163"/>
      <c r="AS5" s="162"/>
      <c r="AT5" s="207"/>
      <c r="AU5" s="163">
        <v>174.27</v>
      </c>
      <c r="AV5" s="162">
        <v>31.175999999999998</v>
      </c>
      <c r="AW5" s="207" t="s">
        <v>1130</v>
      </c>
      <c r="AX5" s="163"/>
      <c r="AY5" s="162"/>
      <c r="AZ5" s="207"/>
      <c r="BA5" s="163"/>
      <c r="BB5" s="162"/>
      <c r="BC5" s="207"/>
      <c r="BD5" s="163"/>
      <c r="BE5" s="162"/>
      <c r="BF5" s="207"/>
      <c r="BG5" s="163"/>
      <c r="BH5" s="162"/>
      <c r="BI5" s="207"/>
      <c r="BJ5" s="163">
        <v>275</v>
      </c>
      <c r="BK5" s="162">
        <v>49.195999999999998</v>
      </c>
      <c r="BL5" s="207" t="s">
        <v>1130</v>
      </c>
      <c r="BM5" s="163"/>
      <c r="BN5" s="162"/>
      <c r="BO5" s="207"/>
      <c r="BP5" s="163"/>
      <c r="BQ5" s="162"/>
      <c r="BR5" s="207"/>
      <c r="BS5" s="163"/>
      <c r="BT5" s="162"/>
      <c r="BU5" s="207"/>
      <c r="BV5" s="163"/>
      <c r="BW5" s="162"/>
      <c r="BX5" s="207"/>
      <c r="BY5" s="163"/>
      <c r="BZ5" s="162"/>
      <c r="CA5" s="207"/>
      <c r="CB5" s="163">
        <v>272.17</v>
      </c>
      <c r="CC5" s="162">
        <v>48.689</v>
      </c>
      <c r="CD5" s="207" t="s">
        <v>1130</v>
      </c>
      <c r="CE5" s="163"/>
      <c r="CF5" s="162"/>
      <c r="CG5" s="207"/>
      <c r="CH5" s="163"/>
      <c r="CI5" s="162"/>
      <c r="CJ5" s="207"/>
      <c r="CK5" s="163">
        <v>193.02</v>
      </c>
      <c r="CL5" s="162">
        <v>34.530999999999999</v>
      </c>
      <c r="CM5" s="207" t="s">
        <v>1130</v>
      </c>
      <c r="CN5" s="163"/>
      <c r="CO5" s="162"/>
      <c r="CP5" s="207"/>
      <c r="CQ5" s="163"/>
      <c r="CR5" s="162"/>
      <c r="CS5" s="207"/>
      <c r="CT5" s="163"/>
      <c r="CU5" s="162"/>
      <c r="CV5" s="207"/>
      <c r="CW5" s="163"/>
      <c r="CX5" s="162"/>
      <c r="CY5" s="207"/>
      <c r="CZ5" s="162"/>
      <c r="DA5" s="231"/>
    </row>
    <row r="6" spans="1:105" s="70" customFormat="1" ht="22.5" customHeight="1" x14ac:dyDescent="0.25">
      <c r="A6" s="356" t="s">
        <v>1032</v>
      </c>
      <c r="B6" s="145" t="s">
        <v>1031</v>
      </c>
      <c r="C6" s="145" t="s">
        <v>7</v>
      </c>
      <c r="D6" s="145" t="s">
        <v>6</v>
      </c>
      <c r="E6" s="145">
        <v>7930</v>
      </c>
      <c r="F6" s="145">
        <v>10990</v>
      </c>
      <c r="G6" s="145">
        <f>F6-E6</f>
        <v>3060</v>
      </c>
      <c r="H6" s="144">
        <f>SUM(K6+N6+Q6+T6+W6+Z6+AC6+AF6+AI6+AL6+AO6+AR6+AU6+AX6+BA6+BD6+BG6+BJ6+BM6+BP6+BS6+BV6+BY6+CB6+CE6+CH6+CK6+CN6+CQ6+CT6+CW6)</f>
        <v>1380.48</v>
      </c>
      <c r="I6" s="143">
        <f t="shared" si="0"/>
        <v>10</v>
      </c>
      <c r="J6" s="145" t="s">
        <v>79</v>
      </c>
      <c r="K6" s="163">
        <v>181.06</v>
      </c>
      <c r="L6" s="162">
        <v>32.39</v>
      </c>
      <c r="M6" s="206" t="s">
        <v>1130</v>
      </c>
      <c r="N6" s="163"/>
      <c r="O6" s="162"/>
      <c r="P6" s="206"/>
      <c r="Q6" s="163"/>
      <c r="R6" s="162"/>
      <c r="S6" s="206"/>
      <c r="T6" s="163"/>
      <c r="U6" s="162"/>
      <c r="V6" s="206"/>
      <c r="W6" s="163"/>
      <c r="X6" s="162"/>
      <c r="Y6" s="206"/>
      <c r="Z6" s="163"/>
      <c r="AA6" s="162"/>
      <c r="AB6" s="206"/>
      <c r="AC6" s="163"/>
      <c r="AD6" s="162"/>
      <c r="AE6" s="206"/>
      <c r="AF6" s="163"/>
      <c r="AG6" s="162"/>
      <c r="AH6" s="206"/>
      <c r="AI6" s="163">
        <v>168.09</v>
      </c>
      <c r="AJ6" s="162">
        <v>30.071000000000002</v>
      </c>
      <c r="AK6" s="206" t="s">
        <v>1130</v>
      </c>
      <c r="AL6" s="163"/>
      <c r="AM6" s="162"/>
      <c r="AN6" s="206"/>
      <c r="AO6" s="163"/>
      <c r="AP6" s="162"/>
      <c r="AQ6" s="206"/>
      <c r="AR6" s="163">
        <v>197.16</v>
      </c>
      <c r="AS6" s="162">
        <v>35.271000000000001</v>
      </c>
      <c r="AT6" s="206" t="s">
        <v>1130</v>
      </c>
      <c r="AU6" s="163"/>
      <c r="AV6" s="162"/>
      <c r="AW6" s="206"/>
      <c r="AX6" s="163"/>
      <c r="AY6" s="162"/>
      <c r="AZ6" s="206"/>
      <c r="BA6" s="163"/>
      <c r="BB6" s="162"/>
      <c r="BC6" s="206"/>
      <c r="BD6" s="163">
        <v>110</v>
      </c>
      <c r="BE6" s="162">
        <v>19.678999999999998</v>
      </c>
      <c r="BF6" s="206" t="s">
        <v>1130</v>
      </c>
      <c r="BG6" s="163"/>
      <c r="BH6" s="162"/>
      <c r="BI6" s="206"/>
      <c r="BJ6" s="163">
        <v>197.1</v>
      </c>
      <c r="BK6" s="162">
        <v>35.26</v>
      </c>
      <c r="BL6" s="206" t="s">
        <v>1130</v>
      </c>
      <c r="BM6" s="163">
        <v>68.83</v>
      </c>
      <c r="BN6" s="162">
        <v>12.31</v>
      </c>
      <c r="BO6" s="206" t="s">
        <v>1130</v>
      </c>
      <c r="BP6" s="163"/>
      <c r="BQ6" s="162"/>
      <c r="BR6" s="206"/>
      <c r="BS6" s="163"/>
      <c r="BT6" s="162"/>
      <c r="BU6" s="206"/>
      <c r="BV6" s="163">
        <v>50</v>
      </c>
      <c r="BW6" s="162">
        <v>8.9550000000000001</v>
      </c>
      <c r="BX6" s="206" t="s">
        <v>1130</v>
      </c>
      <c r="BY6" s="163">
        <v>188.62</v>
      </c>
      <c r="BZ6" s="162">
        <v>33.743000000000002</v>
      </c>
      <c r="CA6" s="206" t="s">
        <v>1130</v>
      </c>
      <c r="CB6" s="163">
        <v>129.29</v>
      </c>
      <c r="CC6" s="162">
        <v>23.129000000000001</v>
      </c>
      <c r="CD6" s="206" t="s">
        <v>1130</v>
      </c>
      <c r="CE6" s="163"/>
      <c r="CF6" s="162"/>
      <c r="CG6" s="206"/>
      <c r="CH6" s="163"/>
      <c r="CI6" s="162"/>
      <c r="CJ6" s="206"/>
      <c r="CK6" s="163"/>
      <c r="CL6" s="162"/>
      <c r="CM6" s="206"/>
      <c r="CN6" s="163"/>
      <c r="CO6" s="162"/>
      <c r="CP6" s="206"/>
      <c r="CQ6" s="163"/>
      <c r="CR6" s="162"/>
      <c r="CS6" s="206"/>
      <c r="CT6" s="163">
        <v>90.33</v>
      </c>
      <c r="CU6" s="162">
        <v>34.04</v>
      </c>
      <c r="CV6" s="206" t="s">
        <v>1130</v>
      </c>
      <c r="CW6" s="163"/>
      <c r="CX6" s="162"/>
      <c r="CY6" s="206"/>
      <c r="CZ6" s="162"/>
      <c r="DA6" s="231"/>
    </row>
    <row r="7" spans="1:105" s="70" customFormat="1" ht="22.5" customHeight="1" thickBot="1" x14ac:dyDescent="0.3">
      <c r="A7" s="357" t="s">
        <v>862</v>
      </c>
      <c r="B7" s="148" t="s">
        <v>863</v>
      </c>
      <c r="C7" s="148" t="s">
        <v>864</v>
      </c>
      <c r="D7" s="148" t="s">
        <v>6</v>
      </c>
      <c r="E7" s="148">
        <v>9906</v>
      </c>
      <c r="F7" s="148">
        <v>12829</v>
      </c>
      <c r="G7" s="148">
        <f t="shared" ref="G7" si="1">F7-E7</f>
        <v>2923</v>
      </c>
      <c r="H7" s="149">
        <f t="shared" ref="H7" si="2">SUM(K7+N7+Q7+T7+W7+Z7+AC7+AF7+AI7+AL7+AO7+AR7+AU7+AX7+BA7+BD7+BG7+BJ7+BM7+BP7+BS7+BV7+BY7+CB7+CE7+CH7+CK7+CN7+CQ7+CT7+CW7)</f>
        <v>2113.4499999999998</v>
      </c>
      <c r="I7" s="150">
        <f>COUNTA(L7,O7,R7,U7,X7,AA7,AD7,AG7,AJ7,AM7,AP7,AS7,AV7,AY7,BB7,BE7,BH7,BK7,BN7,BQ7,BT7,BW7,BZ7,CC7,CF7,CI7,CL7,CO7,CR7,CU7,CX7)</f>
        <v>9</v>
      </c>
      <c r="J7" s="148" t="s">
        <v>79</v>
      </c>
      <c r="K7" s="174"/>
      <c r="L7" s="171"/>
      <c r="M7" s="296"/>
      <c r="N7" s="174">
        <v>290</v>
      </c>
      <c r="O7" s="171">
        <v>51.88</v>
      </c>
      <c r="P7" s="296" t="s">
        <v>1130</v>
      </c>
      <c r="Q7" s="174"/>
      <c r="R7" s="171"/>
      <c r="S7" s="296"/>
      <c r="T7" s="174"/>
      <c r="U7" s="171"/>
      <c r="V7" s="296"/>
      <c r="W7" s="174"/>
      <c r="X7" s="171"/>
      <c r="Y7" s="296"/>
      <c r="Z7" s="174">
        <v>181.06</v>
      </c>
      <c r="AA7" s="171">
        <v>32.39</v>
      </c>
      <c r="AB7" s="296" t="s">
        <v>1130</v>
      </c>
      <c r="AC7" s="174"/>
      <c r="AD7" s="171"/>
      <c r="AE7" s="296"/>
      <c r="AF7" s="174"/>
      <c r="AG7" s="171"/>
      <c r="AH7" s="296"/>
      <c r="AI7" s="174"/>
      <c r="AJ7" s="171"/>
      <c r="AK7" s="296"/>
      <c r="AL7" s="174">
        <v>170.36</v>
      </c>
      <c r="AM7" s="171">
        <v>30.475999999999999</v>
      </c>
      <c r="AN7" s="296" t="s">
        <v>1130</v>
      </c>
      <c r="AO7" s="174"/>
      <c r="AP7" s="171"/>
      <c r="AQ7" s="296"/>
      <c r="AR7" s="174">
        <v>251.53</v>
      </c>
      <c r="AS7" s="171">
        <v>45.006</v>
      </c>
      <c r="AT7" s="296" t="s">
        <v>1130</v>
      </c>
      <c r="AU7" s="174"/>
      <c r="AV7" s="171"/>
      <c r="AW7" s="296"/>
      <c r="AX7" s="174"/>
      <c r="AY7" s="171"/>
      <c r="AZ7" s="296"/>
      <c r="BA7" s="174"/>
      <c r="BB7" s="171"/>
      <c r="BC7" s="296"/>
      <c r="BD7" s="174"/>
      <c r="BE7" s="171"/>
      <c r="BF7" s="296"/>
      <c r="BG7" s="174">
        <v>240</v>
      </c>
      <c r="BH7" s="171">
        <v>42.942999999999998</v>
      </c>
      <c r="BI7" s="296" t="s">
        <v>1130</v>
      </c>
      <c r="BJ7" s="174"/>
      <c r="BK7" s="171"/>
      <c r="BL7" s="296"/>
      <c r="BM7" s="174">
        <v>250.01</v>
      </c>
      <c r="BN7" s="171">
        <v>44.725000000000001</v>
      </c>
      <c r="BO7" s="296" t="s">
        <v>1130</v>
      </c>
      <c r="BP7" s="174"/>
      <c r="BQ7" s="171"/>
      <c r="BR7" s="296"/>
      <c r="BS7" s="174"/>
      <c r="BT7" s="171"/>
      <c r="BU7" s="296"/>
      <c r="BV7" s="174"/>
      <c r="BW7" s="171"/>
      <c r="BX7" s="296"/>
      <c r="BY7" s="174">
        <v>226.31</v>
      </c>
      <c r="BZ7" s="171">
        <v>40.479999999999997</v>
      </c>
      <c r="CA7" s="296" t="s">
        <v>1130</v>
      </c>
      <c r="CB7" s="174"/>
      <c r="CC7" s="171"/>
      <c r="CD7" s="296"/>
      <c r="CE7" s="174"/>
      <c r="CF7" s="171"/>
      <c r="CG7" s="296"/>
      <c r="CH7" s="174">
        <v>244.12</v>
      </c>
      <c r="CI7" s="171">
        <v>43.671999999999997</v>
      </c>
      <c r="CJ7" s="296" t="s">
        <v>1130</v>
      </c>
      <c r="CK7" s="174"/>
      <c r="CL7" s="171"/>
      <c r="CM7" s="296"/>
      <c r="CN7" s="174"/>
      <c r="CO7" s="171"/>
      <c r="CP7" s="296"/>
      <c r="CQ7" s="174"/>
      <c r="CR7" s="171"/>
      <c r="CS7" s="296"/>
      <c r="CT7" s="174">
        <v>260.06</v>
      </c>
      <c r="CU7" s="171">
        <v>46.523000000000003</v>
      </c>
      <c r="CV7" s="296" t="s">
        <v>1130</v>
      </c>
      <c r="CW7" s="174"/>
      <c r="CX7" s="171"/>
      <c r="CY7" s="296"/>
      <c r="CZ7" s="171"/>
      <c r="DA7" s="297"/>
    </row>
    <row r="8" spans="1:105" s="70" customFormat="1" ht="22.5" customHeight="1" x14ac:dyDescent="0.25">
      <c r="A8" s="411" t="s">
        <v>1082</v>
      </c>
      <c r="B8" s="152" t="s">
        <v>1073</v>
      </c>
      <c r="C8" s="152" t="s">
        <v>1074</v>
      </c>
      <c r="D8" s="152" t="s">
        <v>215</v>
      </c>
      <c r="E8" s="152">
        <v>6852</v>
      </c>
      <c r="F8" s="152">
        <v>7238</v>
      </c>
      <c r="G8" s="435">
        <f>F8-E8</f>
        <v>386</v>
      </c>
      <c r="H8" s="436">
        <f>SUM(K8+N8+Q8+T8+W8+Z8+AC8+AF8+AI8+AL8+AO8+AR8+AU8+AX8+BA8+BD8+BG8+BJ8+BM8+BP8+BS8+BV8+BY8+CB8+CE8+CH8+CK8+CN8+CQ8+CT8+CW8)</f>
        <v>192.06</v>
      </c>
      <c r="I8" s="437">
        <f>COUNTA(L8,O8,R8,U8,X8,AA8,AD8,AG8,AJ8,AM8,AP8,AS8,AV8,AY8,BB8,BE8,BH8,BK8,BN8,BQ8,BT8,BW8,BZ8,CC8,CF8,CI8,CL8,CO8,CR8,CU8,CX8)</f>
        <v>1</v>
      </c>
      <c r="J8" s="412" t="s">
        <v>80</v>
      </c>
      <c r="K8" s="156">
        <v>192.06</v>
      </c>
      <c r="L8" s="157">
        <v>34.359000000000002</v>
      </c>
      <c r="M8" s="211" t="s">
        <v>1130</v>
      </c>
      <c r="N8" s="156"/>
      <c r="O8" s="157"/>
      <c r="P8" s="211"/>
      <c r="Q8" s="156"/>
      <c r="R8" s="157"/>
      <c r="S8" s="211"/>
      <c r="T8" s="156"/>
      <c r="U8" s="157"/>
      <c r="V8" s="211"/>
      <c r="W8" s="156"/>
      <c r="X8" s="157"/>
      <c r="Y8" s="211"/>
      <c r="Z8" s="156"/>
      <c r="AA8" s="157"/>
      <c r="AB8" s="211"/>
      <c r="AC8" s="156"/>
      <c r="AD8" s="157"/>
      <c r="AE8" s="211"/>
      <c r="AF8" s="156"/>
      <c r="AG8" s="157"/>
      <c r="AH8" s="211"/>
      <c r="AI8" s="156"/>
      <c r="AJ8" s="157"/>
      <c r="AK8" s="211"/>
      <c r="AL8" s="156"/>
      <c r="AM8" s="157"/>
      <c r="AN8" s="211"/>
      <c r="AO8" s="156"/>
      <c r="AP8" s="157"/>
      <c r="AQ8" s="211"/>
      <c r="AR8" s="156"/>
      <c r="AS8" s="157"/>
      <c r="AT8" s="211"/>
      <c r="AU8" s="156"/>
      <c r="AV8" s="157"/>
      <c r="AW8" s="211"/>
      <c r="AX8" s="156"/>
      <c r="AY8" s="157"/>
      <c r="AZ8" s="211"/>
      <c r="BA8" s="156"/>
      <c r="BB8" s="157"/>
      <c r="BC8" s="211"/>
      <c r="BD8" s="156"/>
      <c r="BE8" s="157"/>
      <c r="BF8" s="211"/>
      <c r="BG8" s="156"/>
      <c r="BH8" s="157"/>
      <c r="BI8" s="211"/>
      <c r="BJ8" s="156"/>
      <c r="BK8" s="157"/>
      <c r="BL8" s="211"/>
      <c r="BM8" s="156"/>
      <c r="BN8" s="157"/>
      <c r="BO8" s="211"/>
      <c r="BP8" s="156"/>
      <c r="BQ8" s="157"/>
      <c r="BR8" s="211"/>
      <c r="BS8" s="156"/>
      <c r="BT8" s="157"/>
      <c r="BU8" s="211"/>
      <c r="BV8" s="156"/>
      <c r="BW8" s="157"/>
      <c r="BX8" s="211"/>
      <c r="BY8" s="156"/>
      <c r="BZ8" s="157"/>
      <c r="CA8" s="211"/>
      <c r="CB8" s="156"/>
      <c r="CC8" s="157"/>
      <c r="CD8" s="211"/>
      <c r="CE8" s="156"/>
      <c r="CF8" s="157"/>
      <c r="CG8" s="211"/>
      <c r="CH8" s="156"/>
      <c r="CI8" s="157"/>
      <c r="CJ8" s="211"/>
      <c r="CK8" s="156"/>
      <c r="CL8" s="157"/>
      <c r="CM8" s="211"/>
      <c r="CN8" s="156"/>
      <c r="CO8" s="157"/>
      <c r="CP8" s="211"/>
      <c r="CQ8" s="156"/>
      <c r="CR8" s="157"/>
      <c r="CS8" s="211"/>
      <c r="CT8" s="156"/>
      <c r="CU8" s="157"/>
      <c r="CV8" s="211"/>
      <c r="CW8" s="156"/>
      <c r="CX8" s="157"/>
      <c r="CY8" s="211"/>
      <c r="CZ8" s="157"/>
      <c r="DA8" s="229"/>
    </row>
    <row r="9" spans="1:105" s="70" customFormat="1" ht="22.5" customHeight="1" thickBot="1" x14ac:dyDescent="0.3">
      <c r="A9" s="356" t="s">
        <v>1082</v>
      </c>
      <c r="B9" s="393" t="s">
        <v>1137</v>
      </c>
      <c r="C9" s="393" t="s">
        <v>7</v>
      </c>
      <c r="D9" s="145" t="s">
        <v>6</v>
      </c>
      <c r="E9" s="393">
        <v>8977</v>
      </c>
      <c r="F9" s="393">
        <v>10936</v>
      </c>
      <c r="G9" s="393">
        <f>F9-E9</f>
        <v>1959</v>
      </c>
      <c r="H9" s="394">
        <f>SUM(K9+N9+Q9+T9+W9+Z9+AC9+AF9+AI9+AL9+AO9+AR9+AU9+AX9+BA9+BD9+BG9+BJ9+BM9+BP9+BS9+BV9+BY9+CB9+CE9+CH9+CK9+CN9+CQ9+CT9+CW9)</f>
        <v>722.11</v>
      </c>
      <c r="I9" s="395">
        <f>COUNTA(L9,O9,R9,U9,X9,AA9,AD9,AG9,AJ9,AM9,AP9,AS9,AV9,AY9,BB9,BE9,BH9,BK9,BN9,BQ9,BT9,BW9,BZ9,CC9,CF9,CI9,CL9,CO9,CR9,CU9,CX9)</f>
        <v>4</v>
      </c>
      <c r="J9" s="145" t="s">
        <v>80</v>
      </c>
      <c r="K9" s="396"/>
      <c r="L9" s="173"/>
      <c r="M9" s="397"/>
      <c r="N9" s="396"/>
      <c r="O9" s="173"/>
      <c r="P9" s="397"/>
      <c r="Q9" s="396"/>
      <c r="R9" s="173"/>
      <c r="S9" s="397"/>
      <c r="T9" s="396"/>
      <c r="U9" s="173"/>
      <c r="V9" s="397"/>
      <c r="W9" s="396"/>
      <c r="X9" s="173"/>
      <c r="Y9" s="397"/>
      <c r="Z9" s="396">
        <v>217.26</v>
      </c>
      <c r="AA9" s="173">
        <v>38.866</v>
      </c>
      <c r="AB9" s="296" t="s">
        <v>1130</v>
      </c>
      <c r="AC9" s="396"/>
      <c r="AD9" s="173"/>
      <c r="AE9" s="397"/>
      <c r="AF9" s="396"/>
      <c r="AG9" s="173"/>
      <c r="AH9" s="397"/>
      <c r="AI9" s="396"/>
      <c r="AJ9" s="173"/>
      <c r="AK9" s="397"/>
      <c r="AL9" s="396"/>
      <c r="AM9" s="173"/>
      <c r="AN9" s="397"/>
      <c r="AO9" s="396"/>
      <c r="AP9" s="173"/>
      <c r="AQ9" s="397"/>
      <c r="AR9" s="396"/>
      <c r="AS9" s="173"/>
      <c r="AT9" s="397"/>
      <c r="AU9" s="396">
        <v>215.01</v>
      </c>
      <c r="AV9" s="173">
        <v>38.465000000000003</v>
      </c>
      <c r="AW9" s="207" t="s">
        <v>1130</v>
      </c>
      <c r="AX9" s="396"/>
      <c r="AY9" s="173"/>
      <c r="AZ9" s="397"/>
      <c r="BA9" s="396">
        <v>92</v>
      </c>
      <c r="BB9" s="173">
        <v>16.43</v>
      </c>
      <c r="BC9" s="207" t="s">
        <v>1130</v>
      </c>
      <c r="BD9" s="396"/>
      <c r="BE9" s="173"/>
      <c r="BF9" s="397"/>
      <c r="BG9" s="396"/>
      <c r="BH9" s="173"/>
      <c r="BI9" s="397"/>
      <c r="BJ9" s="396"/>
      <c r="BK9" s="173"/>
      <c r="BL9" s="397"/>
      <c r="BM9" s="396"/>
      <c r="BN9" s="173"/>
      <c r="BO9" s="397"/>
      <c r="BP9" s="396">
        <v>197.84</v>
      </c>
      <c r="BQ9" s="173">
        <v>35.329000000000001</v>
      </c>
      <c r="BR9" s="296" t="s">
        <v>1130</v>
      </c>
      <c r="BS9" s="396"/>
      <c r="BT9" s="173"/>
      <c r="BU9" s="397"/>
      <c r="BV9" s="396"/>
      <c r="BW9" s="173"/>
      <c r="BX9" s="397"/>
      <c r="BY9" s="396"/>
      <c r="BZ9" s="173"/>
      <c r="CA9" s="397"/>
      <c r="CB9" s="396"/>
      <c r="CC9" s="173"/>
      <c r="CD9" s="397"/>
      <c r="CE9" s="396"/>
      <c r="CF9" s="173"/>
      <c r="CG9" s="397"/>
      <c r="CH9" s="396"/>
      <c r="CI9" s="173"/>
      <c r="CJ9" s="397"/>
      <c r="CK9" s="396"/>
      <c r="CL9" s="173"/>
      <c r="CM9" s="397"/>
      <c r="CN9" s="396"/>
      <c r="CO9" s="173"/>
      <c r="CP9" s="397"/>
      <c r="CQ9" s="396"/>
      <c r="CR9" s="173"/>
      <c r="CS9" s="397"/>
      <c r="CT9" s="396"/>
      <c r="CU9" s="173"/>
      <c r="CV9" s="397"/>
      <c r="CW9" s="396"/>
      <c r="CX9" s="173"/>
      <c r="CY9" s="397"/>
      <c r="CZ9" s="173"/>
      <c r="DA9" s="398"/>
    </row>
    <row r="10" spans="1:105" s="70" customFormat="1" ht="22.5" customHeight="1" thickBot="1" x14ac:dyDescent="0.3">
      <c r="A10" s="356" t="s">
        <v>1081</v>
      </c>
      <c r="B10" s="145" t="s">
        <v>861</v>
      </c>
      <c r="C10" s="145" t="s">
        <v>865</v>
      </c>
      <c r="D10" s="145" t="s">
        <v>6</v>
      </c>
      <c r="E10" s="145">
        <v>12392</v>
      </c>
      <c r="F10" s="145">
        <v>14177</v>
      </c>
      <c r="G10" s="145">
        <f>F10-E10</f>
        <v>1785</v>
      </c>
      <c r="H10" s="144">
        <f>SUM(K10+N10+Q10+T10+W10+Z10+AC10+AF10+AI10+AL10+AO10+AR10+AU10+AX10+BA10+BD10+BG10+BJ10+BM10+BP10+BS10+BV10+BY10+CB10+CE10+CH10+CK10+CN10+CQ10+CT10+CW10)</f>
        <v>1360.1499999999999</v>
      </c>
      <c r="I10" s="143">
        <f>COUNTA(L10,O10,R10,U10,X10,AA10,AD10,AG10,AJ10,AM10,AP10,AS10,AV10,AY10,BB10,BE10,BH10,BK10,BN10,BQ10,BT10,BW10,BZ10,CC10,CF10,CI10,CL10,CO10,CR10,CU10,CX10)</f>
        <v>6</v>
      </c>
      <c r="J10" s="145" t="s">
        <v>80</v>
      </c>
      <c r="K10" s="163"/>
      <c r="L10" s="162"/>
      <c r="M10" s="207"/>
      <c r="N10" s="163"/>
      <c r="O10" s="162"/>
      <c r="P10" s="207"/>
      <c r="Q10" s="163"/>
      <c r="R10" s="162"/>
      <c r="S10" s="207"/>
      <c r="T10" s="163"/>
      <c r="U10" s="162"/>
      <c r="V10" s="207"/>
      <c r="W10" s="163"/>
      <c r="X10" s="162"/>
      <c r="Y10" s="207"/>
      <c r="Z10" s="163">
        <v>258.94</v>
      </c>
      <c r="AA10" s="162">
        <v>46.323</v>
      </c>
      <c r="AB10" s="296" t="s">
        <v>1130</v>
      </c>
      <c r="AC10" s="163"/>
      <c r="AD10" s="162"/>
      <c r="AE10" s="207"/>
      <c r="AF10" s="163">
        <v>210.1</v>
      </c>
      <c r="AG10" s="162">
        <v>37.585999999999999</v>
      </c>
      <c r="AH10" s="296" t="s">
        <v>1130</v>
      </c>
      <c r="AI10" s="163"/>
      <c r="AJ10" s="162"/>
      <c r="AK10" s="207"/>
      <c r="AL10" s="163"/>
      <c r="AM10" s="162"/>
      <c r="AN10" s="207"/>
      <c r="AO10" s="163"/>
      <c r="AP10" s="162"/>
      <c r="AQ10" s="207"/>
      <c r="AR10" s="163"/>
      <c r="AS10" s="162"/>
      <c r="AT10" s="207"/>
      <c r="AU10" s="163">
        <v>226.06</v>
      </c>
      <c r="AV10" s="162">
        <v>40.441000000000003</v>
      </c>
      <c r="AW10" s="207" t="s">
        <v>1130</v>
      </c>
      <c r="AX10" s="163"/>
      <c r="AY10" s="162"/>
      <c r="AZ10" s="207"/>
      <c r="BA10" s="163">
        <v>160</v>
      </c>
      <c r="BB10" s="162">
        <v>28.576000000000001</v>
      </c>
      <c r="BC10" s="207" t="s">
        <v>1130</v>
      </c>
      <c r="BD10" s="163"/>
      <c r="BE10" s="162"/>
      <c r="BF10" s="207"/>
      <c r="BG10" s="163"/>
      <c r="BH10" s="162"/>
      <c r="BI10" s="207"/>
      <c r="BJ10" s="163"/>
      <c r="BK10" s="162"/>
      <c r="BL10" s="207"/>
      <c r="BM10" s="163"/>
      <c r="BN10" s="162"/>
      <c r="BO10" s="207"/>
      <c r="BP10" s="163">
        <v>267</v>
      </c>
      <c r="BQ10" s="162">
        <v>47.686</v>
      </c>
      <c r="BR10" s="296" t="s">
        <v>1130</v>
      </c>
      <c r="BS10" s="163"/>
      <c r="BT10" s="162"/>
      <c r="BU10" s="207"/>
      <c r="BV10" s="163"/>
      <c r="BW10" s="162"/>
      <c r="BX10" s="207"/>
      <c r="BY10" s="163"/>
      <c r="BZ10" s="162"/>
      <c r="CA10" s="207"/>
      <c r="CB10" s="163"/>
      <c r="CC10" s="162"/>
      <c r="CD10" s="207"/>
      <c r="CE10" s="163"/>
      <c r="CF10" s="162"/>
      <c r="CG10" s="207"/>
      <c r="CH10" s="163"/>
      <c r="CI10" s="162"/>
      <c r="CJ10" s="207"/>
      <c r="CK10" s="163">
        <v>238.05</v>
      </c>
      <c r="CL10" s="162">
        <v>42.505000000000003</v>
      </c>
      <c r="CM10" s="207" t="s">
        <v>1130</v>
      </c>
      <c r="CN10" s="163"/>
      <c r="CO10" s="162"/>
      <c r="CP10" s="207"/>
      <c r="CQ10" s="163"/>
      <c r="CR10" s="162"/>
      <c r="CS10" s="207"/>
      <c r="CT10" s="163"/>
      <c r="CU10" s="162"/>
      <c r="CV10" s="207"/>
      <c r="CW10" s="163"/>
      <c r="CX10" s="162"/>
      <c r="CY10" s="207"/>
      <c r="CZ10" s="162"/>
      <c r="DA10" s="231"/>
    </row>
    <row r="11" spans="1:105" s="70" customFormat="1" ht="22.5" customHeight="1" thickBot="1" x14ac:dyDescent="0.3">
      <c r="A11" s="356" t="s">
        <v>1086</v>
      </c>
      <c r="B11" s="145" t="s">
        <v>1087</v>
      </c>
      <c r="C11" s="145" t="s">
        <v>12</v>
      </c>
      <c r="D11" s="145" t="s">
        <v>6</v>
      </c>
      <c r="E11" s="145">
        <v>31590</v>
      </c>
      <c r="F11" s="145">
        <v>33337</v>
      </c>
      <c r="G11" s="145">
        <f>F11-E11</f>
        <v>1747</v>
      </c>
      <c r="H11" s="144">
        <f>SUM(K11+N11+Q11+T11+W11+Z11+AC11+AF11+AI11+AL11+AO11+AR11+AU11+AX11+BA11+BD11+BG11+BJ11+BM11+BP11+BS11+BV11+BY11+CB11+CE11+CH11+CK11+CN11+CQ11+CT11+CW11)</f>
        <v>1118.26</v>
      </c>
      <c r="I11" s="143">
        <f t="shared" ref="I11:I12" si="3">COUNTA(L11,O11,R11,U11,X11,AA11,AD11,AG11,AJ11,AM11,AP11,AS11,AV11,AY11,BB11,BE11,BH11,BK11,BN11,BQ11,BT11,BW11,BZ11,CC11,CF11,CI11,CL11,CO11,CR11,CU11,CX11)</f>
        <v>5</v>
      </c>
      <c r="J11" s="145" t="s">
        <v>80</v>
      </c>
      <c r="K11" s="163">
        <v>272.13</v>
      </c>
      <c r="L11" s="162">
        <v>48.68</v>
      </c>
      <c r="M11" s="207" t="s">
        <v>1130</v>
      </c>
      <c r="N11" s="163"/>
      <c r="O11" s="162"/>
      <c r="P11" s="207"/>
      <c r="Q11" s="163"/>
      <c r="R11" s="162"/>
      <c r="S11" s="207"/>
      <c r="T11" s="163"/>
      <c r="U11" s="162"/>
      <c r="V11" s="207"/>
      <c r="W11" s="163"/>
      <c r="X11" s="162"/>
      <c r="Y11" s="207"/>
      <c r="Z11" s="163"/>
      <c r="AA11" s="162"/>
      <c r="AB11" s="207"/>
      <c r="AC11" s="163"/>
      <c r="AD11" s="162"/>
      <c r="AE11" s="207"/>
      <c r="AF11" s="163">
        <v>175.08</v>
      </c>
      <c r="AG11" s="162">
        <v>31.332000000000001</v>
      </c>
      <c r="AH11" s="296" t="s">
        <v>1130</v>
      </c>
      <c r="AI11" s="163"/>
      <c r="AJ11" s="162"/>
      <c r="AK11" s="207"/>
      <c r="AL11" s="163"/>
      <c r="AM11" s="162"/>
      <c r="AN11" s="207"/>
      <c r="AO11" s="163"/>
      <c r="AP11" s="162"/>
      <c r="AQ11" s="207"/>
      <c r="AR11" s="163"/>
      <c r="AS11" s="162"/>
      <c r="AT11" s="207"/>
      <c r="AU11" s="163"/>
      <c r="AV11" s="162"/>
      <c r="AW11" s="207"/>
      <c r="AX11" s="163"/>
      <c r="AY11" s="162"/>
      <c r="AZ11" s="207"/>
      <c r="BA11" s="163"/>
      <c r="BB11" s="162"/>
      <c r="BC11" s="207"/>
      <c r="BD11" s="163"/>
      <c r="BE11" s="162"/>
      <c r="BF11" s="207"/>
      <c r="BG11" s="163"/>
      <c r="BH11" s="162"/>
      <c r="BI11" s="207"/>
      <c r="BJ11" s="163"/>
      <c r="BK11" s="162"/>
      <c r="BL11" s="207"/>
      <c r="BM11" s="163"/>
      <c r="BN11" s="162"/>
      <c r="BO11" s="207"/>
      <c r="BP11" s="163">
        <v>225.04</v>
      </c>
      <c r="BQ11" s="162">
        <v>40.185000000000002</v>
      </c>
      <c r="BR11" s="296" t="s">
        <v>1130</v>
      </c>
      <c r="BS11" s="163"/>
      <c r="BT11" s="162"/>
      <c r="BU11" s="207"/>
      <c r="BV11" s="163">
        <v>176.01</v>
      </c>
      <c r="BW11" s="162">
        <v>31.431000000000001</v>
      </c>
      <c r="BX11" s="206" t="s">
        <v>1130</v>
      </c>
      <c r="BY11" s="163"/>
      <c r="BZ11" s="162"/>
      <c r="CA11" s="207"/>
      <c r="CB11" s="163"/>
      <c r="CC11" s="162"/>
      <c r="CD11" s="207"/>
      <c r="CE11" s="163"/>
      <c r="CF11" s="162"/>
      <c r="CG11" s="207"/>
      <c r="CH11" s="163"/>
      <c r="CI11" s="162"/>
      <c r="CJ11" s="207"/>
      <c r="CK11" s="163"/>
      <c r="CL11" s="162"/>
      <c r="CM11" s="207"/>
      <c r="CN11" s="163"/>
      <c r="CO11" s="162"/>
      <c r="CP11" s="207"/>
      <c r="CQ11" s="163">
        <v>270</v>
      </c>
      <c r="CR11" s="162">
        <v>48.219000000000001</v>
      </c>
      <c r="CS11" s="207" t="s">
        <v>1130</v>
      </c>
      <c r="CT11" s="163"/>
      <c r="CU11" s="162"/>
      <c r="CV11" s="207"/>
      <c r="CW11" s="163"/>
      <c r="CX11" s="162"/>
      <c r="CY11" s="207"/>
      <c r="CZ11" s="162"/>
      <c r="DA11" s="231"/>
    </row>
    <row r="12" spans="1:105" s="70" customFormat="1" ht="22.5" customHeight="1" thickBot="1" x14ac:dyDescent="0.3">
      <c r="A12" s="356" t="s">
        <v>1032</v>
      </c>
      <c r="B12" s="145" t="s">
        <v>1031</v>
      </c>
      <c r="C12" s="145" t="s">
        <v>7</v>
      </c>
      <c r="D12" s="145" t="s">
        <v>6</v>
      </c>
      <c r="E12" s="145">
        <v>10990</v>
      </c>
      <c r="F12" s="145">
        <v>11827</v>
      </c>
      <c r="G12" s="145">
        <f>F12-E12</f>
        <v>837</v>
      </c>
      <c r="H12" s="144">
        <f>SUM(K12+N12+Q12+T12+W12+Z12+AC12+AF12+AI12+AL12+AO12+AR12+AU12+AX12+BA12+BD12+BG12+BJ12+BM12+BP12+BS12+BV12+BY12+CB12+CE12+CH12+CK12+CN12+CQ12+CT12+CW12)</f>
        <v>619.15</v>
      </c>
      <c r="I12" s="143">
        <f t="shared" si="3"/>
        <v>3</v>
      </c>
      <c r="J12" s="145" t="s">
        <v>80</v>
      </c>
      <c r="K12" s="163">
        <v>183.03</v>
      </c>
      <c r="L12" s="162">
        <v>32.744</v>
      </c>
      <c r="M12" s="206" t="s">
        <v>1130</v>
      </c>
      <c r="N12" s="163"/>
      <c r="O12" s="162"/>
      <c r="P12" s="206"/>
      <c r="Q12" s="163"/>
      <c r="R12" s="162"/>
      <c r="S12" s="206"/>
      <c r="T12" s="163"/>
      <c r="U12" s="162"/>
      <c r="V12" s="206"/>
      <c r="W12" s="163"/>
      <c r="X12" s="162"/>
      <c r="Y12" s="206"/>
      <c r="Z12" s="163"/>
      <c r="AA12" s="162"/>
      <c r="AB12" s="206"/>
      <c r="AC12" s="163"/>
      <c r="AD12" s="162"/>
      <c r="AE12" s="206"/>
      <c r="AF12" s="163">
        <v>210.02</v>
      </c>
      <c r="AG12" s="162">
        <v>37.572000000000003</v>
      </c>
      <c r="AH12" s="296" t="s">
        <v>1130</v>
      </c>
      <c r="AI12" s="163"/>
      <c r="AJ12" s="162"/>
      <c r="AK12" s="206"/>
      <c r="AL12" s="163"/>
      <c r="AM12" s="162"/>
      <c r="AN12" s="206"/>
      <c r="AO12" s="163"/>
      <c r="AP12" s="162"/>
      <c r="AQ12" s="206"/>
      <c r="AR12" s="163"/>
      <c r="AS12" s="162"/>
      <c r="AT12" s="206"/>
      <c r="AU12" s="163"/>
      <c r="AV12" s="162"/>
      <c r="AW12" s="206"/>
      <c r="AX12" s="163"/>
      <c r="AY12" s="162"/>
      <c r="AZ12" s="206"/>
      <c r="BA12" s="163"/>
      <c r="BB12" s="162"/>
      <c r="BC12" s="206"/>
      <c r="BD12" s="163"/>
      <c r="BE12" s="162"/>
      <c r="BF12" s="206"/>
      <c r="BG12" s="163"/>
      <c r="BH12" s="162"/>
      <c r="BI12" s="206"/>
      <c r="BJ12" s="163"/>
      <c r="BK12" s="162"/>
      <c r="BL12" s="206"/>
      <c r="BM12" s="163"/>
      <c r="BN12" s="162"/>
      <c r="BO12" s="206"/>
      <c r="BP12" s="163"/>
      <c r="BQ12" s="162"/>
      <c r="BR12" s="206"/>
      <c r="BS12" s="163"/>
      <c r="BT12" s="162"/>
      <c r="BU12" s="206"/>
      <c r="BV12" s="163"/>
      <c r="BW12" s="162"/>
      <c r="BX12" s="206"/>
      <c r="BY12" s="163"/>
      <c r="BZ12" s="162"/>
      <c r="CA12" s="206"/>
      <c r="CB12" s="163"/>
      <c r="CC12" s="162"/>
      <c r="CD12" s="206"/>
      <c r="CE12" s="163"/>
      <c r="CF12" s="162"/>
      <c r="CG12" s="206"/>
      <c r="CH12" s="163"/>
      <c r="CI12" s="162"/>
      <c r="CJ12" s="206"/>
      <c r="CK12" s="163">
        <v>226.1</v>
      </c>
      <c r="CL12" s="162">
        <v>40.375999999999998</v>
      </c>
      <c r="CM12" s="207" t="s">
        <v>1130</v>
      </c>
      <c r="CN12" s="163"/>
      <c r="CO12" s="162"/>
      <c r="CP12" s="206"/>
      <c r="CQ12" s="163"/>
      <c r="CR12" s="162"/>
      <c r="CS12" s="206"/>
      <c r="CT12" s="163"/>
      <c r="CU12" s="162"/>
      <c r="CV12" s="206"/>
      <c r="CW12" s="163"/>
      <c r="CX12" s="162"/>
      <c r="CY12" s="206"/>
      <c r="CZ12" s="162"/>
      <c r="DA12" s="231"/>
    </row>
    <row r="13" spans="1:105" s="70" customFormat="1" ht="22.5" customHeight="1" thickBot="1" x14ac:dyDescent="0.3">
      <c r="A13" s="440" t="s">
        <v>862</v>
      </c>
      <c r="B13" s="414" t="s">
        <v>863</v>
      </c>
      <c r="C13" s="414" t="s">
        <v>864</v>
      </c>
      <c r="D13" s="414" t="s">
        <v>6</v>
      </c>
      <c r="E13" s="414">
        <v>12829</v>
      </c>
      <c r="F13" s="414">
        <v>15413</v>
      </c>
      <c r="G13" s="414">
        <f t="shared" ref="G13" si="4">F13-E13</f>
        <v>2584</v>
      </c>
      <c r="H13" s="539">
        <f t="shared" ref="H13" si="5">SUM(K13+N13+Q13+T13+W13+Z13+AC13+AF13+AI13+AL13+AO13+AR13+AU13+AX13+BA13+BD13+BG13+BJ13+BM13+BP13+BS13+BV13+BY13+CB13+CE13+CH13+CK13+CN13+CQ13+CT13+CW13)</f>
        <v>2011.44</v>
      </c>
      <c r="I13" s="540">
        <f>COUNTA(L13,O13,R13,U13,X13,AA13,AD13,AG13,AJ13,AM13,AP13,AS13,AV13,AY13,BB13,BE13,BH13,BK13,BN13,BQ13,BT13,BW13,BZ13,CC13,CF13,CI13,CL13,CO13,CR13,CU13,CX13)</f>
        <v>9</v>
      </c>
      <c r="J13" s="414" t="s">
        <v>80</v>
      </c>
      <c r="K13" s="441"/>
      <c r="L13" s="442"/>
      <c r="M13" s="443"/>
      <c r="N13" s="441"/>
      <c r="O13" s="442"/>
      <c r="P13" s="443"/>
      <c r="Q13" s="441">
        <v>240.11</v>
      </c>
      <c r="R13" s="442">
        <v>42.954000000000001</v>
      </c>
      <c r="S13" s="208" t="s">
        <v>1130</v>
      </c>
      <c r="T13" s="441"/>
      <c r="U13" s="442"/>
      <c r="V13" s="443"/>
      <c r="W13" s="441"/>
      <c r="X13" s="442"/>
      <c r="Y13" s="443"/>
      <c r="Z13" s="441"/>
      <c r="AA13" s="442"/>
      <c r="AB13" s="443"/>
      <c r="AC13" s="441">
        <v>257.41000000000003</v>
      </c>
      <c r="AD13" s="442">
        <v>46.048999999999999</v>
      </c>
      <c r="AE13" s="443" t="s">
        <v>1130</v>
      </c>
      <c r="AF13" s="441">
        <v>86.03</v>
      </c>
      <c r="AG13" s="442">
        <v>15.391</v>
      </c>
      <c r="AH13" s="443" t="s">
        <v>1130</v>
      </c>
      <c r="AI13" s="441"/>
      <c r="AJ13" s="442"/>
      <c r="AK13" s="443"/>
      <c r="AL13" s="441"/>
      <c r="AM13" s="442"/>
      <c r="AN13" s="443"/>
      <c r="AO13" s="441"/>
      <c r="AP13" s="442"/>
      <c r="AQ13" s="443"/>
      <c r="AR13" s="441"/>
      <c r="AS13" s="442"/>
      <c r="AT13" s="443"/>
      <c r="AU13" s="441">
        <v>250.03</v>
      </c>
      <c r="AV13" s="442">
        <v>44.728999999999999</v>
      </c>
      <c r="AW13" s="208" t="s">
        <v>1130</v>
      </c>
      <c r="AX13" s="441"/>
      <c r="AY13" s="442"/>
      <c r="AZ13" s="443"/>
      <c r="BA13" s="441">
        <v>220.08</v>
      </c>
      <c r="BB13" s="442">
        <v>39.299999999999997</v>
      </c>
      <c r="BC13" s="208" t="s">
        <v>1130</v>
      </c>
      <c r="BD13" s="441"/>
      <c r="BE13" s="442"/>
      <c r="BF13" s="443"/>
      <c r="BG13" s="441"/>
      <c r="BH13" s="442"/>
      <c r="BI13" s="443"/>
      <c r="BJ13" s="441"/>
      <c r="BK13" s="442"/>
      <c r="BL13" s="443"/>
      <c r="BM13" s="441"/>
      <c r="BN13" s="442"/>
      <c r="BO13" s="443"/>
      <c r="BP13" s="441">
        <v>256.01</v>
      </c>
      <c r="BQ13" s="442">
        <v>45.716999999999999</v>
      </c>
      <c r="BR13" s="443" t="s">
        <v>1130</v>
      </c>
      <c r="BS13" s="441"/>
      <c r="BT13" s="442"/>
      <c r="BU13" s="443"/>
      <c r="BV13" s="441">
        <v>195.04</v>
      </c>
      <c r="BW13" s="442">
        <v>34.83</v>
      </c>
      <c r="BX13" s="443" t="s">
        <v>1130</v>
      </c>
      <c r="BY13" s="441"/>
      <c r="BZ13" s="442"/>
      <c r="CA13" s="443"/>
      <c r="CB13" s="441"/>
      <c r="CC13" s="442"/>
      <c r="CD13" s="443"/>
      <c r="CE13" s="441"/>
      <c r="CF13" s="442"/>
      <c r="CG13" s="443"/>
      <c r="CH13" s="441"/>
      <c r="CI13" s="442"/>
      <c r="CJ13" s="443"/>
      <c r="CK13" s="441">
        <v>288.83</v>
      </c>
      <c r="CL13" s="442">
        <v>51.576999999999998</v>
      </c>
      <c r="CM13" s="208" t="s">
        <v>1130</v>
      </c>
      <c r="CN13" s="441"/>
      <c r="CO13" s="442"/>
      <c r="CP13" s="443"/>
      <c r="CQ13" s="441">
        <v>217.9</v>
      </c>
      <c r="CR13" s="442">
        <v>38.822000000000003</v>
      </c>
      <c r="CS13" s="208" t="s">
        <v>1130</v>
      </c>
      <c r="CT13" s="441"/>
      <c r="CU13" s="442"/>
      <c r="CV13" s="443"/>
      <c r="CW13" s="441"/>
      <c r="CX13" s="442"/>
      <c r="CY13" s="443"/>
      <c r="CZ13" s="442"/>
      <c r="DA13" s="444"/>
    </row>
    <row r="14" spans="1:105" s="70" customFormat="1" ht="22.5" customHeight="1" x14ac:dyDescent="0.25">
      <c r="A14" s="589" t="s">
        <v>1203</v>
      </c>
      <c r="B14" s="435" t="s">
        <v>1199</v>
      </c>
      <c r="C14" s="435" t="s">
        <v>7</v>
      </c>
      <c r="D14" s="435" t="s">
        <v>6</v>
      </c>
      <c r="E14" s="435">
        <v>13854</v>
      </c>
      <c r="F14" s="435">
        <v>15662</v>
      </c>
      <c r="G14" s="435">
        <f t="shared" ref="G14:G20" si="6">F14-E14</f>
        <v>1808</v>
      </c>
      <c r="H14" s="436">
        <f t="shared" ref="H14:H20" si="7">SUM(K14+N14+Q14+T14+W14+Z14+AC14+AF14+AI14+AL14+AO14+AR14+AU14+AX14+BA14+BD14+BG14+BJ14+BM14+BP14+BS14+BV14+BY14+CB14+CE14+CH14+CK14+CN14+CQ14+CT14+CW14)</f>
        <v>849.72</v>
      </c>
      <c r="I14" s="437">
        <f>COUNTA(L14,O14,R14,U14,X14,AA14,AD14,AG14,AJ14,AM14,AP14,AS14,AV14,AY14,BB14,BE14,BH14,BK14,BN14,BQ14,BT14,BW14,BZ14,CC14,CF14,CI14,CL14,CO14,CR14,CU14,CX14)</f>
        <v>4</v>
      </c>
      <c r="J14" s="435" t="s">
        <v>81</v>
      </c>
      <c r="K14" s="590"/>
      <c r="L14" s="591"/>
      <c r="M14" s="592"/>
      <c r="N14" s="590"/>
      <c r="O14" s="591"/>
      <c r="P14" s="592"/>
      <c r="Q14" s="590"/>
      <c r="R14" s="591"/>
      <c r="S14" s="592"/>
      <c r="T14" s="590"/>
      <c r="U14" s="591"/>
      <c r="V14" s="592"/>
      <c r="W14" s="590">
        <v>180.09</v>
      </c>
      <c r="X14" s="591">
        <v>31.876000000000001</v>
      </c>
      <c r="Y14" s="592" t="s">
        <v>1130</v>
      </c>
      <c r="Z14" s="590"/>
      <c r="AA14" s="591"/>
      <c r="AB14" s="592"/>
      <c r="AC14" s="590"/>
      <c r="AD14" s="591"/>
      <c r="AE14" s="592"/>
      <c r="AF14" s="590"/>
      <c r="AG14" s="591"/>
      <c r="AH14" s="592"/>
      <c r="AI14" s="590"/>
      <c r="AJ14" s="591"/>
      <c r="AK14" s="592"/>
      <c r="AL14" s="590"/>
      <c r="AM14" s="591"/>
      <c r="AN14" s="592"/>
      <c r="AO14" s="590"/>
      <c r="AP14" s="591"/>
      <c r="AQ14" s="592"/>
      <c r="AR14" s="590">
        <v>247.01</v>
      </c>
      <c r="AS14" s="591">
        <v>38.44</v>
      </c>
      <c r="AT14" s="592" t="s">
        <v>1130</v>
      </c>
      <c r="AU14" s="590"/>
      <c r="AV14" s="591"/>
      <c r="AW14" s="592"/>
      <c r="AX14" s="590"/>
      <c r="AY14" s="591"/>
      <c r="AZ14" s="592"/>
      <c r="BA14" s="590"/>
      <c r="BB14" s="591"/>
      <c r="BC14" s="592"/>
      <c r="BD14" s="590"/>
      <c r="BE14" s="591"/>
      <c r="BF14" s="592"/>
      <c r="BG14" s="590"/>
      <c r="BH14" s="591"/>
      <c r="BI14" s="592"/>
      <c r="BJ14" s="590">
        <v>200</v>
      </c>
      <c r="BK14" s="591">
        <v>35.402000000000001</v>
      </c>
      <c r="BL14" s="592" t="s">
        <v>1130</v>
      </c>
      <c r="BM14" s="590"/>
      <c r="BN14" s="591"/>
      <c r="BO14" s="592"/>
      <c r="BP14" s="590"/>
      <c r="BQ14" s="591"/>
      <c r="BR14" s="592"/>
      <c r="BS14" s="590"/>
      <c r="BT14" s="591"/>
      <c r="BU14" s="592"/>
      <c r="BV14" s="590"/>
      <c r="BW14" s="591"/>
      <c r="BX14" s="592"/>
      <c r="BY14" s="590"/>
      <c r="BZ14" s="591"/>
      <c r="CA14" s="592"/>
      <c r="CB14" s="590"/>
      <c r="CC14" s="591"/>
      <c r="CD14" s="592"/>
      <c r="CE14" s="590"/>
      <c r="CF14" s="591"/>
      <c r="CG14" s="592"/>
      <c r="CH14" s="590">
        <v>222.62</v>
      </c>
      <c r="CI14" s="591">
        <v>39.402000000000001</v>
      </c>
      <c r="CJ14" s="592" t="s">
        <v>1130</v>
      </c>
      <c r="CK14" s="590"/>
      <c r="CL14" s="591"/>
      <c r="CM14" s="592"/>
      <c r="CN14" s="590"/>
      <c r="CO14" s="591"/>
      <c r="CP14" s="592"/>
      <c r="CQ14" s="590"/>
      <c r="CR14" s="591"/>
      <c r="CS14" s="592"/>
      <c r="CT14" s="590"/>
      <c r="CU14" s="591"/>
      <c r="CV14" s="592"/>
      <c r="CW14" s="590"/>
      <c r="CX14" s="591"/>
      <c r="CY14" s="592"/>
      <c r="CZ14" s="591"/>
      <c r="DA14" s="593"/>
    </row>
    <row r="15" spans="1:105" s="70" customFormat="1" ht="22.5" customHeight="1" x14ac:dyDescent="0.25">
      <c r="A15" s="594" t="s">
        <v>1081</v>
      </c>
      <c r="B15" s="446" t="s">
        <v>861</v>
      </c>
      <c r="C15" s="446" t="s">
        <v>865</v>
      </c>
      <c r="D15" s="446" t="s">
        <v>6</v>
      </c>
      <c r="E15" s="446">
        <v>14177</v>
      </c>
      <c r="F15" s="446">
        <v>16988</v>
      </c>
      <c r="G15" s="446">
        <f t="shared" si="6"/>
        <v>2811</v>
      </c>
      <c r="H15" s="541">
        <f t="shared" si="7"/>
        <v>1177.71</v>
      </c>
      <c r="I15" s="542">
        <f>COUNTA(L15,O15,R15,U15,X15,AA15,AD15,AG15,AJ15,AM15,AP15,AS15,AV15,AY15,BB15,BE15,BH15,BK15,BN15,BQ15,BT15,BW15,BZ15,CC15,CF15,CI15,CL15,CO15,CR15,CU15,CX15)</f>
        <v>5</v>
      </c>
      <c r="J15" s="446" t="s">
        <v>81</v>
      </c>
      <c r="K15" s="587"/>
      <c r="L15" s="448"/>
      <c r="M15" s="586"/>
      <c r="N15" s="587"/>
      <c r="O15" s="448"/>
      <c r="P15" s="586"/>
      <c r="Q15" s="587"/>
      <c r="R15" s="448"/>
      <c r="S15" s="586"/>
      <c r="T15" s="587"/>
      <c r="U15" s="448"/>
      <c r="V15" s="586"/>
      <c r="W15" s="587">
        <v>185</v>
      </c>
      <c r="X15" s="448">
        <v>32.744</v>
      </c>
      <c r="Y15" s="586" t="s">
        <v>1130</v>
      </c>
      <c r="Z15" s="587"/>
      <c r="AA15" s="448"/>
      <c r="AB15" s="586"/>
      <c r="AC15" s="587"/>
      <c r="AD15" s="448"/>
      <c r="AE15" s="586"/>
      <c r="AF15" s="587"/>
      <c r="AG15" s="448"/>
      <c r="AH15" s="586"/>
      <c r="AI15" s="587"/>
      <c r="AJ15" s="448"/>
      <c r="AK15" s="586"/>
      <c r="AL15" s="587"/>
      <c r="AM15" s="448"/>
      <c r="AN15" s="586"/>
      <c r="AO15" s="587"/>
      <c r="AP15" s="448"/>
      <c r="AQ15" s="586"/>
      <c r="AR15" s="587">
        <v>269.05</v>
      </c>
      <c r="AS15" s="448">
        <v>47.62</v>
      </c>
      <c r="AT15" s="586" t="s">
        <v>1130</v>
      </c>
      <c r="AU15" s="587"/>
      <c r="AV15" s="448"/>
      <c r="AW15" s="586"/>
      <c r="AX15" s="587">
        <v>171.09</v>
      </c>
      <c r="AY15" s="448">
        <v>30.283000000000001</v>
      </c>
      <c r="AZ15" s="586" t="s">
        <v>1130</v>
      </c>
      <c r="BA15" s="587"/>
      <c r="BB15" s="448"/>
      <c r="BC15" s="586"/>
      <c r="BD15" s="587"/>
      <c r="BE15" s="448"/>
      <c r="BF15" s="586"/>
      <c r="BG15" s="587"/>
      <c r="BH15" s="448"/>
      <c r="BI15" s="586"/>
      <c r="BJ15" s="587"/>
      <c r="BK15" s="448"/>
      <c r="BL15" s="586"/>
      <c r="BM15" s="587">
        <v>290.44</v>
      </c>
      <c r="BN15" s="448">
        <v>51.405999999999999</v>
      </c>
      <c r="BO15" s="586" t="s">
        <v>1130</v>
      </c>
      <c r="BP15" s="587"/>
      <c r="BQ15" s="448"/>
      <c r="BR15" s="586"/>
      <c r="BS15" s="587"/>
      <c r="BT15" s="448"/>
      <c r="BU15" s="586"/>
      <c r="BV15" s="587"/>
      <c r="BW15" s="448"/>
      <c r="BX15" s="586"/>
      <c r="BY15" s="587"/>
      <c r="BZ15" s="448"/>
      <c r="CA15" s="586"/>
      <c r="CB15" s="587"/>
      <c r="CC15" s="448"/>
      <c r="CD15" s="586"/>
      <c r="CE15" s="587"/>
      <c r="CF15" s="448"/>
      <c r="CG15" s="586"/>
      <c r="CH15" s="587">
        <v>262.13</v>
      </c>
      <c r="CI15" s="448">
        <v>46.392000000000003</v>
      </c>
      <c r="CJ15" s="586" t="s">
        <v>1130</v>
      </c>
      <c r="CK15" s="587"/>
      <c r="CL15" s="448"/>
      <c r="CM15" s="586"/>
      <c r="CN15" s="587"/>
      <c r="CO15" s="448"/>
      <c r="CP15" s="586"/>
      <c r="CQ15" s="587"/>
      <c r="CR15" s="448"/>
      <c r="CS15" s="586"/>
      <c r="CT15" s="587"/>
      <c r="CU15" s="448"/>
      <c r="CV15" s="586"/>
      <c r="CW15" s="587"/>
      <c r="CX15" s="448"/>
      <c r="CY15" s="586"/>
      <c r="CZ15" s="448"/>
      <c r="DA15" s="595"/>
    </row>
    <row r="16" spans="1:105" s="70" customFormat="1" ht="22.5" customHeight="1" x14ac:dyDescent="0.25">
      <c r="A16" s="594" t="s">
        <v>1086</v>
      </c>
      <c r="B16" s="446" t="s">
        <v>1229</v>
      </c>
      <c r="C16" s="446" t="s">
        <v>7</v>
      </c>
      <c r="D16" s="446" t="s">
        <v>6</v>
      </c>
      <c r="E16" s="446">
        <v>8252</v>
      </c>
      <c r="F16" s="446">
        <v>9227</v>
      </c>
      <c r="G16" s="446">
        <f t="shared" si="6"/>
        <v>975</v>
      </c>
      <c r="H16" s="541">
        <f t="shared" si="7"/>
        <v>233.2</v>
      </c>
      <c r="I16" s="542">
        <f>COUNTA(L16,O16,R16,U16,X16,AA16,AD16,AG16,AJ16,AM16,AP16,AS16,AV16,AY16,BB16,BE16,BH16,BK16,BN16,BQ16,BT16,BW16,BZ16,CC16,CF16,CI16,CL16,CO16,CR16,CU16,CX16)</f>
        <v>1</v>
      </c>
      <c r="J16" s="446" t="s">
        <v>81</v>
      </c>
      <c r="K16" s="587"/>
      <c r="L16" s="448"/>
      <c r="M16" s="586"/>
      <c r="N16" s="587"/>
      <c r="O16" s="448"/>
      <c r="P16" s="586"/>
      <c r="Q16" s="587"/>
      <c r="R16" s="448"/>
      <c r="S16" s="586"/>
      <c r="T16" s="587"/>
      <c r="U16" s="448"/>
      <c r="V16" s="586"/>
      <c r="W16" s="587"/>
      <c r="X16" s="448"/>
      <c r="Y16" s="586"/>
      <c r="Z16" s="587"/>
      <c r="AA16" s="448"/>
      <c r="AB16" s="586"/>
      <c r="AC16" s="587"/>
      <c r="AD16" s="448"/>
      <c r="AE16" s="586"/>
      <c r="AF16" s="587"/>
      <c r="AG16" s="448"/>
      <c r="AH16" s="586"/>
      <c r="AI16" s="587"/>
      <c r="AJ16" s="448"/>
      <c r="AK16" s="586"/>
      <c r="AL16" s="587"/>
      <c r="AM16" s="448"/>
      <c r="AN16" s="586"/>
      <c r="AO16" s="587"/>
      <c r="AP16" s="448"/>
      <c r="AQ16" s="586"/>
      <c r="AR16" s="587"/>
      <c r="AS16" s="448"/>
      <c r="AT16" s="586"/>
      <c r="AU16" s="587"/>
      <c r="AV16" s="448"/>
      <c r="AW16" s="586"/>
      <c r="AX16" s="587"/>
      <c r="AY16" s="448"/>
      <c r="AZ16" s="586"/>
      <c r="BA16" s="587"/>
      <c r="BB16" s="448"/>
      <c r="BC16" s="586"/>
      <c r="BD16" s="587"/>
      <c r="BE16" s="448"/>
      <c r="BF16" s="586"/>
      <c r="BG16" s="587"/>
      <c r="BH16" s="448"/>
      <c r="BI16" s="586"/>
      <c r="BJ16" s="587"/>
      <c r="BK16" s="448"/>
      <c r="BL16" s="586"/>
      <c r="BM16" s="587"/>
      <c r="BN16" s="448"/>
      <c r="BO16" s="586"/>
      <c r="BP16" s="587"/>
      <c r="BQ16" s="448"/>
      <c r="BR16" s="586"/>
      <c r="BS16" s="587"/>
      <c r="BT16" s="448"/>
      <c r="BU16" s="586"/>
      <c r="BV16" s="587"/>
      <c r="BW16" s="448"/>
      <c r="BX16" s="586"/>
      <c r="BY16" s="587"/>
      <c r="BZ16" s="448"/>
      <c r="CA16" s="586"/>
      <c r="CB16" s="587"/>
      <c r="CC16" s="448"/>
      <c r="CD16" s="586"/>
      <c r="CE16" s="587"/>
      <c r="CF16" s="448"/>
      <c r="CG16" s="586"/>
      <c r="CH16" s="587">
        <v>233.2</v>
      </c>
      <c r="CI16" s="448">
        <v>41.276000000000003</v>
      </c>
      <c r="CJ16" s="586" t="s">
        <v>1130</v>
      </c>
      <c r="CK16" s="587"/>
      <c r="CL16" s="448"/>
      <c r="CM16" s="586"/>
      <c r="CN16" s="587"/>
      <c r="CO16" s="448"/>
      <c r="CP16" s="586"/>
      <c r="CQ16" s="587"/>
      <c r="CR16" s="448"/>
      <c r="CS16" s="586"/>
      <c r="CT16" s="587"/>
      <c r="CU16" s="448"/>
      <c r="CV16" s="586"/>
      <c r="CW16" s="587"/>
      <c r="CX16" s="448"/>
      <c r="CY16" s="586"/>
      <c r="CZ16" s="448"/>
      <c r="DA16" s="595"/>
    </row>
    <row r="17" spans="1:105" s="70" customFormat="1" ht="22.5" customHeight="1" x14ac:dyDescent="0.25">
      <c r="A17" s="594" t="s">
        <v>1086</v>
      </c>
      <c r="B17" s="446" t="s">
        <v>1087</v>
      </c>
      <c r="C17" s="446" t="s">
        <v>12</v>
      </c>
      <c r="D17" s="446" t="s">
        <v>6</v>
      </c>
      <c r="E17" s="446">
        <v>33337</v>
      </c>
      <c r="F17" s="446">
        <v>35349</v>
      </c>
      <c r="G17" s="446">
        <f t="shared" si="6"/>
        <v>2012</v>
      </c>
      <c r="H17" s="541">
        <f t="shared" si="7"/>
        <v>636.79999999999995</v>
      </c>
      <c r="I17" s="542">
        <f t="shared" ref="I17:I20" si="8">COUNTA(L17,O17,R17,U17,X17,AA17,AD17,AG17,AJ17,AM17,AP17,AS17,AV17,AY17,BB17,BE17,BH17,BK17,BN17,BQ17,BT17,BW17,BZ17,CC17,CF17,CI17,CL17,CO17,CR17,CU17,CX17)</f>
        <v>2</v>
      </c>
      <c r="J17" s="446" t="s">
        <v>81</v>
      </c>
      <c r="K17" s="587"/>
      <c r="L17" s="448"/>
      <c r="M17" s="586"/>
      <c r="N17" s="587"/>
      <c r="O17" s="448"/>
      <c r="P17" s="586"/>
      <c r="Q17" s="587"/>
      <c r="R17" s="448"/>
      <c r="S17" s="586"/>
      <c r="T17" s="587"/>
      <c r="U17" s="448"/>
      <c r="V17" s="586"/>
      <c r="W17" s="587"/>
      <c r="X17" s="448"/>
      <c r="Y17" s="586"/>
      <c r="Z17" s="587"/>
      <c r="AA17" s="448"/>
      <c r="AB17" s="586"/>
      <c r="AC17" s="587">
        <v>323.60000000000002</v>
      </c>
      <c r="AD17" s="448">
        <v>57.006</v>
      </c>
      <c r="AE17" s="586" t="s">
        <v>1130</v>
      </c>
      <c r="AF17" s="587"/>
      <c r="AG17" s="448"/>
      <c r="AH17" s="586"/>
      <c r="AI17" s="587"/>
      <c r="AJ17" s="448"/>
      <c r="AK17" s="586"/>
      <c r="AL17" s="587"/>
      <c r="AM17" s="448"/>
      <c r="AN17" s="586"/>
      <c r="AO17" s="587"/>
      <c r="AP17" s="448"/>
      <c r="AQ17" s="586"/>
      <c r="AR17" s="587"/>
      <c r="AS17" s="448"/>
      <c r="AT17" s="586"/>
      <c r="AU17" s="587"/>
      <c r="AV17" s="448"/>
      <c r="AW17" s="586"/>
      <c r="AX17" s="587"/>
      <c r="AY17" s="448"/>
      <c r="AZ17" s="586"/>
      <c r="BA17" s="587"/>
      <c r="BB17" s="448"/>
      <c r="BC17" s="586"/>
      <c r="BD17" s="587"/>
      <c r="BE17" s="448"/>
      <c r="BF17" s="586"/>
      <c r="BG17" s="587"/>
      <c r="BH17" s="448"/>
      <c r="BI17" s="586"/>
      <c r="BJ17" s="587"/>
      <c r="BK17" s="448"/>
      <c r="BL17" s="586"/>
      <c r="BM17" s="587">
        <v>313.2</v>
      </c>
      <c r="BN17" s="448">
        <v>55.43</v>
      </c>
      <c r="BO17" s="586" t="s">
        <v>1130</v>
      </c>
      <c r="BP17" s="587"/>
      <c r="BQ17" s="448"/>
      <c r="BR17" s="586"/>
      <c r="BS17" s="587"/>
      <c r="BT17" s="448"/>
      <c r="BU17" s="586"/>
      <c r="BV17" s="587"/>
      <c r="BW17" s="448"/>
      <c r="BX17" s="586"/>
      <c r="BY17" s="587"/>
      <c r="BZ17" s="448"/>
      <c r="CA17" s="586"/>
      <c r="CB17" s="587"/>
      <c r="CC17" s="448"/>
      <c r="CD17" s="586"/>
      <c r="CE17" s="587"/>
      <c r="CF17" s="448"/>
      <c r="CG17" s="586"/>
      <c r="CH17" s="587"/>
      <c r="CI17" s="448"/>
      <c r="CJ17" s="586"/>
      <c r="CK17" s="587"/>
      <c r="CL17" s="448"/>
      <c r="CM17" s="586"/>
      <c r="CN17" s="587"/>
      <c r="CO17" s="448"/>
      <c r="CP17" s="586"/>
      <c r="CQ17" s="587"/>
      <c r="CR17" s="448"/>
      <c r="CS17" s="586"/>
      <c r="CT17" s="587"/>
      <c r="CU17" s="448"/>
      <c r="CV17" s="586"/>
      <c r="CW17" s="587"/>
      <c r="CX17" s="448"/>
      <c r="CY17" s="586"/>
      <c r="CZ17" s="448"/>
      <c r="DA17" s="595"/>
    </row>
    <row r="18" spans="1:105" s="70" customFormat="1" ht="22.5" customHeight="1" x14ac:dyDescent="0.25">
      <c r="A18" s="594" t="s">
        <v>1032</v>
      </c>
      <c r="B18" s="446" t="s">
        <v>1031</v>
      </c>
      <c r="C18" s="446" t="s">
        <v>7</v>
      </c>
      <c r="D18" s="446" t="s">
        <v>6</v>
      </c>
      <c r="E18" s="446">
        <v>11827</v>
      </c>
      <c r="F18" s="446">
        <v>12891</v>
      </c>
      <c r="G18" s="446">
        <f t="shared" si="6"/>
        <v>1064</v>
      </c>
      <c r="H18" s="541">
        <f t="shared" si="7"/>
        <v>118</v>
      </c>
      <c r="I18" s="542">
        <f t="shared" si="8"/>
        <v>1</v>
      </c>
      <c r="J18" s="446" t="s">
        <v>81</v>
      </c>
      <c r="K18" s="587"/>
      <c r="L18" s="448"/>
      <c r="M18" s="588"/>
      <c r="N18" s="587"/>
      <c r="O18" s="448"/>
      <c r="P18" s="588"/>
      <c r="Q18" s="587"/>
      <c r="R18" s="448"/>
      <c r="S18" s="588"/>
      <c r="T18" s="587"/>
      <c r="U18" s="448"/>
      <c r="V18" s="588"/>
      <c r="W18" s="587"/>
      <c r="X18" s="448"/>
      <c r="Y18" s="588"/>
      <c r="Z18" s="587"/>
      <c r="AA18" s="448"/>
      <c r="AB18" s="588"/>
      <c r="AC18" s="587"/>
      <c r="AD18" s="448"/>
      <c r="AE18" s="588"/>
      <c r="AF18" s="587">
        <v>118</v>
      </c>
      <c r="AG18" s="448">
        <v>20.88</v>
      </c>
      <c r="AH18" s="588" t="s">
        <v>1130</v>
      </c>
      <c r="AI18" s="587"/>
      <c r="AJ18" s="448"/>
      <c r="AK18" s="588"/>
      <c r="AL18" s="587"/>
      <c r="AM18" s="448"/>
      <c r="AN18" s="588"/>
      <c r="AO18" s="587"/>
      <c r="AP18" s="448"/>
      <c r="AQ18" s="588"/>
      <c r="AR18" s="587"/>
      <c r="AS18" s="448"/>
      <c r="AT18" s="588"/>
      <c r="AU18" s="587"/>
      <c r="AV18" s="448"/>
      <c r="AW18" s="588"/>
      <c r="AX18" s="587"/>
      <c r="AY18" s="448"/>
      <c r="AZ18" s="588"/>
      <c r="BA18" s="587"/>
      <c r="BB18" s="448"/>
      <c r="BC18" s="588"/>
      <c r="BD18" s="587"/>
      <c r="BE18" s="448"/>
      <c r="BF18" s="588"/>
      <c r="BG18" s="587"/>
      <c r="BH18" s="448"/>
      <c r="BI18" s="588"/>
      <c r="BJ18" s="587"/>
      <c r="BK18" s="448"/>
      <c r="BL18" s="588"/>
      <c r="BM18" s="587"/>
      <c r="BN18" s="448"/>
      <c r="BO18" s="588"/>
      <c r="BP18" s="587"/>
      <c r="BQ18" s="448"/>
      <c r="BR18" s="588"/>
      <c r="BS18" s="587"/>
      <c r="BT18" s="448"/>
      <c r="BU18" s="588"/>
      <c r="BV18" s="587"/>
      <c r="BW18" s="448"/>
      <c r="BX18" s="588"/>
      <c r="BY18" s="587"/>
      <c r="BZ18" s="448"/>
      <c r="CA18" s="588"/>
      <c r="CB18" s="587"/>
      <c r="CC18" s="448"/>
      <c r="CD18" s="588"/>
      <c r="CE18" s="587"/>
      <c r="CF18" s="448"/>
      <c r="CG18" s="588"/>
      <c r="CH18" s="587"/>
      <c r="CI18" s="448"/>
      <c r="CJ18" s="588"/>
      <c r="CK18" s="587"/>
      <c r="CL18" s="448"/>
      <c r="CM18" s="588"/>
      <c r="CN18" s="587"/>
      <c r="CO18" s="448"/>
      <c r="CP18" s="588"/>
      <c r="CQ18" s="587"/>
      <c r="CR18" s="448"/>
      <c r="CS18" s="588"/>
      <c r="CT18" s="587"/>
      <c r="CU18" s="448"/>
      <c r="CV18" s="588"/>
      <c r="CW18" s="587"/>
      <c r="CX18" s="448"/>
      <c r="CY18" s="588"/>
      <c r="CZ18" s="448"/>
      <c r="DA18" s="595"/>
    </row>
    <row r="19" spans="1:105" s="70" customFormat="1" ht="22.5" customHeight="1" x14ac:dyDescent="0.25">
      <c r="A19" s="594" t="s">
        <v>1209</v>
      </c>
      <c r="B19" s="446" t="s">
        <v>1210</v>
      </c>
      <c r="C19" s="446" t="s">
        <v>365</v>
      </c>
      <c r="D19" s="446" t="s">
        <v>6</v>
      </c>
      <c r="E19" s="446">
        <v>34271</v>
      </c>
      <c r="F19" s="446">
        <v>35621</v>
      </c>
      <c r="G19" s="446">
        <f t="shared" si="6"/>
        <v>1350</v>
      </c>
      <c r="H19" s="541">
        <f t="shared" si="7"/>
        <v>634.82000000000005</v>
      </c>
      <c r="I19" s="542">
        <f t="shared" si="8"/>
        <v>3</v>
      </c>
      <c r="J19" s="446" t="s">
        <v>81</v>
      </c>
      <c r="K19" s="587"/>
      <c r="L19" s="448"/>
      <c r="M19" s="588"/>
      <c r="N19" s="587"/>
      <c r="O19" s="448"/>
      <c r="P19" s="588"/>
      <c r="Q19" s="587"/>
      <c r="R19" s="448"/>
      <c r="S19" s="588"/>
      <c r="T19" s="587"/>
      <c r="U19" s="448"/>
      <c r="V19" s="588"/>
      <c r="W19" s="587"/>
      <c r="X19" s="448"/>
      <c r="Y19" s="588"/>
      <c r="Z19" s="587"/>
      <c r="AA19" s="448"/>
      <c r="AB19" s="588"/>
      <c r="AC19" s="587"/>
      <c r="AD19" s="448"/>
      <c r="AE19" s="588"/>
      <c r="AF19" s="587"/>
      <c r="AG19" s="448"/>
      <c r="AH19" s="588"/>
      <c r="AI19" s="587"/>
      <c r="AJ19" s="448"/>
      <c r="AK19" s="588"/>
      <c r="AL19" s="587"/>
      <c r="AM19" s="448"/>
      <c r="AN19" s="588"/>
      <c r="AO19" s="587"/>
      <c r="AP19" s="448"/>
      <c r="AQ19" s="588"/>
      <c r="AR19" s="587"/>
      <c r="AS19" s="448"/>
      <c r="AT19" s="588"/>
      <c r="AU19" s="587"/>
      <c r="AV19" s="448"/>
      <c r="AW19" s="588"/>
      <c r="AX19" s="587"/>
      <c r="AY19" s="448"/>
      <c r="AZ19" s="588"/>
      <c r="BA19" s="587"/>
      <c r="BB19" s="448"/>
      <c r="BC19" s="588"/>
      <c r="BD19" s="587"/>
      <c r="BE19" s="448"/>
      <c r="BF19" s="588"/>
      <c r="BG19" s="587"/>
      <c r="BH19" s="448"/>
      <c r="BI19" s="588"/>
      <c r="BJ19" s="587"/>
      <c r="BK19" s="448"/>
      <c r="BL19" s="588"/>
      <c r="BM19" s="587">
        <v>224.9</v>
      </c>
      <c r="BN19" s="448">
        <v>39.799999999999997</v>
      </c>
      <c r="BO19" s="588" t="s">
        <v>1130</v>
      </c>
      <c r="BP19" s="587"/>
      <c r="BQ19" s="448"/>
      <c r="BR19" s="588"/>
      <c r="BS19" s="587">
        <v>200.06</v>
      </c>
      <c r="BT19" s="448">
        <v>35.408999999999999</v>
      </c>
      <c r="BU19" s="588" t="s">
        <v>1130</v>
      </c>
      <c r="BV19" s="587"/>
      <c r="BW19" s="448"/>
      <c r="BX19" s="588"/>
      <c r="BY19" s="587"/>
      <c r="BZ19" s="448"/>
      <c r="CA19" s="588"/>
      <c r="CB19" s="587"/>
      <c r="CC19" s="448"/>
      <c r="CD19" s="588"/>
      <c r="CE19" s="587"/>
      <c r="CF19" s="448"/>
      <c r="CG19" s="588"/>
      <c r="CH19" s="587">
        <v>209.86</v>
      </c>
      <c r="CI19" s="448">
        <v>37.411999999999999</v>
      </c>
      <c r="CJ19" s="588" t="s">
        <v>1130</v>
      </c>
      <c r="CK19" s="587"/>
      <c r="CL19" s="448"/>
      <c r="CM19" s="588"/>
      <c r="CN19" s="587"/>
      <c r="CO19" s="448"/>
      <c r="CP19" s="588"/>
      <c r="CQ19" s="587"/>
      <c r="CR19" s="448"/>
      <c r="CS19" s="588"/>
      <c r="CT19" s="587"/>
      <c r="CU19" s="448"/>
      <c r="CV19" s="588"/>
      <c r="CW19" s="587"/>
      <c r="CX19" s="448"/>
      <c r="CY19" s="588"/>
      <c r="CZ19" s="448"/>
      <c r="DA19" s="595"/>
    </row>
    <row r="20" spans="1:105" s="70" customFormat="1" ht="22.5" customHeight="1" x14ac:dyDescent="0.25">
      <c r="A20" s="594" t="s">
        <v>1082</v>
      </c>
      <c r="B20" s="446" t="s">
        <v>1205</v>
      </c>
      <c r="C20" s="446" t="s">
        <v>1204</v>
      </c>
      <c r="D20" s="446" t="s">
        <v>6</v>
      </c>
      <c r="E20" s="446">
        <v>45795</v>
      </c>
      <c r="F20" s="446">
        <v>47531</v>
      </c>
      <c r="G20" s="446">
        <f t="shared" si="6"/>
        <v>1736</v>
      </c>
      <c r="H20" s="541">
        <f t="shared" si="7"/>
        <v>740.16</v>
      </c>
      <c r="I20" s="542">
        <f t="shared" si="8"/>
        <v>3</v>
      </c>
      <c r="J20" s="446" t="s">
        <v>81</v>
      </c>
      <c r="K20" s="587"/>
      <c r="L20" s="448"/>
      <c r="M20" s="588"/>
      <c r="N20" s="587"/>
      <c r="O20" s="448"/>
      <c r="P20" s="588"/>
      <c r="Q20" s="587"/>
      <c r="R20" s="448"/>
      <c r="S20" s="588"/>
      <c r="T20" s="587"/>
      <c r="U20" s="448"/>
      <c r="V20" s="588"/>
      <c r="W20" s="587"/>
      <c r="X20" s="448"/>
      <c r="Y20" s="588"/>
      <c r="Z20" s="587"/>
      <c r="AA20" s="448"/>
      <c r="AB20" s="588"/>
      <c r="AC20" s="587"/>
      <c r="AD20" s="448"/>
      <c r="AE20" s="588"/>
      <c r="AF20" s="587"/>
      <c r="AG20" s="448"/>
      <c r="AH20" s="588"/>
      <c r="AI20" s="587"/>
      <c r="AJ20" s="448"/>
      <c r="AK20" s="588"/>
      <c r="AL20" s="587"/>
      <c r="AM20" s="448"/>
      <c r="AN20" s="588"/>
      <c r="AO20" s="587"/>
      <c r="AP20" s="448"/>
      <c r="AQ20" s="588"/>
      <c r="AR20" s="587"/>
      <c r="AS20" s="448"/>
      <c r="AT20" s="588"/>
      <c r="AU20" s="587"/>
      <c r="AV20" s="448"/>
      <c r="AW20" s="588"/>
      <c r="AX20" s="587">
        <v>240.19</v>
      </c>
      <c r="AY20" s="448">
        <v>42.51</v>
      </c>
      <c r="AZ20" s="588" t="s">
        <v>1130</v>
      </c>
      <c r="BA20" s="587"/>
      <c r="BB20" s="448"/>
      <c r="BC20" s="588"/>
      <c r="BD20" s="587"/>
      <c r="BE20" s="448"/>
      <c r="BF20" s="588"/>
      <c r="BG20" s="587"/>
      <c r="BH20" s="448"/>
      <c r="BI20" s="588"/>
      <c r="BJ20" s="587"/>
      <c r="BK20" s="448"/>
      <c r="BL20" s="588"/>
      <c r="BM20" s="587"/>
      <c r="BN20" s="448"/>
      <c r="BO20" s="588"/>
      <c r="BP20" s="587">
        <v>246.12</v>
      </c>
      <c r="BQ20" s="448">
        <v>43.561999999999998</v>
      </c>
      <c r="BR20" s="588" t="s">
        <v>1130</v>
      </c>
      <c r="BS20" s="587"/>
      <c r="BT20" s="448"/>
      <c r="BU20" s="588"/>
      <c r="BV20" s="587"/>
      <c r="BW20" s="448"/>
      <c r="BX20" s="588"/>
      <c r="BY20" s="587"/>
      <c r="BZ20" s="448"/>
      <c r="CA20" s="588"/>
      <c r="CB20" s="587"/>
      <c r="CC20" s="448"/>
      <c r="CD20" s="588"/>
      <c r="CE20" s="587">
        <v>253.85</v>
      </c>
      <c r="CF20" s="448">
        <v>44.93</v>
      </c>
      <c r="CG20" s="588" t="s">
        <v>1130</v>
      </c>
      <c r="CH20" s="587"/>
      <c r="CI20" s="448"/>
      <c r="CJ20" s="588"/>
      <c r="CK20" s="587"/>
      <c r="CL20" s="448"/>
      <c r="CM20" s="588"/>
      <c r="CN20" s="587"/>
      <c r="CO20" s="448"/>
      <c r="CP20" s="588"/>
      <c r="CQ20" s="587"/>
      <c r="CR20" s="448"/>
      <c r="CS20" s="588"/>
      <c r="CT20" s="587"/>
      <c r="CU20" s="448"/>
      <c r="CV20" s="588"/>
      <c r="CW20" s="587"/>
      <c r="CX20" s="448"/>
      <c r="CY20" s="588"/>
      <c r="CZ20" s="448"/>
      <c r="DA20" s="595"/>
    </row>
    <row r="21" spans="1:105" s="70" customFormat="1" ht="22.5" customHeight="1" thickBot="1" x14ac:dyDescent="0.3">
      <c r="A21" s="603" t="s">
        <v>862</v>
      </c>
      <c r="B21" s="604" t="s">
        <v>863</v>
      </c>
      <c r="C21" s="604" t="s">
        <v>864</v>
      </c>
      <c r="D21" s="604" t="s">
        <v>6</v>
      </c>
      <c r="E21" s="604">
        <v>15413</v>
      </c>
      <c r="F21" s="604">
        <v>17500</v>
      </c>
      <c r="G21" s="604">
        <f t="shared" ref="G21" si="9">F21-E21</f>
        <v>2087</v>
      </c>
      <c r="H21" s="605">
        <f t="shared" ref="H21" si="10">SUM(K21+N21+Q21+T21+W21+Z21+AC21+AF21+AI21+AL21+AO21+AR21+AU21+AX21+BA21+BD21+BG21+BJ21+BM21+BP21+BS21+BV21+BY21+CB21+CE21+CH21+CK21+CN21+CQ21+CT21+CW21)</f>
        <v>1010.77</v>
      </c>
      <c r="I21" s="606">
        <f>COUNTA(L21,O21,R21,U21,X21,AA21,AD21,AG21,AJ21,AM21,AP21,AS21,AV21,AY21,BB21,BE21,BH21,BK21,BN21,BQ21,BT21,BW21,BZ21,CC21,CF21,CI21,CL21,CO21,CR21,CU21,CX21)</f>
        <v>4</v>
      </c>
      <c r="J21" s="604" t="s">
        <v>81</v>
      </c>
      <c r="K21" s="607"/>
      <c r="L21" s="454"/>
      <c r="M21" s="608"/>
      <c r="N21" s="607"/>
      <c r="O21" s="454"/>
      <c r="P21" s="608"/>
      <c r="Q21" s="607"/>
      <c r="R21" s="454"/>
      <c r="S21" s="608"/>
      <c r="T21" s="607"/>
      <c r="U21" s="454"/>
      <c r="V21" s="608"/>
      <c r="W21" s="607">
        <v>264.83</v>
      </c>
      <c r="X21" s="454">
        <v>46.87</v>
      </c>
      <c r="Y21" s="608" t="s">
        <v>1130</v>
      </c>
      <c r="Z21" s="607"/>
      <c r="AA21" s="454"/>
      <c r="AB21" s="608"/>
      <c r="AC21" s="607">
        <v>208.05</v>
      </c>
      <c r="AD21" s="454">
        <v>36.823999999999998</v>
      </c>
      <c r="AE21" s="608" t="s">
        <v>1130</v>
      </c>
      <c r="AF21" s="607"/>
      <c r="AG21" s="454"/>
      <c r="AH21" s="608"/>
      <c r="AI21" s="607"/>
      <c r="AJ21" s="454"/>
      <c r="AK21" s="608"/>
      <c r="AL21" s="607"/>
      <c r="AM21" s="454"/>
      <c r="AN21" s="608"/>
      <c r="AO21" s="607"/>
      <c r="AP21" s="454"/>
      <c r="AQ21" s="608"/>
      <c r="AR21" s="607">
        <v>265.8</v>
      </c>
      <c r="AS21" s="454">
        <v>47.04</v>
      </c>
      <c r="AT21" s="608" t="s">
        <v>1130</v>
      </c>
      <c r="AU21" s="607"/>
      <c r="AV21" s="454"/>
      <c r="AW21" s="608"/>
      <c r="AX21" s="607">
        <v>272.08999999999997</v>
      </c>
      <c r="AY21" s="454">
        <v>48.158999999999999</v>
      </c>
      <c r="AZ21" s="608" t="s">
        <v>1130</v>
      </c>
      <c r="BA21" s="607"/>
      <c r="BB21" s="454"/>
      <c r="BC21" s="608"/>
      <c r="BD21" s="607"/>
      <c r="BE21" s="454"/>
      <c r="BF21" s="608"/>
      <c r="BG21" s="607"/>
      <c r="BH21" s="454"/>
      <c r="BI21" s="608"/>
      <c r="BJ21" s="607"/>
      <c r="BK21" s="454"/>
      <c r="BL21" s="608"/>
      <c r="BM21" s="607"/>
      <c r="BN21" s="454"/>
      <c r="BO21" s="608"/>
      <c r="BP21" s="607"/>
      <c r="BQ21" s="454"/>
      <c r="BR21" s="608"/>
      <c r="BS21" s="607"/>
      <c r="BT21" s="454"/>
      <c r="BU21" s="608"/>
      <c r="BV21" s="607"/>
      <c r="BW21" s="454"/>
      <c r="BX21" s="608"/>
      <c r="BY21" s="607"/>
      <c r="BZ21" s="454"/>
      <c r="CA21" s="608"/>
      <c r="CB21" s="607"/>
      <c r="CC21" s="454"/>
      <c r="CD21" s="608"/>
      <c r="CE21" s="607"/>
      <c r="CF21" s="454"/>
      <c r="CG21" s="608"/>
      <c r="CH21" s="607"/>
      <c r="CI21" s="454"/>
      <c r="CJ21" s="608"/>
      <c r="CK21" s="607"/>
      <c r="CL21" s="454"/>
      <c r="CM21" s="608"/>
      <c r="CN21" s="607"/>
      <c r="CO21" s="454"/>
      <c r="CP21" s="608"/>
      <c r="CQ21" s="607"/>
      <c r="CR21" s="454"/>
      <c r="CS21" s="608"/>
      <c r="CT21" s="607"/>
      <c r="CU21" s="454"/>
      <c r="CV21" s="608"/>
      <c r="CW21" s="607"/>
      <c r="CX21" s="454"/>
      <c r="CY21" s="608"/>
      <c r="CZ21" s="454"/>
      <c r="DA21" s="609"/>
    </row>
    <row r="22" spans="1:105" s="70" customFormat="1" ht="22.5" customHeight="1" x14ac:dyDescent="0.25">
      <c r="A22" s="589" t="s">
        <v>1082</v>
      </c>
      <c r="B22" s="435" t="s">
        <v>1205</v>
      </c>
      <c r="C22" s="435" t="s">
        <v>1204</v>
      </c>
      <c r="D22" s="435" t="s">
        <v>6</v>
      </c>
      <c r="E22" s="435">
        <v>47531</v>
      </c>
      <c r="F22" s="435">
        <v>49294</v>
      </c>
      <c r="G22" s="435">
        <f>F22-E22</f>
        <v>1763</v>
      </c>
      <c r="H22" s="436">
        <f>SUM(K22+N22+Q22+T22+W22+Z22+AC22+AF22+AI22+AL22+AO22+AR22+AU22+AX22+BA22+BD22+BG22+BJ22+BM22+BP22+BS22+BV22+BY22+CB22+CE22+CH22+CK22+CN22+CQ22+CT22+CW22)</f>
        <v>765.09999999999991</v>
      </c>
      <c r="I22" s="437">
        <f>COUNTA(L22,O22,R22,U22,X22,AA22,AD22,AG22,AJ22,AM22,AP22,AS22,AV22,AY22,BB22,BE22,BH22,BK22,BN22,BQ22,BT22,BW22,BZ22,CC22,CF22,CI22,CL22,CO22,CR22,CU22,CX22)</f>
        <v>4</v>
      </c>
      <c r="J22" s="435" t="s">
        <v>82</v>
      </c>
      <c r="K22" s="590"/>
      <c r="L22" s="591"/>
      <c r="M22" s="592"/>
      <c r="N22" s="590">
        <v>205.04</v>
      </c>
      <c r="O22" s="591">
        <v>36.29</v>
      </c>
      <c r="P22" s="592" t="s">
        <v>1130</v>
      </c>
      <c r="Q22" s="590"/>
      <c r="R22" s="591"/>
      <c r="S22" s="592"/>
      <c r="T22" s="590"/>
      <c r="U22" s="591"/>
      <c r="V22" s="592"/>
      <c r="W22" s="590"/>
      <c r="X22" s="591"/>
      <c r="Y22" s="592"/>
      <c r="Z22" s="590"/>
      <c r="AA22" s="591"/>
      <c r="AB22" s="592"/>
      <c r="AC22" s="590"/>
      <c r="AD22" s="591"/>
      <c r="AE22" s="592"/>
      <c r="AF22" s="590"/>
      <c r="AG22" s="591"/>
      <c r="AH22" s="592"/>
      <c r="AI22" s="590">
        <v>231.04</v>
      </c>
      <c r="AJ22" s="591">
        <v>40.893000000000001</v>
      </c>
      <c r="AK22" s="592" t="s">
        <v>1130</v>
      </c>
      <c r="AL22" s="590"/>
      <c r="AM22" s="591"/>
      <c r="AN22" s="592"/>
      <c r="AO22" s="590"/>
      <c r="AP22" s="591"/>
      <c r="AQ22" s="592"/>
      <c r="AR22" s="590"/>
      <c r="AS22" s="591"/>
      <c r="AT22" s="592"/>
      <c r="AU22" s="590"/>
      <c r="AV22" s="591"/>
      <c r="AW22" s="592"/>
      <c r="AX22" s="590"/>
      <c r="AY22" s="591"/>
      <c r="AZ22" s="592"/>
      <c r="BA22" s="590"/>
      <c r="BB22" s="591"/>
      <c r="BC22" s="592"/>
      <c r="BD22" s="590"/>
      <c r="BE22" s="591"/>
      <c r="BF22" s="592"/>
      <c r="BG22" s="590"/>
      <c r="BH22" s="591"/>
      <c r="BI22" s="592"/>
      <c r="BJ22" s="590"/>
      <c r="BK22" s="591"/>
      <c r="BL22" s="592"/>
      <c r="BM22" s="590"/>
      <c r="BN22" s="591"/>
      <c r="BO22" s="592"/>
      <c r="BP22" s="590"/>
      <c r="BQ22" s="591"/>
      <c r="BR22" s="592"/>
      <c r="BS22" s="590"/>
      <c r="BT22" s="591"/>
      <c r="BU22" s="592"/>
      <c r="BV22" s="590"/>
      <c r="BW22" s="591"/>
      <c r="BX22" s="592"/>
      <c r="BY22" s="590"/>
      <c r="BZ22" s="591"/>
      <c r="CA22" s="592"/>
      <c r="CB22" s="590"/>
      <c r="CC22" s="591"/>
      <c r="CD22" s="592"/>
      <c r="CE22" s="590">
        <v>80.11</v>
      </c>
      <c r="CF22" s="591">
        <v>13.51</v>
      </c>
      <c r="CG22" s="592" t="s">
        <v>1130</v>
      </c>
      <c r="CH22" s="590"/>
      <c r="CI22" s="591"/>
      <c r="CJ22" s="592"/>
      <c r="CK22" s="590"/>
      <c r="CL22" s="591"/>
      <c r="CM22" s="592"/>
      <c r="CN22" s="590"/>
      <c r="CO22" s="591"/>
      <c r="CP22" s="592"/>
      <c r="CQ22" s="590"/>
      <c r="CR22" s="591"/>
      <c r="CS22" s="592"/>
      <c r="CT22" s="590">
        <v>248.91</v>
      </c>
      <c r="CU22" s="591">
        <v>41.97</v>
      </c>
      <c r="CV22" s="592" t="s">
        <v>1130</v>
      </c>
      <c r="CW22" s="590"/>
      <c r="CX22" s="591"/>
      <c r="CY22" s="592"/>
      <c r="CZ22" s="591"/>
      <c r="DA22" s="593"/>
    </row>
    <row r="23" spans="1:105" s="70" customFormat="1" ht="22.5" customHeight="1" x14ac:dyDescent="0.25">
      <c r="A23" s="594" t="s">
        <v>1081</v>
      </c>
      <c r="B23" s="446" t="s">
        <v>861</v>
      </c>
      <c r="C23" s="446" t="s">
        <v>865</v>
      </c>
      <c r="D23" s="446" t="s">
        <v>6</v>
      </c>
      <c r="E23" s="446">
        <v>16988</v>
      </c>
      <c r="F23" s="446">
        <v>18807</v>
      </c>
      <c r="G23" s="446">
        <f>F23-E23</f>
        <v>1819</v>
      </c>
      <c r="H23" s="541">
        <f>SUM(K23+N23+Q23+T23+W23+Z23+AC23+AF23+AI23+AL23+AO23+AR23+AU23+AX23+BA23+BD23+BG23+BJ23+BM23+BP23+BS23+BV23+BY23+CB23+CE23+CH23+CK23+CN23+CQ23+CT23+CW23)</f>
        <v>884.81000000000006</v>
      </c>
      <c r="I23" s="542">
        <f>COUNTA(L23,O23,R23,U23,X23,AA23,AD23,AG23,AJ23,AM23,AP23,AS23,AV23,AY23,BB23,BE23,BH23,BK23,BN23,BQ23,BT23,BW23,BZ23,CC23,CF23,CI23,CL23,CO23,CR23,CU23,CX23)</f>
        <v>4</v>
      </c>
      <c r="J23" s="446" t="s">
        <v>82</v>
      </c>
      <c r="K23" s="587"/>
      <c r="L23" s="448"/>
      <c r="M23" s="586"/>
      <c r="N23" s="587">
        <v>242.23</v>
      </c>
      <c r="O23" s="448">
        <v>42.87</v>
      </c>
      <c r="P23" s="586" t="s">
        <v>1130</v>
      </c>
      <c r="Q23" s="587"/>
      <c r="R23" s="448"/>
      <c r="S23" s="586"/>
      <c r="T23" s="587">
        <v>182.03</v>
      </c>
      <c r="U23" s="448">
        <v>32.21</v>
      </c>
      <c r="V23" s="586" t="s">
        <v>1130</v>
      </c>
      <c r="W23" s="587"/>
      <c r="X23" s="448"/>
      <c r="Y23" s="586"/>
      <c r="Z23" s="587"/>
      <c r="AA23" s="448"/>
      <c r="AB23" s="586"/>
      <c r="AC23" s="587"/>
      <c r="AD23" s="448"/>
      <c r="AE23" s="586"/>
      <c r="AF23" s="587"/>
      <c r="AG23" s="448"/>
      <c r="AH23" s="586"/>
      <c r="AI23" s="587">
        <v>192.58</v>
      </c>
      <c r="AJ23" s="448">
        <v>34.08</v>
      </c>
      <c r="AK23" s="586" t="s">
        <v>1130</v>
      </c>
      <c r="AL23" s="587"/>
      <c r="AM23" s="448"/>
      <c r="AN23" s="586"/>
      <c r="AO23" s="587"/>
      <c r="AP23" s="448"/>
      <c r="AQ23" s="586"/>
      <c r="AR23" s="587"/>
      <c r="AS23" s="448"/>
      <c r="AT23" s="586"/>
      <c r="AU23" s="587"/>
      <c r="AV23" s="448"/>
      <c r="AW23" s="586"/>
      <c r="AX23" s="587"/>
      <c r="AY23" s="448"/>
      <c r="AZ23" s="586"/>
      <c r="BA23" s="587"/>
      <c r="BB23" s="448"/>
      <c r="BC23" s="586"/>
      <c r="BD23" s="587"/>
      <c r="BE23" s="448"/>
      <c r="BF23" s="586"/>
      <c r="BG23" s="587"/>
      <c r="BH23" s="448"/>
      <c r="BI23" s="586"/>
      <c r="BJ23" s="587"/>
      <c r="BK23" s="448"/>
      <c r="BL23" s="586"/>
      <c r="BM23" s="587"/>
      <c r="BN23" s="448"/>
      <c r="BO23" s="586"/>
      <c r="BP23" s="587"/>
      <c r="BQ23" s="448"/>
      <c r="BR23" s="586"/>
      <c r="BS23" s="587"/>
      <c r="BT23" s="448"/>
      <c r="BU23" s="586"/>
      <c r="BV23" s="587"/>
      <c r="BW23" s="448"/>
      <c r="BX23" s="586"/>
      <c r="BY23" s="587"/>
      <c r="BZ23" s="448"/>
      <c r="CA23" s="586"/>
      <c r="CB23" s="587"/>
      <c r="CC23" s="448"/>
      <c r="CD23" s="586"/>
      <c r="CE23" s="587"/>
      <c r="CF23" s="448"/>
      <c r="CG23" s="586"/>
      <c r="CH23" s="587"/>
      <c r="CI23" s="448"/>
      <c r="CJ23" s="586"/>
      <c r="CK23" s="587"/>
      <c r="CL23" s="448"/>
      <c r="CM23" s="586"/>
      <c r="CN23" s="587"/>
      <c r="CO23" s="448"/>
      <c r="CP23" s="586"/>
      <c r="CQ23" s="587"/>
      <c r="CR23" s="448"/>
      <c r="CS23" s="586"/>
      <c r="CT23" s="587">
        <v>267.97000000000003</v>
      </c>
      <c r="CU23" s="448">
        <v>45.18</v>
      </c>
      <c r="CV23" s="586" t="s">
        <v>1130</v>
      </c>
      <c r="CW23" s="587"/>
      <c r="CX23" s="448"/>
      <c r="CY23" s="586"/>
      <c r="CZ23" s="448"/>
      <c r="DA23" s="595"/>
    </row>
    <row r="24" spans="1:105" s="70" customFormat="1" ht="22.5" customHeight="1" x14ac:dyDescent="0.25">
      <c r="A24" s="594" t="s">
        <v>1086</v>
      </c>
      <c r="B24" s="446" t="s">
        <v>1220</v>
      </c>
      <c r="C24" s="446" t="s">
        <v>7</v>
      </c>
      <c r="D24" s="446" t="s">
        <v>6</v>
      </c>
      <c r="E24" s="446">
        <v>9227</v>
      </c>
      <c r="F24" s="446">
        <v>11962</v>
      </c>
      <c r="G24" s="446">
        <f>F24-E24</f>
        <v>2735</v>
      </c>
      <c r="H24" s="541">
        <f>SUM(K24+N24+Q24+T24+W24+Z24+AC24+AF24+AI24+AL24+AO24+AR24+AU24+AX24+BA24+BD24+BG24+BJ24+BM24+BP24+BS24+BV24+BY24+CB24+CE24+CH24+CK24+CN24+CQ24+CT24+CW24)</f>
        <v>677.2</v>
      </c>
      <c r="I24" s="542">
        <f t="shared" ref="I24:I25" si="11">COUNTA(L24,O24,R24,U24,X24,AA24,AD24,AG24,AJ24,AM24,AP24,AS24,AV24,AY24,BB24,BE24,BH24,BK24,BN24,BQ24,BT24,BW24,BZ24,CC24,CF24,CI24,CL24,CO24,CR24,CU24,CX24)</f>
        <v>4</v>
      </c>
      <c r="J24" s="446" t="s">
        <v>82</v>
      </c>
      <c r="K24" s="587"/>
      <c r="L24" s="448"/>
      <c r="M24" s="586"/>
      <c r="N24" s="587">
        <v>235.82</v>
      </c>
      <c r="O24" s="448">
        <v>41.73</v>
      </c>
      <c r="P24" s="586" t="s">
        <v>1130</v>
      </c>
      <c r="Q24" s="587"/>
      <c r="R24" s="448"/>
      <c r="S24" s="586"/>
      <c r="T24" s="587">
        <v>120.06</v>
      </c>
      <c r="U24" s="448">
        <v>21.25</v>
      </c>
      <c r="V24" s="586" t="s">
        <v>1130</v>
      </c>
      <c r="W24" s="587"/>
      <c r="X24" s="448"/>
      <c r="Y24" s="586"/>
      <c r="Z24" s="587"/>
      <c r="AA24" s="448"/>
      <c r="AB24" s="586"/>
      <c r="AC24" s="587"/>
      <c r="AD24" s="448"/>
      <c r="AE24" s="586"/>
      <c r="AF24" s="587"/>
      <c r="AG24" s="448"/>
      <c r="AH24" s="586"/>
      <c r="AI24" s="587"/>
      <c r="AJ24" s="448"/>
      <c r="AK24" s="586"/>
      <c r="AL24" s="587"/>
      <c r="AM24" s="448"/>
      <c r="AN24" s="586"/>
      <c r="AO24" s="587"/>
      <c r="AP24" s="448"/>
      <c r="AQ24" s="586"/>
      <c r="AR24" s="587"/>
      <c r="AS24" s="448"/>
      <c r="AT24" s="586"/>
      <c r="AU24" s="587"/>
      <c r="AV24" s="448"/>
      <c r="AW24" s="586"/>
      <c r="AX24" s="587"/>
      <c r="AY24" s="448"/>
      <c r="AZ24" s="586"/>
      <c r="BA24" s="587"/>
      <c r="BB24" s="448"/>
      <c r="BC24" s="586"/>
      <c r="BD24" s="587"/>
      <c r="BE24" s="448"/>
      <c r="BF24" s="586"/>
      <c r="BG24" s="587"/>
      <c r="BH24" s="448"/>
      <c r="BI24" s="586"/>
      <c r="BJ24" s="587"/>
      <c r="BK24" s="448"/>
      <c r="BL24" s="586"/>
      <c r="BM24" s="587"/>
      <c r="BN24" s="448"/>
      <c r="BO24" s="586"/>
      <c r="BP24" s="587"/>
      <c r="BQ24" s="448"/>
      <c r="BR24" s="586"/>
      <c r="BS24" s="587"/>
      <c r="BT24" s="448"/>
      <c r="BU24" s="586"/>
      <c r="BV24" s="587"/>
      <c r="BW24" s="448"/>
      <c r="BX24" s="586"/>
      <c r="BY24" s="587"/>
      <c r="BZ24" s="448"/>
      <c r="CA24" s="586"/>
      <c r="CB24" s="587"/>
      <c r="CC24" s="448"/>
      <c r="CD24" s="586"/>
      <c r="CE24" s="587">
        <v>85.01</v>
      </c>
      <c r="CF24" s="448">
        <v>14.33</v>
      </c>
      <c r="CG24" s="586" t="s">
        <v>1130</v>
      </c>
      <c r="CH24" s="587"/>
      <c r="CI24" s="448"/>
      <c r="CJ24" s="586"/>
      <c r="CK24" s="587"/>
      <c r="CL24" s="448"/>
      <c r="CM24" s="586"/>
      <c r="CN24" s="587"/>
      <c r="CO24" s="448"/>
      <c r="CP24" s="586"/>
      <c r="CQ24" s="587"/>
      <c r="CR24" s="448"/>
      <c r="CS24" s="586"/>
      <c r="CT24" s="587">
        <v>236.31</v>
      </c>
      <c r="CU24" s="448">
        <v>39.85</v>
      </c>
      <c r="CV24" s="586" t="s">
        <v>1130</v>
      </c>
      <c r="CW24" s="587"/>
      <c r="CX24" s="448"/>
      <c r="CY24" s="586"/>
      <c r="CZ24" s="448"/>
      <c r="DA24" s="595"/>
    </row>
    <row r="25" spans="1:105" s="70" customFormat="1" ht="22.5" customHeight="1" x14ac:dyDescent="0.25">
      <c r="A25" s="594" t="s">
        <v>1203</v>
      </c>
      <c r="B25" s="446" t="s">
        <v>1199</v>
      </c>
      <c r="C25" s="446" t="s">
        <v>7</v>
      </c>
      <c r="D25" s="446" t="s">
        <v>6</v>
      </c>
      <c r="E25" s="446">
        <v>15662</v>
      </c>
      <c r="F25" s="446">
        <v>17158</v>
      </c>
      <c r="G25" s="446">
        <f>F25-E25</f>
        <v>1496</v>
      </c>
      <c r="H25" s="541">
        <f>SUM(K25+N25+Q25+T25+W25+Z25+AC25+AF25+AI25+AL25+AO25+AR25+AU25+AX25+BA25+BD25+BG25+BJ25+BM25+BP25+BS25+BV25+BY25+CB25+CE25+CH25+CK25+CN25+CQ25+CT25+CW25)</f>
        <v>533.93000000000006</v>
      </c>
      <c r="I25" s="542">
        <f t="shared" si="11"/>
        <v>3</v>
      </c>
      <c r="J25" s="446" t="s">
        <v>82</v>
      </c>
      <c r="K25" s="587"/>
      <c r="L25" s="448"/>
      <c r="M25" s="588"/>
      <c r="N25" s="587">
        <v>157.08000000000001</v>
      </c>
      <c r="O25" s="448">
        <v>27.8</v>
      </c>
      <c r="P25" s="588" t="s">
        <v>1130</v>
      </c>
      <c r="Q25" s="587"/>
      <c r="R25" s="448"/>
      <c r="S25" s="588"/>
      <c r="T25" s="587"/>
      <c r="U25" s="448"/>
      <c r="V25" s="588"/>
      <c r="W25" s="587"/>
      <c r="X25" s="448"/>
      <c r="Y25" s="588"/>
      <c r="Z25" s="587"/>
      <c r="AA25" s="448"/>
      <c r="AB25" s="588"/>
      <c r="AC25" s="587"/>
      <c r="AD25" s="448"/>
      <c r="AE25" s="588"/>
      <c r="AF25" s="587"/>
      <c r="AG25" s="448"/>
      <c r="AH25" s="588"/>
      <c r="AI25" s="587">
        <v>161.88</v>
      </c>
      <c r="AJ25" s="448">
        <v>29.65</v>
      </c>
      <c r="AK25" s="588" t="s">
        <v>1130</v>
      </c>
      <c r="AL25" s="587"/>
      <c r="AM25" s="448"/>
      <c r="AN25" s="588"/>
      <c r="AO25" s="587"/>
      <c r="AP25" s="448"/>
      <c r="AQ25" s="588"/>
      <c r="AR25" s="587"/>
      <c r="AS25" s="448"/>
      <c r="AT25" s="588"/>
      <c r="AU25" s="587"/>
      <c r="AV25" s="448"/>
      <c r="AW25" s="588"/>
      <c r="AX25" s="587"/>
      <c r="AY25" s="448"/>
      <c r="AZ25" s="588"/>
      <c r="BA25" s="587"/>
      <c r="BB25" s="448"/>
      <c r="BC25" s="588"/>
      <c r="BD25" s="587"/>
      <c r="BE25" s="448"/>
      <c r="BF25" s="588"/>
      <c r="BG25" s="587"/>
      <c r="BH25" s="448"/>
      <c r="BI25" s="588"/>
      <c r="BJ25" s="587"/>
      <c r="BK25" s="448"/>
      <c r="BL25" s="588"/>
      <c r="BM25" s="587"/>
      <c r="BN25" s="448"/>
      <c r="BO25" s="588"/>
      <c r="BP25" s="587"/>
      <c r="BQ25" s="448"/>
      <c r="BR25" s="588"/>
      <c r="BS25" s="587"/>
      <c r="BT25" s="448"/>
      <c r="BU25" s="588"/>
      <c r="BV25" s="587"/>
      <c r="BW25" s="448"/>
      <c r="BX25" s="588"/>
      <c r="BY25" s="587"/>
      <c r="BZ25" s="448"/>
      <c r="CA25" s="588"/>
      <c r="CB25" s="587"/>
      <c r="CC25" s="448"/>
      <c r="CD25" s="588"/>
      <c r="CE25" s="587"/>
      <c r="CF25" s="448"/>
      <c r="CG25" s="588"/>
      <c r="CH25" s="587"/>
      <c r="CI25" s="448"/>
      <c r="CJ25" s="588"/>
      <c r="CK25" s="587"/>
      <c r="CL25" s="448"/>
      <c r="CM25" s="588"/>
      <c r="CN25" s="587"/>
      <c r="CO25" s="448"/>
      <c r="CP25" s="588"/>
      <c r="CQ25" s="587"/>
      <c r="CR25" s="448"/>
      <c r="CS25" s="588"/>
      <c r="CT25" s="587">
        <v>214.97</v>
      </c>
      <c r="CU25" s="448">
        <v>36.25</v>
      </c>
      <c r="CV25" s="588" t="s">
        <v>1130</v>
      </c>
      <c r="CW25" s="587"/>
      <c r="CX25" s="448"/>
      <c r="CY25" s="588"/>
      <c r="CZ25" s="448"/>
      <c r="DA25" s="595"/>
    </row>
    <row r="26" spans="1:105" s="70" customFormat="1" ht="22.5" customHeight="1" thickBot="1" x14ac:dyDescent="0.3">
      <c r="A26" s="603" t="s">
        <v>862</v>
      </c>
      <c r="B26" s="604" t="s">
        <v>1210</v>
      </c>
      <c r="C26" s="604" t="s">
        <v>365</v>
      </c>
      <c r="D26" s="604" t="s">
        <v>6</v>
      </c>
      <c r="E26" s="604">
        <v>35621</v>
      </c>
      <c r="F26" s="611">
        <v>37846</v>
      </c>
      <c r="G26" s="604">
        <f t="shared" ref="G26" si="12">F26-E26</f>
        <v>2225</v>
      </c>
      <c r="H26" s="605">
        <f t="shared" ref="H26" si="13">SUM(K26+N26+Q26+T26+W26+Z26+AC26+AF26+AI26+AL26+AO26+AR26+AU26+AX26+BA26+BD26+BG26+BJ26+BM26+BP26+BS26+BV26+BY26+CB26+CE26+CH26+CK26+CN26+CQ26+CT26+CW26)</f>
        <v>766.53</v>
      </c>
      <c r="I26" s="606">
        <f>COUNTA(L26,O26,R26,U26,X26,AA26,AD26,AG26,AJ26,AM26,AP26,AS26,AV26,AY26,BB26,BE26,BH26,BK26,BN26,BQ26,BT26,BW26,BZ26,CC26,CF26,CI26,CL26,CO26,CR26,CU26,CX26)</f>
        <v>5</v>
      </c>
      <c r="J26" s="604" t="s">
        <v>82</v>
      </c>
      <c r="K26" s="607"/>
      <c r="L26" s="454"/>
      <c r="M26" s="608"/>
      <c r="N26" s="607">
        <v>201</v>
      </c>
      <c r="O26" s="454">
        <v>32.58</v>
      </c>
      <c r="P26" s="608" t="s">
        <v>1130</v>
      </c>
      <c r="Q26" s="607"/>
      <c r="R26" s="454"/>
      <c r="S26" s="608"/>
      <c r="T26" s="607">
        <v>119.01</v>
      </c>
      <c r="U26" s="454">
        <v>21.06</v>
      </c>
      <c r="V26" s="608" t="s">
        <v>1130</v>
      </c>
      <c r="W26" s="607"/>
      <c r="X26" s="454"/>
      <c r="Y26" s="608"/>
      <c r="Z26" s="607"/>
      <c r="AA26" s="454"/>
      <c r="AB26" s="608"/>
      <c r="AC26" s="607"/>
      <c r="AD26" s="454"/>
      <c r="AE26" s="608"/>
      <c r="AF26" s="607"/>
      <c r="AG26" s="454"/>
      <c r="AH26" s="608"/>
      <c r="AI26" s="607">
        <v>135.49</v>
      </c>
      <c r="AJ26" s="454">
        <v>23.98</v>
      </c>
      <c r="AK26" s="608" t="s">
        <v>1130</v>
      </c>
      <c r="AL26" s="607"/>
      <c r="AM26" s="454"/>
      <c r="AN26" s="608"/>
      <c r="AO26" s="607"/>
      <c r="AP26" s="454"/>
      <c r="AQ26" s="608"/>
      <c r="AR26" s="607"/>
      <c r="AS26" s="454"/>
      <c r="AT26" s="608"/>
      <c r="AU26" s="607"/>
      <c r="AV26" s="454"/>
      <c r="AW26" s="608"/>
      <c r="AX26" s="607"/>
      <c r="AY26" s="454"/>
      <c r="AZ26" s="608"/>
      <c r="BA26" s="607"/>
      <c r="BB26" s="454"/>
      <c r="BC26" s="608"/>
      <c r="BD26" s="607"/>
      <c r="BE26" s="454"/>
      <c r="BF26" s="608"/>
      <c r="BG26" s="607"/>
      <c r="BH26" s="454"/>
      <c r="BI26" s="608"/>
      <c r="BJ26" s="607"/>
      <c r="BK26" s="454"/>
      <c r="BL26" s="608"/>
      <c r="BM26" s="607"/>
      <c r="BN26" s="454"/>
      <c r="BO26" s="608"/>
      <c r="BP26" s="607"/>
      <c r="BQ26" s="454"/>
      <c r="BR26" s="608"/>
      <c r="BS26" s="607"/>
      <c r="BT26" s="454"/>
      <c r="BU26" s="608"/>
      <c r="BV26" s="607"/>
      <c r="BW26" s="454"/>
      <c r="BX26" s="608"/>
      <c r="BY26" s="607"/>
      <c r="BZ26" s="454"/>
      <c r="CA26" s="608"/>
      <c r="CB26" s="607"/>
      <c r="CC26" s="454"/>
      <c r="CD26" s="608"/>
      <c r="CE26" s="607">
        <v>193.13</v>
      </c>
      <c r="CF26" s="454">
        <v>32.56</v>
      </c>
      <c r="CG26" s="608" t="s">
        <v>1130</v>
      </c>
      <c r="CH26" s="607"/>
      <c r="CI26" s="454"/>
      <c r="CJ26" s="608"/>
      <c r="CK26" s="607"/>
      <c r="CL26" s="454"/>
      <c r="CM26" s="608"/>
      <c r="CN26" s="607"/>
      <c r="CO26" s="454"/>
      <c r="CP26" s="608"/>
      <c r="CQ26" s="607"/>
      <c r="CR26" s="454"/>
      <c r="CS26" s="608"/>
      <c r="CT26" s="607">
        <v>117.9</v>
      </c>
      <c r="CU26" s="454">
        <v>19.88</v>
      </c>
      <c r="CV26" s="608" t="s">
        <v>1130</v>
      </c>
      <c r="CW26" s="607"/>
      <c r="CX26" s="454"/>
      <c r="CY26" s="608"/>
      <c r="CZ26" s="454"/>
      <c r="DA26" s="609"/>
    </row>
    <row r="27" spans="1:105" s="70" customFormat="1" ht="22.5" customHeight="1" x14ac:dyDescent="0.25">
      <c r="A27" s="589" t="s">
        <v>1331</v>
      </c>
      <c r="B27" s="435" t="s">
        <v>1199</v>
      </c>
      <c r="C27" s="435" t="s">
        <v>7</v>
      </c>
      <c r="D27" s="435" t="s">
        <v>6</v>
      </c>
      <c r="E27" s="435">
        <v>17158</v>
      </c>
      <c r="F27" s="435">
        <v>18781</v>
      </c>
      <c r="G27" s="435">
        <f>F27-E27</f>
        <v>1623</v>
      </c>
      <c r="H27" s="436">
        <f>SUM(K27+N27+Q27+T27+W27+Z27+AC27+AF27+AI27+AL27+AO27+AR27+AU27+AX27+BA27+BD27+BG27+BJ27+BM27+BP27+BS27+BV27+BY27+CB27+CE27+CH27+CK27+CN27+CQ27+CT27+CW27)</f>
        <v>850.67</v>
      </c>
      <c r="I27" s="437">
        <f>COUNTA(L27,O27,R27,U27,X27,AA27,AD27,AG27,AJ27,AM27,AP27,AS27,AV27,AY27,BB27,BE27,BH27,BK27,BN27,BQ27,BT27,BW27,BZ27,CC27,CF27,CI27,CL27,CO27,CR27,CU27,CX27)</f>
        <v>5</v>
      </c>
      <c r="J27" s="435" t="s">
        <v>83</v>
      </c>
      <c r="K27" s="590"/>
      <c r="L27" s="591"/>
      <c r="M27" s="592"/>
      <c r="N27" s="590"/>
      <c r="O27" s="591"/>
      <c r="P27" s="592"/>
      <c r="Q27" s="590"/>
      <c r="R27" s="591"/>
      <c r="S27" s="592"/>
      <c r="T27" s="590">
        <v>153.06</v>
      </c>
      <c r="U27" s="591">
        <v>25.81</v>
      </c>
      <c r="V27" s="592" t="s">
        <v>1130</v>
      </c>
      <c r="W27" s="590"/>
      <c r="X27" s="591"/>
      <c r="Y27" s="592"/>
      <c r="Z27" s="590"/>
      <c r="AA27" s="591"/>
      <c r="AB27" s="592"/>
      <c r="AC27" s="590"/>
      <c r="AD27" s="591"/>
      <c r="AE27" s="592"/>
      <c r="AF27" s="590"/>
      <c r="AG27" s="591"/>
      <c r="AH27" s="592"/>
      <c r="AI27" s="590"/>
      <c r="AJ27" s="591"/>
      <c r="AK27" s="592"/>
      <c r="AL27" s="590"/>
      <c r="AM27" s="591"/>
      <c r="AN27" s="592"/>
      <c r="AO27" s="590">
        <v>215.09</v>
      </c>
      <c r="AP27" s="591">
        <v>36.270000000000003</v>
      </c>
      <c r="AQ27" s="592" t="s">
        <v>1130</v>
      </c>
      <c r="AR27" s="590"/>
      <c r="AS27" s="591"/>
      <c r="AT27" s="592"/>
      <c r="AU27" s="590"/>
      <c r="AV27" s="591"/>
      <c r="AW27" s="592"/>
      <c r="AX27" s="590">
        <v>185</v>
      </c>
      <c r="AY27" s="591">
        <v>31.19</v>
      </c>
      <c r="AZ27" s="592" t="s">
        <v>1130</v>
      </c>
      <c r="BA27" s="590"/>
      <c r="BB27" s="591"/>
      <c r="BC27" s="592"/>
      <c r="BD27" s="590">
        <v>93</v>
      </c>
      <c r="BE27" s="591">
        <v>15.68</v>
      </c>
      <c r="BF27" s="592" t="s">
        <v>1130</v>
      </c>
      <c r="BG27" s="590"/>
      <c r="BH27" s="591"/>
      <c r="BI27" s="592"/>
      <c r="BJ27" s="590"/>
      <c r="BK27" s="591"/>
      <c r="BL27" s="592"/>
      <c r="BM27" s="590"/>
      <c r="BN27" s="591"/>
      <c r="BO27" s="592"/>
      <c r="BP27" s="590"/>
      <c r="BQ27" s="591"/>
      <c r="BR27" s="592"/>
      <c r="BS27" s="590"/>
      <c r="BT27" s="591"/>
      <c r="BU27" s="592"/>
      <c r="BV27" s="590"/>
      <c r="BW27" s="591"/>
      <c r="BX27" s="592"/>
      <c r="BY27" s="590"/>
      <c r="BZ27" s="591"/>
      <c r="CA27" s="592"/>
      <c r="CB27" s="590"/>
      <c r="CC27" s="591"/>
      <c r="CD27" s="592"/>
      <c r="CE27" s="590"/>
      <c r="CF27" s="591"/>
      <c r="CG27" s="592"/>
      <c r="CH27" s="590"/>
      <c r="CI27" s="591"/>
      <c r="CJ27" s="592"/>
      <c r="CK27" s="590"/>
      <c r="CL27" s="591"/>
      <c r="CM27" s="592"/>
      <c r="CN27" s="590">
        <v>204.52</v>
      </c>
      <c r="CO27" s="591">
        <v>34.49</v>
      </c>
      <c r="CP27" s="592" t="s">
        <v>1130</v>
      </c>
      <c r="CQ27" s="590"/>
      <c r="CR27" s="591"/>
      <c r="CS27" s="592"/>
      <c r="CT27" s="590"/>
      <c r="CU27" s="591"/>
      <c r="CV27" s="592"/>
      <c r="CW27" s="590"/>
      <c r="CX27" s="591"/>
      <c r="CY27" s="592"/>
      <c r="CZ27" s="591"/>
      <c r="DA27" s="593"/>
    </row>
    <row r="28" spans="1:105" s="70" customFormat="1" ht="22.5" customHeight="1" x14ac:dyDescent="0.25">
      <c r="A28" s="594" t="s">
        <v>1082</v>
      </c>
      <c r="B28" s="446" t="s">
        <v>861</v>
      </c>
      <c r="C28" s="446" t="s">
        <v>865</v>
      </c>
      <c r="D28" s="446" t="s">
        <v>6</v>
      </c>
      <c r="E28" s="446">
        <v>18807</v>
      </c>
      <c r="F28" s="446">
        <v>20643</v>
      </c>
      <c r="G28" s="446">
        <f>F28-E28</f>
        <v>1836</v>
      </c>
      <c r="H28" s="541">
        <f>SUM(K28+N28+Q28+T28+W28+Z28+AC28+AF28+AI28+AL28+AO28+AR28+AU28+AX28+BA28+BD28+BG28+BJ28+BM28+BP28+BS28+BV28+BY28+CB28+CE28+CH28+CK28+CN28+CQ28+CT28+CW28)</f>
        <v>1244.02</v>
      </c>
      <c r="I28" s="542">
        <f>COUNTA(L28,O28,R28,U28,X28,AA28,AD28,AG28,AJ28,AM28,AP28,AS28,AV28,AY28,BB28,BE28,BH28,BK28,BN28,BQ28,BT28,BW28,BZ28,CC28,CF28,CI28,CL28,CO28,CR28,CU28,CX28)</f>
        <v>6</v>
      </c>
      <c r="J28" s="446" t="s">
        <v>83</v>
      </c>
      <c r="K28" s="587"/>
      <c r="L28" s="448"/>
      <c r="M28" s="586"/>
      <c r="N28" s="587"/>
      <c r="O28" s="448"/>
      <c r="P28" s="586"/>
      <c r="Q28" s="587"/>
      <c r="R28" s="448"/>
      <c r="S28" s="586"/>
      <c r="T28" s="587"/>
      <c r="U28" s="448"/>
      <c r="V28" s="586"/>
      <c r="W28" s="587"/>
      <c r="X28" s="448"/>
      <c r="Y28" s="586"/>
      <c r="Z28" s="587"/>
      <c r="AA28" s="448"/>
      <c r="AB28" s="586"/>
      <c r="AC28" s="587">
        <v>146.02000000000001</v>
      </c>
      <c r="AD28" s="448">
        <v>24.62</v>
      </c>
      <c r="AE28" s="586" t="s">
        <v>1130</v>
      </c>
      <c r="AF28" s="587"/>
      <c r="AG28" s="448"/>
      <c r="AH28" s="586"/>
      <c r="AI28" s="587"/>
      <c r="AJ28" s="448"/>
      <c r="AK28" s="586"/>
      <c r="AL28" s="587"/>
      <c r="AM28" s="448"/>
      <c r="AN28" s="586"/>
      <c r="AO28" s="587"/>
      <c r="AP28" s="448"/>
      <c r="AQ28" s="586"/>
      <c r="AR28" s="587"/>
      <c r="AS28" s="448"/>
      <c r="AT28" s="586"/>
      <c r="AU28" s="587"/>
      <c r="AV28" s="448"/>
      <c r="AW28" s="586"/>
      <c r="AX28" s="587">
        <v>291.45</v>
      </c>
      <c r="AY28" s="448">
        <v>49.14</v>
      </c>
      <c r="AZ28" s="586" t="s">
        <v>1130</v>
      </c>
      <c r="BA28" s="587"/>
      <c r="BB28" s="448"/>
      <c r="BC28" s="586"/>
      <c r="BD28" s="587">
        <v>163.83000000000001</v>
      </c>
      <c r="BE28" s="448">
        <v>27.62</v>
      </c>
      <c r="BF28" s="586" t="s">
        <v>1130</v>
      </c>
      <c r="BG28" s="587"/>
      <c r="BH28" s="448"/>
      <c r="BI28" s="586"/>
      <c r="BJ28" s="587"/>
      <c r="BK28" s="448"/>
      <c r="BL28" s="586"/>
      <c r="BM28" s="587"/>
      <c r="BN28" s="448"/>
      <c r="BO28" s="586"/>
      <c r="BP28" s="587"/>
      <c r="BQ28" s="448"/>
      <c r="BR28" s="586"/>
      <c r="BS28" s="587">
        <v>227.64</v>
      </c>
      <c r="BT28" s="448">
        <v>38.39</v>
      </c>
      <c r="BU28" s="586" t="s">
        <v>1130</v>
      </c>
      <c r="BV28" s="587"/>
      <c r="BW28" s="448"/>
      <c r="BX28" s="586"/>
      <c r="BY28" s="587">
        <v>132.02000000000001</v>
      </c>
      <c r="BZ28" s="448">
        <v>22.25</v>
      </c>
      <c r="CA28" s="586" t="s">
        <v>1130</v>
      </c>
      <c r="CB28" s="587"/>
      <c r="CC28" s="448"/>
      <c r="CD28" s="586"/>
      <c r="CE28" s="587"/>
      <c r="CF28" s="448"/>
      <c r="CG28" s="586"/>
      <c r="CH28" s="587"/>
      <c r="CI28" s="448"/>
      <c r="CJ28" s="586"/>
      <c r="CK28" s="587"/>
      <c r="CL28" s="448"/>
      <c r="CM28" s="586"/>
      <c r="CN28" s="587">
        <v>283.06</v>
      </c>
      <c r="CO28" s="448">
        <v>47.03</v>
      </c>
      <c r="CP28" s="586" t="s">
        <v>1130</v>
      </c>
      <c r="CQ28" s="587"/>
      <c r="CR28" s="448"/>
      <c r="CS28" s="586"/>
      <c r="CT28" s="587"/>
      <c r="CU28" s="448"/>
      <c r="CV28" s="586"/>
      <c r="CW28" s="587"/>
      <c r="CX28" s="448"/>
      <c r="CY28" s="586"/>
      <c r="CZ28" s="448"/>
      <c r="DA28" s="595"/>
    </row>
    <row r="29" spans="1:105" s="70" customFormat="1" ht="22.5" customHeight="1" x14ac:dyDescent="0.25">
      <c r="A29" s="594" t="s">
        <v>862</v>
      </c>
      <c r="B29" s="446" t="s">
        <v>1210</v>
      </c>
      <c r="C29" s="446" t="s">
        <v>365</v>
      </c>
      <c r="D29" s="446" t="s">
        <v>6</v>
      </c>
      <c r="E29" s="446"/>
      <c r="F29" s="446"/>
      <c r="G29" s="446">
        <f>F29-E29</f>
        <v>0</v>
      </c>
      <c r="H29" s="541">
        <f>SUM(K29+N29+Q29+T29+W29+Z29+AC29+AF29+AI29+AL29+AO29+AR29+AU29+AX29+BA29+BD29+BG29+BJ29+BM29+BP29+BS29+BV29+BY29+CB29+CE29+CH29+CK29+CN29+CQ29+CT29+CW29)</f>
        <v>192.07</v>
      </c>
      <c r="I29" s="542">
        <f t="shared" ref="I29:I30" si="14">COUNTA(L29,O29,R29,U29,X29,AA29,AD29,AG29,AJ29,AM29,AP29,AS29,AV29,AY29,BB29,BE29,BH29,BK29,BN29,BQ29,BT29,BW29,BZ29,CC29,CF29,CI29,CL29,CO29,CR29,CU29,CX29)</f>
        <v>1</v>
      </c>
      <c r="J29" s="446" t="s">
        <v>83</v>
      </c>
      <c r="K29" s="587"/>
      <c r="L29" s="448"/>
      <c r="M29" s="586"/>
      <c r="N29" s="587"/>
      <c r="O29" s="448"/>
      <c r="P29" s="586"/>
      <c r="Q29" s="587"/>
      <c r="R29" s="448"/>
      <c r="S29" s="586"/>
      <c r="T29" s="587">
        <v>192.07</v>
      </c>
      <c r="U29" s="448">
        <v>32.39</v>
      </c>
      <c r="V29" s="586" t="s">
        <v>1130</v>
      </c>
      <c r="W29" s="587"/>
      <c r="X29" s="448"/>
      <c r="Y29" s="586"/>
      <c r="Z29" s="587"/>
      <c r="AA29" s="448"/>
      <c r="AB29" s="586"/>
      <c r="AC29" s="587"/>
      <c r="AD29" s="448"/>
      <c r="AE29" s="586"/>
      <c r="AF29" s="587"/>
      <c r="AG29" s="448"/>
      <c r="AH29" s="586"/>
      <c r="AI29" s="587"/>
      <c r="AJ29" s="448"/>
      <c r="AK29" s="586"/>
      <c r="AL29" s="587"/>
      <c r="AM29" s="448"/>
      <c r="AN29" s="586"/>
      <c r="AO29" s="587"/>
      <c r="AP29" s="448"/>
      <c r="AQ29" s="586"/>
      <c r="AR29" s="587"/>
      <c r="AS29" s="448"/>
      <c r="AT29" s="586"/>
      <c r="AU29" s="587"/>
      <c r="AV29" s="448"/>
      <c r="AW29" s="586"/>
      <c r="AX29" s="587"/>
      <c r="AY29" s="448"/>
      <c r="AZ29" s="586"/>
      <c r="BA29" s="587"/>
      <c r="BB29" s="448"/>
      <c r="BC29" s="586"/>
      <c r="BD29" s="587"/>
      <c r="BE29" s="448"/>
      <c r="BF29" s="586"/>
      <c r="BG29" s="587"/>
      <c r="BH29" s="448"/>
      <c r="BI29" s="586"/>
      <c r="BJ29" s="587"/>
      <c r="BK29" s="448"/>
      <c r="BL29" s="586"/>
      <c r="BM29" s="587"/>
      <c r="BN29" s="448"/>
      <c r="BO29" s="586"/>
      <c r="BP29" s="587"/>
      <c r="BQ29" s="448"/>
      <c r="BR29" s="586"/>
      <c r="BS29" s="587"/>
      <c r="BT29" s="448"/>
      <c r="BU29" s="586"/>
      <c r="BV29" s="587"/>
      <c r="BW29" s="448"/>
      <c r="BX29" s="586"/>
      <c r="BY29" s="587"/>
      <c r="BZ29" s="448"/>
      <c r="CA29" s="586"/>
      <c r="CB29" s="587"/>
      <c r="CC29" s="448"/>
      <c r="CD29" s="586"/>
      <c r="CE29" s="587"/>
      <c r="CF29" s="448"/>
      <c r="CG29" s="586"/>
      <c r="CH29" s="587"/>
      <c r="CI29" s="448"/>
      <c r="CJ29" s="586"/>
      <c r="CK29" s="587"/>
      <c r="CL29" s="448"/>
      <c r="CM29" s="586"/>
      <c r="CN29" s="587"/>
      <c r="CO29" s="448"/>
      <c r="CP29" s="586"/>
      <c r="CQ29" s="587"/>
      <c r="CR29" s="448"/>
      <c r="CS29" s="586"/>
      <c r="CT29" s="587"/>
      <c r="CU29" s="448"/>
      <c r="CV29" s="586"/>
      <c r="CW29" s="587"/>
      <c r="CX29" s="448"/>
      <c r="CY29" s="586"/>
      <c r="CZ29" s="448"/>
      <c r="DA29" s="595"/>
    </row>
    <row r="30" spans="1:105" s="70" customFormat="1" ht="22.5" customHeight="1" x14ac:dyDescent="0.25">
      <c r="A30" s="594" t="s">
        <v>1360</v>
      </c>
      <c r="B30" s="446" t="s">
        <v>1318</v>
      </c>
      <c r="C30" s="446" t="s">
        <v>7</v>
      </c>
      <c r="D30" s="446" t="s">
        <v>6</v>
      </c>
      <c r="E30" s="446">
        <v>1079</v>
      </c>
      <c r="F30" s="446">
        <v>2534</v>
      </c>
      <c r="G30" s="446">
        <f>F30-E30</f>
        <v>1455</v>
      </c>
      <c r="H30" s="541">
        <f>SUM(K30+N30+Q30+T30+W30+Z30+AC30+AF30+AI30+AL30+AO30+AR30+AU30+AX30+BA30+BD30+BG30+BJ30+BM30+BP30+BS30+BV30+BY30+CB30+CE30+CH30+CK30+CN30+CQ30+CT30+CW30)</f>
        <v>982.93999999999994</v>
      </c>
      <c r="I30" s="542">
        <f t="shared" si="14"/>
        <v>6</v>
      </c>
      <c r="J30" s="446" t="s">
        <v>83</v>
      </c>
      <c r="K30" s="587"/>
      <c r="L30" s="448"/>
      <c r="M30" s="588"/>
      <c r="N30" s="587"/>
      <c r="O30" s="448"/>
      <c r="P30" s="588"/>
      <c r="Q30" s="587"/>
      <c r="R30" s="448"/>
      <c r="S30" s="588"/>
      <c r="T30" s="587"/>
      <c r="U30" s="448"/>
      <c r="V30" s="588"/>
      <c r="W30" s="587"/>
      <c r="X30" s="448"/>
      <c r="Y30" s="588"/>
      <c r="Z30" s="587"/>
      <c r="AA30" s="448"/>
      <c r="AB30" s="588"/>
      <c r="AC30" s="587">
        <v>232.78</v>
      </c>
      <c r="AD30" s="448">
        <v>39.25</v>
      </c>
      <c r="AE30" s="588" t="s">
        <v>1130</v>
      </c>
      <c r="AF30" s="587"/>
      <c r="AG30" s="448"/>
      <c r="AH30" s="588"/>
      <c r="AI30" s="587"/>
      <c r="AJ30" s="448"/>
      <c r="AK30" s="588"/>
      <c r="AL30" s="587"/>
      <c r="AM30" s="448"/>
      <c r="AN30" s="588"/>
      <c r="AO30" s="587"/>
      <c r="AP30" s="448"/>
      <c r="AQ30" s="588"/>
      <c r="AR30" s="587"/>
      <c r="AS30" s="448"/>
      <c r="AT30" s="588"/>
      <c r="AU30" s="587"/>
      <c r="AV30" s="448"/>
      <c r="AW30" s="588"/>
      <c r="AX30" s="587">
        <v>220.3</v>
      </c>
      <c r="AY30" s="448">
        <v>37.1</v>
      </c>
      <c r="AZ30" s="588" t="s">
        <v>1130</v>
      </c>
      <c r="BA30" s="587"/>
      <c r="BB30" s="448"/>
      <c r="BC30" s="588"/>
      <c r="BD30" s="587">
        <v>84.69</v>
      </c>
      <c r="BE30" s="448">
        <v>14.28</v>
      </c>
      <c r="BF30" s="588" t="s">
        <v>1130</v>
      </c>
      <c r="BG30" s="587"/>
      <c r="BH30" s="448"/>
      <c r="BI30" s="588"/>
      <c r="BJ30" s="587"/>
      <c r="BK30" s="448"/>
      <c r="BL30" s="588"/>
      <c r="BM30" s="587"/>
      <c r="BN30" s="448"/>
      <c r="BO30" s="588"/>
      <c r="BP30" s="587"/>
      <c r="BQ30" s="448"/>
      <c r="BR30" s="588"/>
      <c r="BS30" s="587"/>
      <c r="BT30" s="448"/>
      <c r="BU30" s="588"/>
      <c r="BV30" s="587"/>
      <c r="BW30" s="448"/>
      <c r="BX30" s="588"/>
      <c r="BY30" s="587">
        <v>170.14</v>
      </c>
      <c r="BZ30" s="448">
        <v>28.6</v>
      </c>
      <c r="CA30" s="588" t="s">
        <v>1130</v>
      </c>
      <c r="CB30" s="587"/>
      <c r="CC30" s="448"/>
      <c r="CD30" s="588"/>
      <c r="CE30" s="587"/>
      <c r="CF30" s="448"/>
      <c r="CG30" s="588"/>
      <c r="CH30" s="587"/>
      <c r="CI30" s="448"/>
      <c r="CJ30" s="588"/>
      <c r="CK30" s="587"/>
      <c r="CL30" s="448"/>
      <c r="CM30" s="588"/>
      <c r="CN30" s="587">
        <v>190.03</v>
      </c>
      <c r="CO30" s="448">
        <v>32.47</v>
      </c>
      <c r="CP30" s="588" t="s">
        <v>1130</v>
      </c>
      <c r="CQ30" s="587"/>
      <c r="CR30" s="448"/>
      <c r="CS30" s="588"/>
      <c r="CT30" s="587">
        <v>85</v>
      </c>
      <c r="CU30" s="448">
        <v>20.239999999999998</v>
      </c>
      <c r="CV30" s="588" t="s">
        <v>1130</v>
      </c>
      <c r="CW30" s="587"/>
      <c r="CX30" s="448"/>
      <c r="CY30" s="588"/>
      <c r="CZ30" s="448"/>
      <c r="DA30" s="595"/>
    </row>
    <row r="31" spans="1:105" s="70" customFormat="1" ht="22.5" customHeight="1" thickBot="1" x14ac:dyDescent="0.3">
      <c r="A31" s="603" t="s">
        <v>390</v>
      </c>
      <c r="B31" s="611" t="s">
        <v>1220</v>
      </c>
      <c r="C31" s="604" t="s">
        <v>7</v>
      </c>
      <c r="D31" s="604" t="s">
        <v>6</v>
      </c>
      <c r="E31" s="604">
        <v>11962</v>
      </c>
      <c r="F31" s="604">
        <v>14386</v>
      </c>
      <c r="G31" s="604">
        <f t="shared" ref="G31" si="15">F31-E31</f>
        <v>2424</v>
      </c>
      <c r="H31" s="605">
        <f t="shared" ref="H31" si="16">SUM(K31+N31+Q31+T31+W31+Z31+AC31+AF31+AI31+AL31+AO31+AR31+AU31+AX31+BA31+BD31+BG31+BJ31+BM31+BP31+BS31+BV31+BY31+CB31+CE31+CH31+CK31+CN31+CQ31+CT31+CW31)</f>
        <v>1199.93</v>
      </c>
      <c r="I31" s="606">
        <f>COUNTA(L31,O31,R31,U31,X31,AA31,AD31,AG31,AJ31,AM31,AP31,AS31,AV31,AY31,BB31,BE31,BH31,BK31,BN31,BQ31,BT31,BW31,BZ31,CC31,CF31,CI31,CL31,CO31,CR31,CU31,CX31)</f>
        <v>6</v>
      </c>
      <c r="J31" s="604" t="s">
        <v>83</v>
      </c>
      <c r="K31" s="607"/>
      <c r="L31" s="454"/>
      <c r="M31" s="608"/>
      <c r="N31" s="607"/>
      <c r="O31" s="454"/>
      <c r="P31" s="608"/>
      <c r="Q31" s="607"/>
      <c r="R31" s="454"/>
      <c r="S31" s="608"/>
      <c r="T31" s="607"/>
      <c r="U31" s="454"/>
      <c r="V31" s="608"/>
      <c r="W31" s="607"/>
      <c r="X31" s="454"/>
      <c r="Y31" s="608"/>
      <c r="Z31" s="607"/>
      <c r="AA31" s="454"/>
      <c r="AB31" s="608"/>
      <c r="AC31" s="607">
        <v>245.85</v>
      </c>
      <c r="AD31" s="454">
        <v>41.32</v>
      </c>
      <c r="AE31" s="608" t="s">
        <v>1130</v>
      </c>
      <c r="AF31" s="607"/>
      <c r="AG31" s="454"/>
      <c r="AH31" s="608"/>
      <c r="AI31" s="607"/>
      <c r="AJ31" s="454"/>
      <c r="AK31" s="608"/>
      <c r="AL31" s="607">
        <v>182.79</v>
      </c>
      <c r="AM31" s="454">
        <v>30.82</v>
      </c>
      <c r="AN31" s="608" t="s">
        <v>1130</v>
      </c>
      <c r="AO31" s="607"/>
      <c r="AP31" s="454"/>
      <c r="AQ31" s="608"/>
      <c r="AR31" s="607"/>
      <c r="AS31" s="454"/>
      <c r="AT31" s="608"/>
      <c r="AU31" s="607"/>
      <c r="AV31" s="454"/>
      <c r="AW31" s="608"/>
      <c r="AX31" s="607"/>
      <c r="AY31" s="454"/>
      <c r="AZ31" s="608"/>
      <c r="BA31" s="607"/>
      <c r="BB31" s="454"/>
      <c r="BC31" s="608"/>
      <c r="BD31" s="607">
        <v>105</v>
      </c>
      <c r="BE31" s="454">
        <v>17.72</v>
      </c>
      <c r="BF31" s="608" t="s">
        <v>1130</v>
      </c>
      <c r="BG31" s="607">
        <v>160.87</v>
      </c>
      <c r="BH31" s="454">
        <v>27.12</v>
      </c>
      <c r="BI31" s="608" t="s">
        <v>1130</v>
      </c>
      <c r="BJ31" s="607"/>
      <c r="BK31" s="454"/>
      <c r="BL31" s="608"/>
      <c r="BM31" s="607"/>
      <c r="BN31" s="454"/>
      <c r="BO31" s="608"/>
      <c r="BP31" s="607"/>
      <c r="BQ31" s="454"/>
      <c r="BR31" s="608"/>
      <c r="BS31" s="607"/>
      <c r="BT31" s="454"/>
      <c r="BU31" s="608"/>
      <c r="BV31" s="607"/>
      <c r="BW31" s="454"/>
      <c r="BX31" s="608"/>
      <c r="BY31" s="607">
        <v>255.77</v>
      </c>
      <c r="BZ31" s="454">
        <v>43.13</v>
      </c>
      <c r="CA31" s="608" t="s">
        <v>1130</v>
      </c>
      <c r="CB31" s="607"/>
      <c r="CC31" s="454"/>
      <c r="CD31" s="608"/>
      <c r="CE31" s="607"/>
      <c r="CF31" s="454"/>
      <c r="CG31" s="608"/>
      <c r="CH31" s="607"/>
      <c r="CI31" s="454"/>
      <c r="CJ31" s="608"/>
      <c r="CK31" s="607"/>
      <c r="CL31" s="454"/>
      <c r="CM31" s="608"/>
      <c r="CN31" s="607">
        <v>249.65</v>
      </c>
      <c r="CO31" s="454">
        <v>42.1</v>
      </c>
      <c r="CP31" s="608" t="s">
        <v>1130</v>
      </c>
      <c r="CQ31" s="607"/>
      <c r="CR31" s="454"/>
      <c r="CS31" s="608"/>
      <c r="CT31" s="607"/>
      <c r="CU31" s="454"/>
      <c r="CV31" s="608"/>
      <c r="CW31" s="607"/>
      <c r="CX31" s="454"/>
      <c r="CY31" s="608"/>
      <c r="CZ31" s="454"/>
      <c r="DA31" s="609"/>
    </row>
    <row r="32" spans="1:105" s="70" customFormat="1" ht="22.5" customHeight="1" x14ac:dyDescent="0.25">
      <c r="A32" s="589" t="s">
        <v>1331</v>
      </c>
      <c r="B32" s="435" t="s">
        <v>1199</v>
      </c>
      <c r="C32" s="435" t="s">
        <v>7</v>
      </c>
      <c r="D32" s="435" t="s">
        <v>6</v>
      </c>
      <c r="E32" s="435">
        <v>18781</v>
      </c>
      <c r="F32" s="435">
        <v>19835</v>
      </c>
      <c r="G32" s="435">
        <f>F32-E32</f>
        <v>1054</v>
      </c>
      <c r="H32" s="436">
        <f>SUM(K32+N32+Q32+T32+W32+Z32+AC32+AF32+AI32+AL32+AO32+AR32+AU32+AX32+BA32+BD32+BG32+BJ32+BM32+BP32+BS32+BV32+BY32+CB32+CE32+CH32+CK32+CN32+CQ32+CT32+CW32)</f>
        <v>777.82</v>
      </c>
      <c r="I32" s="437">
        <f>COUNTA(L32,O32,R32,U32,X32,AA32,AD32,AG32,AJ32,AM32,AP32,AS32,AV32,AY32,BB32,BE32,BH32,BK32,BN32,BQ32,BT32,BW32,BZ32,CC32,CF32,CI32,CL32,CO32,CR32,CU32,CX32)</f>
        <v>5</v>
      </c>
      <c r="J32" s="435" t="s">
        <v>84</v>
      </c>
      <c r="K32" s="590"/>
      <c r="L32" s="591"/>
      <c r="M32" s="592"/>
      <c r="N32" s="590"/>
      <c r="O32" s="591"/>
      <c r="P32" s="592"/>
      <c r="Q32" s="590"/>
      <c r="R32" s="591"/>
      <c r="S32" s="592"/>
      <c r="T32" s="590">
        <v>100.04</v>
      </c>
      <c r="U32" s="591">
        <v>16.870999999999999</v>
      </c>
      <c r="V32" s="592" t="s">
        <v>1130</v>
      </c>
      <c r="W32" s="590"/>
      <c r="X32" s="591"/>
      <c r="Y32" s="592"/>
      <c r="Z32" s="590">
        <v>195.42</v>
      </c>
      <c r="AA32" s="591">
        <v>32.950000000000003</v>
      </c>
      <c r="AB32" s="592" t="s">
        <v>1130</v>
      </c>
      <c r="AC32" s="590"/>
      <c r="AD32" s="591"/>
      <c r="AE32" s="592"/>
      <c r="AF32" s="590"/>
      <c r="AG32" s="591"/>
      <c r="AH32" s="592"/>
      <c r="AI32" s="590"/>
      <c r="AJ32" s="591"/>
      <c r="AK32" s="592"/>
      <c r="AL32" s="590"/>
      <c r="AM32" s="591"/>
      <c r="AN32" s="592"/>
      <c r="AO32" s="590">
        <v>163.57</v>
      </c>
      <c r="AP32" s="591">
        <v>27.58</v>
      </c>
      <c r="AQ32" s="592" t="s">
        <v>1130</v>
      </c>
      <c r="AR32" s="590"/>
      <c r="AS32" s="591"/>
      <c r="AT32" s="592"/>
      <c r="AU32" s="590"/>
      <c r="AV32" s="591"/>
      <c r="AW32" s="592"/>
      <c r="AX32" s="590"/>
      <c r="AY32" s="591"/>
      <c r="AZ32" s="592"/>
      <c r="BA32" s="590"/>
      <c r="BB32" s="591"/>
      <c r="BC32" s="592"/>
      <c r="BD32" s="590"/>
      <c r="BE32" s="591"/>
      <c r="BF32" s="592"/>
      <c r="BG32" s="590"/>
      <c r="BH32" s="591"/>
      <c r="BI32" s="592"/>
      <c r="BJ32" s="590"/>
      <c r="BK32" s="591"/>
      <c r="BL32" s="592"/>
      <c r="BM32" s="590"/>
      <c r="BN32" s="591"/>
      <c r="BO32" s="592"/>
      <c r="BP32" s="590"/>
      <c r="BQ32" s="591"/>
      <c r="BR32" s="592"/>
      <c r="BS32" s="590"/>
      <c r="BT32" s="591"/>
      <c r="BU32" s="592"/>
      <c r="BV32" s="590"/>
      <c r="BW32" s="591"/>
      <c r="BX32" s="592"/>
      <c r="BY32" s="590"/>
      <c r="BZ32" s="591"/>
      <c r="CA32" s="592"/>
      <c r="CB32" s="590"/>
      <c r="CC32" s="591"/>
      <c r="CD32" s="592"/>
      <c r="CE32" s="590">
        <v>225.93</v>
      </c>
      <c r="CF32" s="591">
        <v>38.359000000000002</v>
      </c>
      <c r="CG32" s="592" t="s">
        <v>1130</v>
      </c>
      <c r="CH32" s="590"/>
      <c r="CI32" s="591"/>
      <c r="CJ32" s="592"/>
      <c r="CK32" s="590">
        <v>92.86</v>
      </c>
      <c r="CL32" s="591">
        <v>14.88</v>
      </c>
      <c r="CM32" s="592" t="s">
        <v>1130</v>
      </c>
      <c r="CN32" s="590"/>
      <c r="CO32" s="591"/>
      <c r="CP32" s="592"/>
      <c r="CQ32" s="590"/>
      <c r="CR32" s="591"/>
      <c r="CS32" s="592"/>
      <c r="CT32" s="590"/>
      <c r="CU32" s="591"/>
      <c r="CV32" s="592"/>
      <c r="CW32" s="590"/>
      <c r="CX32" s="591"/>
      <c r="CY32" s="592"/>
      <c r="CZ32" s="591"/>
      <c r="DA32" s="593"/>
    </row>
    <row r="33" spans="1:105" s="70" customFormat="1" ht="22.5" customHeight="1" x14ac:dyDescent="0.25">
      <c r="A33" s="594" t="s">
        <v>1082</v>
      </c>
      <c r="B33" s="446" t="s">
        <v>861</v>
      </c>
      <c r="C33" s="446" t="s">
        <v>865</v>
      </c>
      <c r="D33" s="446" t="s">
        <v>6</v>
      </c>
      <c r="E33" s="446">
        <v>20643</v>
      </c>
      <c r="F33" s="446">
        <v>23591</v>
      </c>
      <c r="G33" s="446">
        <f>F33-E33</f>
        <v>2948</v>
      </c>
      <c r="H33" s="541">
        <f>SUM(K33+N33+Q33+T33+W33+Z33+AC33+AF33+AI33+AL33+AO33+AR33+AU33+AX33+BA33+BD33+BG33+BJ33+BM33+BP33+BS33+BV33+BY33+CB33+CE33+CH33+CK33+CN33+CQ33+CT33+CW33)</f>
        <v>948.31999999999994</v>
      </c>
      <c r="I33" s="542">
        <f>COUNTA(L33,O33,R33,U33,X33,AA33,AD33,AG33,AJ33,AM33,AP33,AS33,AV33,AY33,BB33,BE33,BH33,BK33,BN33,BQ33,BT33,BW33,BZ33,CC33,CF33,CI33,CL33,CO33,CR33,CU33,CX33)</f>
        <v>5</v>
      </c>
      <c r="J33" s="446" t="s">
        <v>84</v>
      </c>
      <c r="K33" s="587"/>
      <c r="L33" s="448"/>
      <c r="M33" s="586"/>
      <c r="N33" s="587"/>
      <c r="O33" s="448"/>
      <c r="P33" s="586"/>
      <c r="Q33" s="587"/>
      <c r="R33" s="448"/>
      <c r="S33" s="586"/>
      <c r="T33" s="587"/>
      <c r="U33" s="448"/>
      <c r="V33" s="586"/>
      <c r="W33" s="587"/>
      <c r="X33" s="448"/>
      <c r="Y33" s="586"/>
      <c r="Z33" s="587">
        <v>251.5</v>
      </c>
      <c r="AA33" s="448">
        <v>42.414000000000001</v>
      </c>
      <c r="AB33" s="586" t="s">
        <v>1130</v>
      </c>
      <c r="AC33" s="587"/>
      <c r="AD33" s="448"/>
      <c r="AE33" s="586"/>
      <c r="AF33" s="587"/>
      <c r="AG33" s="448"/>
      <c r="AH33" s="586"/>
      <c r="AI33" s="587"/>
      <c r="AJ33" s="448"/>
      <c r="AK33" s="586"/>
      <c r="AL33" s="587"/>
      <c r="AM33" s="448"/>
      <c r="AN33" s="586"/>
      <c r="AO33" s="587"/>
      <c r="AP33" s="448"/>
      <c r="AQ33" s="586"/>
      <c r="AR33" s="587"/>
      <c r="AS33" s="448"/>
      <c r="AT33" s="586"/>
      <c r="AU33" s="587">
        <v>275.01</v>
      </c>
      <c r="AV33" s="448">
        <v>40.369999999999997</v>
      </c>
      <c r="AW33" s="586" t="s">
        <v>1130</v>
      </c>
      <c r="AX33" s="587"/>
      <c r="AY33" s="448"/>
      <c r="AZ33" s="586"/>
      <c r="BA33" s="587"/>
      <c r="BB33" s="448"/>
      <c r="BC33" s="586"/>
      <c r="BD33" s="587"/>
      <c r="BE33" s="448"/>
      <c r="BF33" s="586"/>
      <c r="BG33" s="587"/>
      <c r="BH33" s="448"/>
      <c r="BI33" s="586"/>
      <c r="BJ33" s="587">
        <v>258</v>
      </c>
      <c r="BK33" s="448">
        <v>43.5</v>
      </c>
      <c r="BL33" s="586" t="s">
        <v>1130</v>
      </c>
      <c r="BM33" s="587"/>
      <c r="BN33" s="448"/>
      <c r="BO33" s="586"/>
      <c r="BP33" s="587">
        <v>68.81</v>
      </c>
      <c r="BQ33" s="448">
        <v>11.683</v>
      </c>
      <c r="BR33" s="586" t="s">
        <v>1130</v>
      </c>
      <c r="BS33" s="587"/>
      <c r="BT33" s="448"/>
      <c r="BU33" s="586"/>
      <c r="BV33" s="587"/>
      <c r="BW33" s="448"/>
      <c r="BX33" s="586"/>
      <c r="BY33" s="587"/>
      <c r="BZ33" s="448"/>
      <c r="CA33" s="586"/>
      <c r="CB33" s="587"/>
      <c r="CC33" s="448"/>
      <c r="CD33" s="586"/>
      <c r="CE33" s="587"/>
      <c r="CF33" s="448"/>
      <c r="CG33" s="586"/>
      <c r="CH33" s="587"/>
      <c r="CI33" s="448"/>
      <c r="CJ33" s="586"/>
      <c r="CK33" s="587">
        <v>95</v>
      </c>
      <c r="CL33" s="448">
        <v>16.141999999999999</v>
      </c>
      <c r="CM33" s="586" t="s">
        <v>1130</v>
      </c>
      <c r="CN33" s="587"/>
      <c r="CO33" s="448"/>
      <c r="CP33" s="586"/>
      <c r="CQ33" s="587"/>
      <c r="CR33" s="448"/>
      <c r="CS33" s="586"/>
      <c r="CT33" s="587"/>
      <c r="CU33" s="448"/>
      <c r="CV33" s="586"/>
      <c r="CW33" s="587"/>
      <c r="CX33" s="448"/>
      <c r="CY33" s="586"/>
      <c r="CZ33" s="448"/>
      <c r="DA33" s="595"/>
    </row>
    <row r="34" spans="1:105" s="70" customFormat="1" ht="22.5" customHeight="1" x14ac:dyDescent="0.25">
      <c r="A34" s="594" t="s">
        <v>1360</v>
      </c>
      <c r="B34" s="446" t="s">
        <v>1318</v>
      </c>
      <c r="C34" s="446" t="s">
        <v>7</v>
      </c>
      <c r="D34" s="446" t="s">
        <v>6</v>
      </c>
      <c r="E34" s="446">
        <v>2534</v>
      </c>
      <c r="F34" s="446">
        <v>3680</v>
      </c>
      <c r="G34" s="446">
        <f>F34-E34</f>
        <v>1146</v>
      </c>
      <c r="H34" s="541">
        <f>SUM(K34+N34+Q34+T34+W34+Z34+AC34+AF34+AI34+AL34+AO34+AR34+AU34+AX34+BA34+BD34+BG34+BJ34+BM34+BP34+BS34+BV34+BY34+CB34+CE34+CH34+CK34+CN34+CQ34+CT34+CW34)</f>
        <v>683.36</v>
      </c>
      <c r="I34" s="542">
        <f t="shared" ref="I34" si="17">COUNTA(L34,O34,R34,U34,X34,AA34,AD34,AG34,AJ34,AM34,AP34,AS34,AV34,AY34,BB34,BE34,BH34,BK34,BN34,BQ34,BT34,BW34,BZ34,CC34,CF34,CI34,CL34,CO34,CR34,CU34,CX34)</f>
        <v>4</v>
      </c>
      <c r="J34" s="446" t="s">
        <v>84</v>
      </c>
      <c r="K34" s="587"/>
      <c r="L34" s="448"/>
      <c r="M34" s="588"/>
      <c r="N34" s="587"/>
      <c r="O34" s="448"/>
      <c r="P34" s="588"/>
      <c r="Q34" s="587"/>
      <c r="R34" s="448"/>
      <c r="S34" s="588"/>
      <c r="T34" s="587">
        <v>125.06</v>
      </c>
      <c r="U34" s="448">
        <v>21.09</v>
      </c>
      <c r="V34" s="588" t="s">
        <v>1130</v>
      </c>
      <c r="W34" s="587"/>
      <c r="X34" s="448"/>
      <c r="Y34" s="588"/>
      <c r="Z34" s="587"/>
      <c r="AA34" s="448"/>
      <c r="AB34" s="588"/>
      <c r="AC34" s="587"/>
      <c r="AD34" s="448"/>
      <c r="AE34" s="588"/>
      <c r="AF34" s="587"/>
      <c r="AG34" s="448"/>
      <c r="AH34" s="588"/>
      <c r="AI34" s="587"/>
      <c r="AJ34" s="448"/>
      <c r="AK34" s="588"/>
      <c r="AL34" s="587"/>
      <c r="AM34" s="448"/>
      <c r="AN34" s="588"/>
      <c r="AO34" s="587">
        <v>190.24</v>
      </c>
      <c r="AP34" s="448">
        <v>32.076999999999998</v>
      </c>
      <c r="AQ34" s="588" t="s">
        <v>1130</v>
      </c>
      <c r="AR34" s="587"/>
      <c r="AS34" s="448"/>
      <c r="AT34" s="588"/>
      <c r="AU34" s="587"/>
      <c r="AV34" s="448"/>
      <c r="AW34" s="588"/>
      <c r="AX34" s="587"/>
      <c r="AY34" s="448"/>
      <c r="AZ34" s="588"/>
      <c r="BA34" s="587"/>
      <c r="BB34" s="448"/>
      <c r="BC34" s="588"/>
      <c r="BD34" s="587"/>
      <c r="BE34" s="448"/>
      <c r="BF34" s="588"/>
      <c r="BG34" s="587"/>
      <c r="BH34" s="448"/>
      <c r="BI34" s="588"/>
      <c r="BJ34" s="587">
        <v>181</v>
      </c>
      <c r="BK34" s="448">
        <v>30.52</v>
      </c>
      <c r="BL34" s="588" t="s">
        <v>1130</v>
      </c>
      <c r="BM34" s="587"/>
      <c r="BN34" s="448"/>
      <c r="BO34" s="588"/>
      <c r="BP34" s="587"/>
      <c r="BQ34" s="448"/>
      <c r="BR34" s="588"/>
      <c r="BS34" s="587"/>
      <c r="BT34" s="448"/>
      <c r="BU34" s="588"/>
      <c r="BV34" s="587"/>
      <c r="BW34" s="448"/>
      <c r="BX34" s="588"/>
      <c r="BY34" s="587"/>
      <c r="BZ34" s="448"/>
      <c r="CA34" s="588"/>
      <c r="CB34" s="587"/>
      <c r="CC34" s="448"/>
      <c r="CD34" s="588"/>
      <c r="CE34" s="587"/>
      <c r="CF34" s="448"/>
      <c r="CG34" s="588"/>
      <c r="CH34" s="587"/>
      <c r="CI34" s="448"/>
      <c r="CJ34" s="588"/>
      <c r="CK34" s="587">
        <v>187.06</v>
      </c>
      <c r="CL34" s="448">
        <v>31.759</v>
      </c>
      <c r="CM34" s="588" t="s">
        <v>1130</v>
      </c>
      <c r="CN34" s="587"/>
      <c r="CO34" s="448"/>
      <c r="CP34" s="588"/>
      <c r="CQ34" s="587"/>
      <c r="CR34" s="448"/>
      <c r="CS34" s="588"/>
      <c r="CT34" s="587"/>
      <c r="CU34" s="448"/>
      <c r="CV34" s="588"/>
      <c r="CW34" s="587"/>
      <c r="CX34" s="448"/>
      <c r="CY34" s="588"/>
      <c r="CZ34" s="448"/>
      <c r="DA34" s="595"/>
    </row>
    <row r="35" spans="1:105" s="70" customFormat="1" ht="22.5" customHeight="1" thickBot="1" x14ac:dyDescent="0.3">
      <c r="A35" s="603" t="s">
        <v>390</v>
      </c>
      <c r="B35" s="611" t="s">
        <v>1220</v>
      </c>
      <c r="C35" s="604" t="s">
        <v>7</v>
      </c>
      <c r="D35" s="604" t="s">
        <v>6</v>
      </c>
      <c r="E35" s="604">
        <v>14386</v>
      </c>
      <c r="F35" s="604">
        <v>16727</v>
      </c>
      <c r="G35" s="604">
        <f t="shared" ref="G35" si="18">F35-E35</f>
        <v>2341</v>
      </c>
      <c r="H35" s="605">
        <f t="shared" ref="H35" si="19">SUM(K35+N35+Q35+T35+W35+Z35+AC35+AF35+AI35+AL35+AO35+AR35+AU35+AX35+BA35+BD35+BG35+BJ35+BM35+BP35+BS35+BV35+BY35+CB35+CE35+CH35+CK35+CN35+CQ35+CT35+CW35)</f>
        <v>1164.8699999999999</v>
      </c>
      <c r="I35" s="606">
        <f>COUNTA(L35,O35,R35,U35,X35,AA35,AD35,AG35,AJ35,AM35,AP35,AS35,AV35,AY35,BB35,BE35,BH35,BK35,BN35,BQ35,BT35,BW35,BZ35,CC35,CF35,CI35,CL35,CO35,CR35,CU35,CX35)</f>
        <v>6</v>
      </c>
      <c r="J35" s="604" t="s">
        <v>84</v>
      </c>
      <c r="K35" s="607"/>
      <c r="L35" s="454"/>
      <c r="M35" s="608"/>
      <c r="N35" s="607"/>
      <c r="O35" s="454"/>
      <c r="P35" s="608"/>
      <c r="Q35" s="607"/>
      <c r="R35" s="454"/>
      <c r="S35" s="608"/>
      <c r="T35" s="607">
        <v>200</v>
      </c>
      <c r="U35" s="454">
        <v>33</v>
      </c>
      <c r="V35" s="608" t="s">
        <v>1130</v>
      </c>
      <c r="W35" s="607"/>
      <c r="X35" s="454"/>
      <c r="Y35" s="608"/>
      <c r="Z35" s="607">
        <v>130.01</v>
      </c>
      <c r="AA35" s="454">
        <v>21.925000000000001</v>
      </c>
      <c r="AB35" s="608" t="s">
        <v>1130</v>
      </c>
      <c r="AC35" s="607"/>
      <c r="AD35" s="454"/>
      <c r="AE35" s="608"/>
      <c r="AF35" s="607"/>
      <c r="AG35" s="454"/>
      <c r="AH35" s="608"/>
      <c r="AI35" s="607"/>
      <c r="AJ35" s="454"/>
      <c r="AK35" s="608"/>
      <c r="AL35" s="607"/>
      <c r="AM35" s="454"/>
      <c r="AN35" s="608"/>
      <c r="AO35" s="607">
        <v>235.1</v>
      </c>
      <c r="AP35" s="454">
        <v>39.646000000000001</v>
      </c>
      <c r="AQ35" s="608" t="s">
        <v>1130</v>
      </c>
      <c r="AR35" s="607"/>
      <c r="AS35" s="454"/>
      <c r="AT35" s="608"/>
      <c r="AU35" s="607"/>
      <c r="AV35" s="454"/>
      <c r="AW35" s="608"/>
      <c r="AX35" s="607"/>
      <c r="AY35" s="454"/>
      <c r="AZ35" s="608"/>
      <c r="BA35" s="607"/>
      <c r="BB35" s="454"/>
      <c r="BC35" s="608"/>
      <c r="BD35" s="607"/>
      <c r="BE35" s="454"/>
      <c r="BF35" s="608"/>
      <c r="BG35" s="607"/>
      <c r="BH35" s="454"/>
      <c r="BI35" s="608"/>
      <c r="BJ35" s="607">
        <v>252.2</v>
      </c>
      <c r="BK35" s="454">
        <v>42.530999999999999</v>
      </c>
      <c r="BL35" s="608" t="s">
        <v>1130</v>
      </c>
      <c r="BM35" s="607"/>
      <c r="BN35" s="454"/>
      <c r="BO35" s="608"/>
      <c r="BP35" s="607">
        <v>95</v>
      </c>
      <c r="BQ35" s="454">
        <v>16.12</v>
      </c>
      <c r="BR35" s="608" t="s">
        <v>1130</v>
      </c>
      <c r="BS35" s="607"/>
      <c r="BT35" s="454"/>
      <c r="BU35" s="608"/>
      <c r="BV35" s="607"/>
      <c r="BW35" s="454"/>
      <c r="BX35" s="608"/>
      <c r="BY35" s="607"/>
      <c r="BZ35" s="454"/>
      <c r="CA35" s="608"/>
      <c r="CB35" s="607"/>
      <c r="CC35" s="454"/>
      <c r="CD35" s="608"/>
      <c r="CE35" s="607"/>
      <c r="CF35" s="454"/>
      <c r="CG35" s="608"/>
      <c r="CH35" s="607"/>
      <c r="CI35" s="454"/>
      <c r="CJ35" s="608"/>
      <c r="CK35" s="607">
        <v>252.56</v>
      </c>
      <c r="CL35" s="454">
        <v>42.88</v>
      </c>
      <c r="CM35" s="608" t="s">
        <v>1130</v>
      </c>
      <c r="CN35" s="607"/>
      <c r="CO35" s="454"/>
      <c r="CP35" s="608"/>
      <c r="CQ35" s="607"/>
      <c r="CR35" s="454"/>
      <c r="CS35" s="608"/>
      <c r="CT35" s="607"/>
      <c r="CU35" s="454"/>
      <c r="CV35" s="608"/>
      <c r="CW35" s="607"/>
      <c r="CX35" s="454"/>
      <c r="CY35" s="608"/>
      <c r="CZ35" s="454"/>
      <c r="DA35" s="609"/>
    </row>
    <row r="36" spans="1:105" s="70" customFormat="1" ht="22.5" customHeight="1" x14ac:dyDescent="0.25">
      <c r="A36" s="589" t="s">
        <v>1331</v>
      </c>
      <c r="B36" s="435" t="s">
        <v>1199</v>
      </c>
      <c r="C36" s="435" t="s">
        <v>7</v>
      </c>
      <c r="D36" s="435" t="s">
        <v>6</v>
      </c>
      <c r="E36" s="435">
        <v>19835</v>
      </c>
      <c r="F36" s="435">
        <v>22725</v>
      </c>
      <c r="G36" s="435">
        <f>F36-E36</f>
        <v>2890</v>
      </c>
      <c r="H36" s="436">
        <f>SUM(K36+N36+Q36+T36+W36+Z36+AC36+AF36+AI36+AL36+AO36+AR36+AU36+AX36+BA36+BD36+BG36+BJ36+BM36+BP36+BS36+BV36+BY36+CB36+CE36+CH36+CK36+CN36+CQ36+CT36+CW36)</f>
        <v>868.36</v>
      </c>
      <c r="I36" s="437">
        <f>COUNTA(L36,O36,R36,U36,X36,AA36,AD36,AG36,AJ36,AM36,AP36,AS36,AV36,AY36,BB36,BE36,BH36,BK36,BN36,BQ36,BT36,BW36,BZ36,CC36,CF36,CI36,CL36,CO36,CR36,CU36,CX36)</f>
        <v>7</v>
      </c>
      <c r="J36" s="435" t="s">
        <v>73</v>
      </c>
      <c r="K36" s="590"/>
      <c r="L36" s="591"/>
      <c r="M36" s="592"/>
      <c r="N36" s="590"/>
      <c r="O36" s="591"/>
      <c r="P36" s="592"/>
      <c r="Q36" s="590"/>
      <c r="R36" s="591"/>
      <c r="S36" s="592"/>
      <c r="T36" s="590"/>
      <c r="U36" s="591"/>
      <c r="V36" s="592"/>
      <c r="W36" s="590"/>
      <c r="X36" s="591"/>
      <c r="Y36" s="592"/>
      <c r="Z36" s="590"/>
      <c r="AA36" s="591"/>
      <c r="AB36" s="592"/>
      <c r="AC36" s="590"/>
      <c r="AD36" s="591"/>
      <c r="AE36" s="592"/>
      <c r="AF36" s="590"/>
      <c r="AG36" s="591"/>
      <c r="AH36" s="592"/>
      <c r="AI36" s="590">
        <v>216.99</v>
      </c>
      <c r="AJ36" s="591">
        <v>36.225999999999999</v>
      </c>
      <c r="AK36" s="592" t="s">
        <v>1130</v>
      </c>
      <c r="AL36" s="590"/>
      <c r="AM36" s="591"/>
      <c r="AN36" s="592"/>
      <c r="AO36" s="590">
        <v>97.3</v>
      </c>
      <c r="AP36" s="591">
        <v>15.744999999999999</v>
      </c>
      <c r="AQ36" s="592" t="s">
        <v>1130</v>
      </c>
      <c r="AR36" s="590"/>
      <c r="AS36" s="591"/>
      <c r="AT36" s="592"/>
      <c r="AU36" s="590"/>
      <c r="AV36" s="591"/>
      <c r="AW36" s="592"/>
      <c r="AX36" s="590"/>
      <c r="AY36" s="591"/>
      <c r="AZ36" s="592"/>
      <c r="BA36" s="590"/>
      <c r="BB36" s="591"/>
      <c r="BC36" s="592"/>
      <c r="BD36" s="590">
        <v>125.73</v>
      </c>
      <c r="BE36" s="591">
        <v>30.346</v>
      </c>
      <c r="BF36" s="592" t="s">
        <v>1130</v>
      </c>
      <c r="BG36" s="590"/>
      <c r="BH36" s="591"/>
      <c r="BI36" s="592"/>
      <c r="BJ36" s="590">
        <v>75.69</v>
      </c>
      <c r="BK36" s="591">
        <v>12.247999999999999</v>
      </c>
      <c r="BL36" s="592" t="s">
        <v>1130</v>
      </c>
      <c r="BM36" s="590"/>
      <c r="BN36" s="591"/>
      <c r="BO36" s="592"/>
      <c r="BP36" s="590"/>
      <c r="BQ36" s="591"/>
      <c r="BR36" s="592"/>
      <c r="BS36" s="590"/>
      <c r="BT36" s="591"/>
      <c r="BU36" s="592"/>
      <c r="BV36" s="590"/>
      <c r="BW36" s="591"/>
      <c r="BX36" s="592"/>
      <c r="BY36" s="590">
        <v>137.69999999999999</v>
      </c>
      <c r="BZ36" s="591">
        <v>22.283000000000001</v>
      </c>
      <c r="CA36" s="592" t="s">
        <v>1130</v>
      </c>
      <c r="CB36" s="590"/>
      <c r="CC36" s="591"/>
      <c r="CD36" s="592"/>
      <c r="CE36" s="590">
        <v>56.04</v>
      </c>
      <c r="CF36" s="591">
        <v>9.0679999999999996</v>
      </c>
      <c r="CG36" s="592" t="s">
        <v>1130</v>
      </c>
      <c r="CH36" s="590"/>
      <c r="CI36" s="591"/>
      <c r="CJ36" s="592"/>
      <c r="CK36" s="590"/>
      <c r="CL36" s="591"/>
      <c r="CM36" s="592"/>
      <c r="CN36" s="590"/>
      <c r="CO36" s="591"/>
      <c r="CP36" s="592"/>
      <c r="CQ36" s="590"/>
      <c r="CR36" s="591"/>
      <c r="CS36" s="592"/>
      <c r="CT36" s="590">
        <v>158.91</v>
      </c>
      <c r="CU36" s="591">
        <v>25.713999999999999</v>
      </c>
      <c r="CV36" s="592" t="s">
        <v>1130</v>
      </c>
      <c r="CW36" s="590"/>
      <c r="CX36" s="591"/>
      <c r="CY36" s="592"/>
      <c r="CZ36" s="591"/>
      <c r="DA36" s="593"/>
    </row>
    <row r="37" spans="1:105" s="70" customFormat="1" ht="22.5" customHeight="1" x14ac:dyDescent="0.25">
      <c r="A37" s="594" t="s">
        <v>1082</v>
      </c>
      <c r="B37" s="446" t="s">
        <v>861</v>
      </c>
      <c r="C37" s="446" t="s">
        <v>865</v>
      </c>
      <c r="D37" s="446" t="s">
        <v>6</v>
      </c>
      <c r="E37" s="446">
        <v>23591</v>
      </c>
      <c r="F37" s="446">
        <v>24968</v>
      </c>
      <c r="G37" s="446">
        <f>F37-E37</f>
        <v>1377</v>
      </c>
      <c r="H37" s="541">
        <f>SUM(K37+N37+Q37+T37+W37+Z37+AC37+AF37+AI37+AL37+AO37+AR37+AU37+AX37+BA37+BD37+BG37+BJ37+BM37+BP37+BS37+BV37+BY37+CB37+CE37+CH37+CK37+CN37+CQ37+CT37+CW37)</f>
        <v>841.64</v>
      </c>
      <c r="I37" s="542">
        <f>COUNTA(L37,O37,R37,U37,X37,AA37,AD37,AG37,AJ37,AM37,AP37,AS37,AV37,AY37,BB37,BE37,BH37,BK37,BN37,BQ37,BT37,BW37,BZ37,CC37,CF37,CI37,CL37,CO37,CR37,CU37,CX37)</f>
        <v>4</v>
      </c>
      <c r="J37" s="446" t="s">
        <v>73</v>
      </c>
      <c r="K37" s="587"/>
      <c r="L37" s="448"/>
      <c r="M37" s="586"/>
      <c r="N37" s="587"/>
      <c r="O37" s="448"/>
      <c r="P37" s="586"/>
      <c r="Q37" s="587"/>
      <c r="R37" s="448"/>
      <c r="S37" s="586"/>
      <c r="T37" s="587">
        <v>227.82</v>
      </c>
      <c r="U37" s="448">
        <v>38.68</v>
      </c>
      <c r="V37" s="586" t="s">
        <v>1130</v>
      </c>
      <c r="W37" s="587"/>
      <c r="X37" s="448"/>
      <c r="Y37" s="586"/>
      <c r="Z37" s="587"/>
      <c r="AA37" s="448"/>
      <c r="AB37" s="586"/>
      <c r="AC37" s="587"/>
      <c r="AD37" s="448"/>
      <c r="AE37" s="586"/>
      <c r="AF37" s="587"/>
      <c r="AG37" s="448"/>
      <c r="AH37" s="586"/>
      <c r="AI37" s="587">
        <v>186.87</v>
      </c>
      <c r="AJ37" s="448">
        <v>31.198</v>
      </c>
      <c r="AK37" s="586" t="s">
        <v>1130</v>
      </c>
      <c r="AL37" s="587"/>
      <c r="AM37" s="448"/>
      <c r="AN37" s="586"/>
      <c r="AO37" s="587"/>
      <c r="AP37" s="448"/>
      <c r="AQ37" s="586"/>
      <c r="AR37" s="587"/>
      <c r="AS37" s="448"/>
      <c r="AT37" s="586"/>
      <c r="AU37" s="587"/>
      <c r="AV37" s="448"/>
      <c r="AW37" s="586"/>
      <c r="AX37" s="587"/>
      <c r="AY37" s="448"/>
      <c r="AZ37" s="586"/>
      <c r="BA37" s="587"/>
      <c r="BB37" s="448"/>
      <c r="BC37" s="586"/>
      <c r="BD37" s="587"/>
      <c r="BE37" s="448"/>
      <c r="BF37" s="586"/>
      <c r="BG37" s="587"/>
      <c r="BH37" s="448"/>
      <c r="BI37" s="586"/>
      <c r="BJ37" s="587">
        <v>212.29</v>
      </c>
      <c r="BK37" s="448">
        <v>34.351999999999997</v>
      </c>
      <c r="BL37" s="586" t="s">
        <v>1130</v>
      </c>
      <c r="BM37" s="587"/>
      <c r="BN37" s="448"/>
      <c r="BO37" s="586"/>
      <c r="BP37" s="587"/>
      <c r="BQ37" s="448"/>
      <c r="BR37" s="586"/>
      <c r="BS37" s="587"/>
      <c r="BT37" s="448"/>
      <c r="BU37" s="586"/>
      <c r="BV37" s="587"/>
      <c r="BW37" s="448"/>
      <c r="BX37" s="586"/>
      <c r="BY37" s="587"/>
      <c r="BZ37" s="448"/>
      <c r="CA37" s="586"/>
      <c r="CB37" s="587"/>
      <c r="CC37" s="448"/>
      <c r="CD37" s="586"/>
      <c r="CE37" s="587">
        <v>214.66</v>
      </c>
      <c r="CF37" s="448">
        <v>34.734999999999999</v>
      </c>
      <c r="CG37" s="586" t="s">
        <v>1130</v>
      </c>
      <c r="CH37" s="587"/>
      <c r="CI37" s="448"/>
      <c r="CJ37" s="586"/>
      <c r="CK37" s="587"/>
      <c r="CL37" s="448"/>
      <c r="CM37" s="586"/>
      <c r="CN37" s="587"/>
      <c r="CO37" s="448"/>
      <c r="CP37" s="586"/>
      <c r="CQ37" s="587"/>
      <c r="CR37" s="448"/>
      <c r="CS37" s="586"/>
      <c r="CT37" s="587"/>
      <c r="CU37" s="448"/>
      <c r="CV37" s="586"/>
      <c r="CW37" s="587"/>
      <c r="CX37" s="448"/>
      <c r="CY37" s="586"/>
      <c r="CZ37" s="448"/>
      <c r="DA37" s="595"/>
    </row>
    <row r="38" spans="1:105" s="70" customFormat="1" ht="22.5" customHeight="1" x14ac:dyDescent="0.25">
      <c r="A38" s="594" t="s">
        <v>1082</v>
      </c>
      <c r="B38" s="446" t="s">
        <v>1428</v>
      </c>
      <c r="C38" s="446" t="s">
        <v>61</v>
      </c>
      <c r="D38" s="446" t="s">
        <v>6</v>
      </c>
      <c r="E38" s="124">
        <v>39967</v>
      </c>
      <c r="F38" s="124">
        <v>40418</v>
      </c>
      <c r="G38" s="446">
        <f>F38-E38</f>
        <v>451</v>
      </c>
      <c r="H38" s="541">
        <f>SUM(K38+N38+Q38+T38+W38+Z38+AC38+AF38+AI38+AL38+AO38+AR38+AU38+AX38+BA38+BD38+BG38+BJ38+BM38+BP38+BS38+BV38+BY38+CB38+CE38+CH38+CK38+CN38+CQ38+CT38+CW38)</f>
        <v>245.01</v>
      </c>
      <c r="I38" s="542">
        <f>COUNTA(L38,O38,R38,U38,X38,AA38,AD38,AG38,AJ38,AM38,AP38,AS38,AV38,AY38,BB38,BE38,BH38,BK38,BN38,BQ38,BT38,BW38,BZ38,CC38,CF38,CI38,CL38,CO38,CR38,CU38,CX38)</f>
        <v>1</v>
      </c>
      <c r="J38" s="446" t="s">
        <v>73</v>
      </c>
      <c r="K38" s="587"/>
      <c r="L38" s="448"/>
      <c r="M38" s="586"/>
      <c r="N38" s="587"/>
      <c r="O38" s="448"/>
      <c r="P38" s="586"/>
      <c r="Q38" s="587"/>
      <c r="R38" s="448"/>
      <c r="S38" s="586"/>
      <c r="T38" s="587"/>
      <c r="U38" s="448"/>
      <c r="V38" s="586"/>
      <c r="W38" s="587"/>
      <c r="X38" s="448"/>
      <c r="Y38" s="586"/>
      <c r="Z38" s="587"/>
      <c r="AA38" s="448"/>
      <c r="AB38" s="586"/>
      <c r="AC38" s="587"/>
      <c r="AD38" s="448"/>
      <c r="AE38" s="586"/>
      <c r="AF38" s="587"/>
      <c r="AG38" s="448"/>
      <c r="AH38" s="586"/>
      <c r="AI38" s="587"/>
      <c r="AJ38" s="448"/>
      <c r="AK38" s="586"/>
      <c r="AL38" s="587"/>
      <c r="AM38" s="448"/>
      <c r="AN38" s="586"/>
      <c r="AO38" s="587"/>
      <c r="AP38" s="448"/>
      <c r="AQ38" s="586"/>
      <c r="AR38" s="587"/>
      <c r="AS38" s="448"/>
      <c r="AT38" s="586"/>
      <c r="AU38" s="587"/>
      <c r="AV38" s="448"/>
      <c r="AW38" s="586"/>
      <c r="AX38" s="587"/>
      <c r="AY38" s="448"/>
      <c r="AZ38" s="586"/>
      <c r="BA38" s="587"/>
      <c r="BB38" s="448"/>
      <c r="BC38" s="586"/>
      <c r="BD38" s="587"/>
      <c r="BE38" s="448"/>
      <c r="BF38" s="586"/>
      <c r="BG38" s="587"/>
      <c r="BH38" s="448"/>
      <c r="BI38" s="586"/>
      <c r="BJ38" s="587"/>
      <c r="BK38" s="448"/>
      <c r="BL38" s="586"/>
      <c r="BM38" s="587"/>
      <c r="BN38" s="448"/>
      <c r="BO38" s="586"/>
      <c r="BP38" s="587"/>
      <c r="BQ38" s="448"/>
      <c r="BR38" s="586"/>
      <c r="BS38" s="587"/>
      <c r="BT38" s="448"/>
      <c r="BU38" s="586"/>
      <c r="BV38" s="587"/>
      <c r="BW38" s="448"/>
      <c r="BX38" s="586"/>
      <c r="BY38" s="587"/>
      <c r="BZ38" s="448"/>
      <c r="CA38" s="586"/>
      <c r="CB38" s="587"/>
      <c r="CC38" s="448"/>
      <c r="CD38" s="586"/>
      <c r="CE38" s="587"/>
      <c r="CF38" s="448"/>
      <c r="CG38" s="586"/>
      <c r="CH38" s="587"/>
      <c r="CI38" s="448"/>
      <c r="CJ38" s="586"/>
      <c r="CK38" s="587"/>
      <c r="CL38" s="448"/>
      <c r="CM38" s="586"/>
      <c r="CN38" s="587"/>
      <c r="CO38" s="448"/>
      <c r="CP38" s="586"/>
      <c r="CQ38" s="587"/>
      <c r="CR38" s="448"/>
      <c r="CS38" s="586"/>
      <c r="CT38" s="587">
        <v>245.01</v>
      </c>
      <c r="CU38" s="448">
        <v>39.646000000000001</v>
      </c>
      <c r="CV38" s="586" t="s">
        <v>1130</v>
      </c>
      <c r="CW38" s="587"/>
      <c r="CX38" s="448"/>
      <c r="CY38" s="586"/>
      <c r="CZ38" s="448"/>
      <c r="DA38" s="595"/>
    </row>
    <row r="39" spans="1:105" s="70" customFormat="1" ht="22.5" customHeight="1" x14ac:dyDescent="0.25">
      <c r="A39" s="594" t="s">
        <v>1360</v>
      </c>
      <c r="B39" s="446" t="s">
        <v>1318</v>
      </c>
      <c r="C39" s="446" t="s">
        <v>7</v>
      </c>
      <c r="D39" s="446" t="s">
        <v>6</v>
      </c>
      <c r="E39" s="446">
        <v>3680</v>
      </c>
      <c r="F39" s="446">
        <v>5102</v>
      </c>
      <c r="G39" s="446">
        <f>F39-E39</f>
        <v>1422</v>
      </c>
      <c r="H39" s="541">
        <f>SUM(K39+N39+Q39+T39+W39+Z39+AC39+AF39+AI39+AL39+AO39+AR39+AU39+AX39+BA39+BD39+BG39+BJ39+BM39+BP39+BS39+BV39+BY39+CB39+CE39+CH39+CK39+CN39+CQ39+CT39+CW39)</f>
        <v>657.06</v>
      </c>
      <c r="I39" s="542">
        <f t="shared" ref="I39" si="20">COUNTA(L39,O39,R39,U39,X39,AA39,AD39,AG39,AJ39,AM39,AP39,AS39,AV39,AY39,BB39,BE39,BH39,BK39,BN39,BQ39,BT39,BW39,BZ39,CC39,CF39,CI39,CL39,CO39,CR39,CU39,CX39)</f>
        <v>3</v>
      </c>
      <c r="J39" s="446" t="s">
        <v>73</v>
      </c>
      <c r="K39" s="587"/>
      <c r="L39" s="448"/>
      <c r="M39" s="588"/>
      <c r="N39" s="587"/>
      <c r="O39" s="448"/>
      <c r="P39" s="588"/>
      <c r="Q39" s="587"/>
      <c r="R39" s="448"/>
      <c r="S39" s="588"/>
      <c r="T39" s="587">
        <v>200.01</v>
      </c>
      <c r="U39" s="448">
        <v>33.957999999999998</v>
      </c>
      <c r="V39" s="588" t="s">
        <v>1130</v>
      </c>
      <c r="W39" s="587"/>
      <c r="X39" s="448"/>
      <c r="Y39" s="588"/>
      <c r="Z39" s="587"/>
      <c r="AA39" s="448"/>
      <c r="AB39" s="588"/>
      <c r="AC39" s="587"/>
      <c r="AD39" s="448"/>
      <c r="AE39" s="588"/>
      <c r="AF39" s="587"/>
      <c r="AG39" s="448"/>
      <c r="AH39" s="588"/>
      <c r="AI39" s="587"/>
      <c r="AJ39" s="448"/>
      <c r="AK39" s="588"/>
      <c r="AL39" s="587"/>
      <c r="AM39" s="448"/>
      <c r="AN39" s="588"/>
      <c r="AO39" s="587">
        <v>220.04</v>
      </c>
      <c r="AP39" s="448">
        <v>35.606000000000002</v>
      </c>
      <c r="AQ39" s="588" t="s">
        <v>1130</v>
      </c>
      <c r="AR39" s="587"/>
      <c r="AS39" s="448"/>
      <c r="AT39" s="588"/>
      <c r="AU39" s="587"/>
      <c r="AV39" s="448"/>
      <c r="AW39" s="588"/>
      <c r="AX39" s="587"/>
      <c r="AY39" s="448"/>
      <c r="AZ39" s="588"/>
      <c r="BA39" s="587"/>
      <c r="BB39" s="448"/>
      <c r="BC39" s="588"/>
      <c r="BD39" s="587"/>
      <c r="BE39" s="448"/>
      <c r="BF39" s="588"/>
      <c r="BG39" s="587"/>
      <c r="BH39" s="448"/>
      <c r="BI39" s="588"/>
      <c r="BJ39" s="587"/>
      <c r="BK39" s="448"/>
      <c r="BL39" s="588"/>
      <c r="BM39" s="587"/>
      <c r="BN39" s="448"/>
      <c r="BO39" s="588"/>
      <c r="BP39" s="587"/>
      <c r="BQ39" s="448"/>
      <c r="BR39" s="588"/>
      <c r="BS39" s="587"/>
      <c r="BT39" s="448"/>
      <c r="BU39" s="588"/>
      <c r="BV39" s="587"/>
      <c r="BW39" s="448"/>
      <c r="BX39" s="588"/>
      <c r="BY39" s="587">
        <v>237.01</v>
      </c>
      <c r="BZ39" s="448">
        <v>38.351999999999997</v>
      </c>
      <c r="CA39" s="588" t="s">
        <v>1130</v>
      </c>
      <c r="CB39" s="587"/>
      <c r="CC39" s="448"/>
      <c r="CD39" s="588"/>
      <c r="CE39" s="587"/>
      <c r="CF39" s="448"/>
      <c r="CG39" s="588"/>
      <c r="CH39" s="587"/>
      <c r="CI39" s="448"/>
      <c r="CJ39" s="588"/>
      <c r="CK39" s="587"/>
      <c r="CL39" s="448"/>
      <c r="CM39" s="588"/>
      <c r="CN39" s="587"/>
      <c r="CO39" s="448"/>
      <c r="CP39" s="588"/>
      <c r="CQ39" s="587"/>
      <c r="CR39" s="448"/>
      <c r="CS39" s="588"/>
      <c r="CT39" s="587"/>
      <c r="CU39" s="448"/>
      <c r="CV39" s="588"/>
      <c r="CW39" s="587"/>
      <c r="CX39" s="448"/>
      <c r="CY39" s="588"/>
      <c r="CZ39" s="448"/>
      <c r="DA39" s="595"/>
    </row>
    <row r="40" spans="1:105" s="70" customFormat="1" ht="22.5" customHeight="1" thickBot="1" x14ac:dyDescent="0.3">
      <c r="A40" s="603" t="s">
        <v>390</v>
      </c>
      <c r="B40" s="611" t="s">
        <v>1220</v>
      </c>
      <c r="C40" s="604" t="s">
        <v>7</v>
      </c>
      <c r="D40" s="604" t="s">
        <v>6</v>
      </c>
      <c r="E40" s="604">
        <v>16727</v>
      </c>
      <c r="F40" s="604">
        <v>18939</v>
      </c>
      <c r="G40" s="604">
        <f t="shared" ref="G40" si="21">F40-E40</f>
        <v>2212</v>
      </c>
      <c r="H40" s="605">
        <f t="shared" ref="H40" si="22">SUM(K40+N40+Q40+T40+W40+Z40+AC40+AF40+AI40+AL40+AO40+AR40+AU40+AX40+BA40+BD40+BG40+BJ40+BM40+BP40+BS40+BV40+BY40+CB40+CE40+CH40+CK40+CN40+CQ40+CT40+CW40)</f>
        <v>1113.75</v>
      </c>
      <c r="I40" s="606">
        <f>COUNTA(L40,O40,R40,U40,X40,AA40,AD40,AG40,AJ40,AM40,AP40,AS40,AV40,AY40,BB40,BE40,BH40,BK40,BN40,BQ40,BT40,BW40,BZ40,CC40,CF40,CI40,CL40,CO40,CR40,CU40,CX40)</f>
        <v>5</v>
      </c>
      <c r="J40" s="604" t="s">
        <v>73</v>
      </c>
      <c r="K40" s="607"/>
      <c r="L40" s="454"/>
      <c r="M40" s="608"/>
      <c r="N40" s="607"/>
      <c r="O40" s="454"/>
      <c r="P40" s="608"/>
      <c r="Q40" s="607"/>
      <c r="R40" s="454"/>
      <c r="S40" s="608"/>
      <c r="T40" s="607">
        <v>240.11</v>
      </c>
      <c r="U40" s="454">
        <v>40.765999999999998</v>
      </c>
      <c r="V40" s="608" t="s">
        <v>1130</v>
      </c>
      <c r="W40" s="607"/>
      <c r="X40" s="454"/>
      <c r="Y40" s="608"/>
      <c r="Z40" s="607"/>
      <c r="AA40" s="454"/>
      <c r="AB40" s="608"/>
      <c r="AC40" s="607"/>
      <c r="AD40" s="454"/>
      <c r="AE40" s="608"/>
      <c r="AF40" s="607"/>
      <c r="AG40" s="454"/>
      <c r="AH40" s="608"/>
      <c r="AI40" s="607"/>
      <c r="AJ40" s="454"/>
      <c r="AK40" s="608"/>
      <c r="AL40" s="607"/>
      <c r="AM40" s="454"/>
      <c r="AN40" s="608"/>
      <c r="AO40" s="607">
        <v>268.95999999999998</v>
      </c>
      <c r="AP40" s="454">
        <v>43.521999999999998</v>
      </c>
      <c r="AQ40" s="608" t="s">
        <v>1130</v>
      </c>
      <c r="AR40" s="607"/>
      <c r="AS40" s="454"/>
      <c r="AT40" s="608"/>
      <c r="AU40" s="607"/>
      <c r="AV40" s="454"/>
      <c r="AW40" s="608"/>
      <c r="AX40" s="607"/>
      <c r="AY40" s="454"/>
      <c r="AZ40" s="608"/>
      <c r="BA40" s="607"/>
      <c r="BB40" s="454"/>
      <c r="BC40" s="608"/>
      <c r="BD40" s="607"/>
      <c r="BE40" s="454"/>
      <c r="BF40" s="608"/>
      <c r="BG40" s="607"/>
      <c r="BH40" s="454"/>
      <c r="BI40" s="608"/>
      <c r="BJ40" s="607">
        <v>218.11</v>
      </c>
      <c r="BK40" s="454">
        <v>35.292999999999999</v>
      </c>
      <c r="BL40" s="608" t="s">
        <v>1130</v>
      </c>
      <c r="BM40" s="607"/>
      <c r="BN40" s="454"/>
      <c r="BO40" s="608"/>
      <c r="BP40" s="607"/>
      <c r="BQ40" s="454"/>
      <c r="BR40" s="608"/>
      <c r="BS40" s="607"/>
      <c r="BT40" s="454"/>
      <c r="BU40" s="608"/>
      <c r="BV40" s="607"/>
      <c r="BW40" s="454"/>
      <c r="BX40" s="608"/>
      <c r="BY40" s="607">
        <v>284.77</v>
      </c>
      <c r="BZ40" s="454">
        <v>43.015999999999998</v>
      </c>
      <c r="CA40" s="608" t="s">
        <v>1130</v>
      </c>
      <c r="CB40" s="607"/>
      <c r="CC40" s="454"/>
      <c r="CD40" s="608"/>
      <c r="CE40" s="607"/>
      <c r="CF40" s="454"/>
      <c r="CG40" s="608"/>
      <c r="CH40" s="607">
        <v>101.8</v>
      </c>
      <c r="CI40" s="454">
        <v>16.474</v>
      </c>
      <c r="CJ40" s="608" t="s">
        <v>1130</v>
      </c>
      <c r="CK40" s="607"/>
      <c r="CL40" s="454"/>
      <c r="CM40" s="608"/>
      <c r="CN40" s="607"/>
      <c r="CO40" s="454"/>
      <c r="CP40" s="608"/>
      <c r="CQ40" s="607"/>
      <c r="CR40" s="454"/>
      <c r="CS40" s="608"/>
      <c r="CT40" s="607"/>
      <c r="CU40" s="454"/>
      <c r="CV40" s="608"/>
      <c r="CW40" s="607"/>
      <c r="CX40" s="454"/>
      <c r="CY40" s="608"/>
      <c r="CZ40" s="454"/>
      <c r="DA40" s="609"/>
    </row>
    <row r="41" spans="1:105" s="70" customFormat="1" ht="22.5" customHeight="1" x14ac:dyDescent="0.25">
      <c r="A41" s="589" t="s">
        <v>1331</v>
      </c>
      <c r="B41" s="435" t="s">
        <v>1199</v>
      </c>
      <c r="C41" s="435" t="s">
        <v>7</v>
      </c>
      <c r="D41" s="435" t="s">
        <v>6</v>
      </c>
      <c r="E41" s="435">
        <v>22932</v>
      </c>
      <c r="F41" s="435">
        <v>25760</v>
      </c>
      <c r="G41" s="435">
        <f t="shared" ref="G41:G44" si="23">F41-E41</f>
        <v>2828</v>
      </c>
      <c r="H41" s="436">
        <f t="shared" ref="H41:H44" si="24">SUM(K41+N41+Q41+T41+W41+Z41+AC41+AF41+AI41+AL41+AO41+AR41+AU41+AX41+BA41+BD41+BG41+BJ41+BM41+BP41+BS41+BV41+BY41+CB41+CE41+CH41+CK41+CN41+CQ41+CT41+CW41)</f>
        <v>911.06000000000006</v>
      </c>
      <c r="I41" s="437">
        <f t="shared" ref="I41:I44" si="25">COUNTA(L41,O41,R41,U41,X41,AA41,AD41,AG41,AJ41,AM41,AP41,AS41,AV41,AY41,BB41,BE41,BH41,BK41,BN41,BQ41,BT41,BW41,BZ41,CC41,CF41,CI41,CL41,CO41,CR41,CU41,CX41)</f>
        <v>6</v>
      </c>
      <c r="J41" s="435" t="s">
        <v>74</v>
      </c>
      <c r="K41" s="590">
        <v>69.92</v>
      </c>
      <c r="L41" s="591">
        <v>11.31</v>
      </c>
      <c r="M41" s="592" t="s">
        <v>1130</v>
      </c>
      <c r="N41" s="590"/>
      <c r="O41" s="591"/>
      <c r="P41" s="592"/>
      <c r="Q41" s="590"/>
      <c r="R41" s="591"/>
      <c r="S41" s="592"/>
      <c r="T41" s="590"/>
      <c r="U41" s="591"/>
      <c r="V41" s="592"/>
      <c r="W41" s="590"/>
      <c r="X41" s="591"/>
      <c r="Y41" s="592"/>
      <c r="Z41" s="590">
        <v>202.49</v>
      </c>
      <c r="AA41" s="591">
        <v>32.765999999999998</v>
      </c>
      <c r="AB41" s="592" t="s">
        <v>1130</v>
      </c>
      <c r="AC41" s="590"/>
      <c r="AD41" s="591"/>
      <c r="AE41" s="592"/>
      <c r="AF41" s="590">
        <v>73.02</v>
      </c>
      <c r="AG41" s="591">
        <v>11.818</v>
      </c>
      <c r="AH41" s="592" t="s">
        <v>1130</v>
      </c>
      <c r="AI41" s="590"/>
      <c r="AJ41" s="591"/>
      <c r="AK41" s="592"/>
      <c r="AL41" s="590"/>
      <c r="AM41" s="591"/>
      <c r="AN41" s="592"/>
      <c r="AO41" s="590"/>
      <c r="AP41" s="591"/>
      <c r="AQ41" s="592"/>
      <c r="AR41" s="590"/>
      <c r="AS41" s="591"/>
      <c r="AT41" s="592"/>
      <c r="AU41" s="590"/>
      <c r="AV41" s="591"/>
      <c r="AW41" s="592"/>
      <c r="AX41" s="590"/>
      <c r="AY41" s="591"/>
      <c r="AZ41" s="592"/>
      <c r="BA41" s="590"/>
      <c r="BB41" s="591"/>
      <c r="BC41" s="592"/>
      <c r="BD41" s="590"/>
      <c r="BE41" s="591"/>
      <c r="BF41" s="592"/>
      <c r="BG41" s="590"/>
      <c r="BH41" s="591"/>
      <c r="BI41" s="592"/>
      <c r="BJ41" s="590"/>
      <c r="BK41" s="591"/>
      <c r="BL41" s="592"/>
      <c r="BM41" s="590"/>
      <c r="BN41" s="591"/>
      <c r="BO41" s="592"/>
      <c r="BP41" s="590">
        <v>210</v>
      </c>
      <c r="BQ41" s="591">
        <v>33.987000000000002</v>
      </c>
      <c r="BR41" s="592" t="s">
        <v>1130</v>
      </c>
      <c r="BS41" s="590"/>
      <c r="BT41" s="591"/>
      <c r="BU41" s="592"/>
      <c r="BV41" s="590"/>
      <c r="BW41" s="591"/>
      <c r="BX41" s="592"/>
      <c r="BY41" s="590"/>
      <c r="BZ41" s="591"/>
      <c r="CA41" s="592"/>
      <c r="CB41" s="590"/>
      <c r="CC41" s="591"/>
      <c r="CD41" s="592"/>
      <c r="CE41" s="590"/>
      <c r="CF41" s="591"/>
      <c r="CG41" s="592"/>
      <c r="CH41" s="590"/>
      <c r="CI41" s="591"/>
      <c r="CJ41" s="592"/>
      <c r="CK41" s="590">
        <v>210.6</v>
      </c>
      <c r="CL41" s="591">
        <v>34.07</v>
      </c>
      <c r="CM41" s="592" t="s">
        <v>1130</v>
      </c>
      <c r="CN41" s="590"/>
      <c r="CO41" s="591"/>
      <c r="CP41" s="592"/>
      <c r="CQ41" s="590">
        <v>145.03</v>
      </c>
      <c r="CR41" s="591">
        <v>23.468</v>
      </c>
      <c r="CS41" s="592" t="s">
        <v>1130</v>
      </c>
      <c r="CT41" s="590"/>
      <c r="CU41" s="591"/>
      <c r="CV41" s="592"/>
      <c r="CW41" s="590"/>
      <c r="CX41" s="591"/>
      <c r="CY41" s="592"/>
      <c r="CZ41" s="591"/>
      <c r="DA41" s="593"/>
    </row>
    <row r="42" spans="1:105" s="70" customFormat="1" ht="22.5" customHeight="1" x14ac:dyDescent="0.25">
      <c r="A42" s="594" t="s">
        <v>1082</v>
      </c>
      <c r="B42" s="446" t="s">
        <v>1428</v>
      </c>
      <c r="C42" s="446" t="s">
        <v>61</v>
      </c>
      <c r="D42" s="446" t="s">
        <v>6</v>
      </c>
      <c r="E42" s="446">
        <v>40418</v>
      </c>
      <c r="F42" s="446">
        <v>43102</v>
      </c>
      <c r="G42" s="446">
        <f t="shared" si="23"/>
        <v>2684</v>
      </c>
      <c r="H42" s="541">
        <f t="shared" si="24"/>
        <v>1038.27</v>
      </c>
      <c r="I42" s="542">
        <f t="shared" si="25"/>
        <v>6</v>
      </c>
      <c r="J42" s="446" t="s">
        <v>74</v>
      </c>
      <c r="K42" s="587">
        <v>98.36</v>
      </c>
      <c r="L42" s="446">
        <v>15.91</v>
      </c>
      <c r="M42" s="586" t="s">
        <v>1130</v>
      </c>
      <c r="N42" s="587"/>
      <c r="O42" s="448"/>
      <c r="P42" s="586"/>
      <c r="Q42" s="587"/>
      <c r="R42" s="448"/>
      <c r="S42" s="586"/>
      <c r="T42" s="587"/>
      <c r="U42" s="448"/>
      <c r="V42" s="586"/>
      <c r="W42" s="587"/>
      <c r="X42" s="448"/>
      <c r="Y42" s="586"/>
      <c r="Z42" s="587">
        <v>225.61</v>
      </c>
      <c r="AA42" s="448">
        <v>26.5</v>
      </c>
      <c r="AB42" s="586" t="s">
        <v>1130</v>
      </c>
      <c r="AC42" s="587"/>
      <c r="AD42" s="448"/>
      <c r="AE42" s="586"/>
      <c r="AF42" s="587"/>
      <c r="AG42" s="448"/>
      <c r="AH42" s="586"/>
      <c r="AI42" s="587"/>
      <c r="AJ42" s="448"/>
      <c r="AK42" s="586"/>
      <c r="AL42" s="587"/>
      <c r="AM42" s="448"/>
      <c r="AN42" s="586"/>
      <c r="AO42" s="587"/>
      <c r="AP42" s="448"/>
      <c r="AQ42" s="586"/>
      <c r="AR42" s="587"/>
      <c r="AS42" s="448"/>
      <c r="AT42" s="586"/>
      <c r="AU42" s="587"/>
      <c r="AV42" s="448"/>
      <c r="AW42" s="586"/>
      <c r="AX42" s="587"/>
      <c r="AY42" s="448"/>
      <c r="AZ42" s="586"/>
      <c r="BA42" s="587">
        <v>166.27</v>
      </c>
      <c r="BB42" s="448">
        <v>26.87</v>
      </c>
      <c r="BC42" s="586" t="s">
        <v>1130</v>
      </c>
      <c r="BD42" s="587"/>
      <c r="BE42" s="448"/>
      <c r="BF42" s="586"/>
      <c r="BG42" s="587"/>
      <c r="BH42" s="448"/>
      <c r="BI42" s="586"/>
      <c r="BJ42" s="587"/>
      <c r="BK42" s="448"/>
      <c r="BL42" s="586"/>
      <c r="BM42" s="587"/>
      <c r="BN42" s="448"/>
      <c r="BO42" s="586"/>
      <c r="BP42" s="587"/>
      <c r="BQ42" s="448"/>
      <c r="BR42" s="586"/>
      <c r="BS42" s="587"/>
      <c r="BT42" s="448"/>
      <c r="BU42" s="586"/>
      <c r="BV42" s="587">
        <v>150</v>
      </c>
      <c r="BW42" s="448">
        <v>24.288</v>
      </c>
      <c r="BX42" s="586" t="s">
        <v>1130</v>
      </c>
      <c r="BY42" s="587"/>
      <c r="BZ42" s="448"/>
      <c r="CA42" s="586"/>
      <c r="CB42" s="587"/>
      <c r="CC42" s="448"/>
      <c r="CD42" s="586"/>
      <c r="CE42" s="587"/>
      <c r="CF42" s="448"/>
      <c r="CG42" s="586"/>
      <c r="CH42" s="587"/>
      <c r="CI42" s="448"/>
      <c r="CJ42" s="586"/>
      <c r="CK42" s="587">
        <v>217.99</v>
      </c>
      <c r="CL42" s="448">
        <v>35.277000000000001</v>
      </c>
      <c r="CM42" s="586" t="s">
        <v>1130</v>
      </c>
      <c r="CN42" s="587"/>
      <c r="CO42" s="448"/>
      <c r="CP42" s="586"/>
      <c r="CQ42" s="587">
        <v>180.04</v>
      </c>
      <c r="CR42" s="448">
        <v>29.134</v>
      </c>
      <c r="CS42" s="586" t="s">
        <v>1130</v>
      </c>
      <c r="CT42" s="587"/>
      <c r="CU42" s="448"/>
      <c r="CV42" s="586"/>
      <c r="CW42" s="587"/>
      <c r="CX42" s="448"/>
      <c r="CY42" s="586"/>
      <c r="CZ42" s="448"/>
      <c r="DA42" s="595"/>
    </row>
    <row r="43" spans="1:105" s="70" customFormat="1" ht="22.5" customHeight="1" x14ac:dyDescent="0.25">
      <c r="A43" s="594" t="s">
        <v>1360</v>
      </c>
      <c r="B43" s="446" t="s">
        <v>1318</v>
      </c>
      <c r="C43" s="446" t="s">
        <v>7</v>
      </c>
      <c r="D43" s="446" t="s">
        <v>6</v>
      </c>
      <c r="E43" s="446">
        <v>5102</v>
      </c>
      <c r="F43" s="446">
        <v>6444</v>
      </c>
      <c r="G43" s="446">
        <f t="shared" si="23"/>
        <v>1342</v>
      </c>
      <c r="H43" s="541">
        <f t="shared" si="24"/>
        <v>782.99</v>
      </c>
      <c r="I43" s="542">
        <f t="shared" si="25"/>
        <v>4</v>
      </c>
      <c r="J43" s="446" t="s">
        <v>74</v>
      </c>
      <c r="K43" s="587">
        <v>196.02</v>
      </c>
      <c r="L43" s="448">
        <v>31.71</v>
      </c>
      <c r="M43" s="588" t="s">
        <v>1130</v>
      </c>
      <c r="N43" s="587"/>
      <c r="O43" s="448"/>
      <c r="P43" s="588"/>
      <c r="Q43" s="587"/>
      <c r="R43" s="448"/>
      <c r="S43" s="588"/>
      <c r="T43" s="587"/>
      <c r="U43" s="448"/>
      <c r="V43" s="588"/>
      <c r="W43" s="587"/>
      <c r="X43" s="448"/>
      <c r="Y43" s="588"/>
      <c r="Z43" s="587"/>
      <c r="AA43" s="448"/>
      <c r="AB43" s="588"/>
      <c r="AC43" s="587"/>
      <c r="AD43" s="448"/>
      <c r="AE43" s="588"/>
      <c r="AF43" s="587">
        <v>246.02</v>
      </c>
      <c r="AG43" s="448">
        <v>39.81</v>
      </c>
      <c r="AH43" s="588" t="s">
        <v>1130</v>
      </c>
      <c r="AI43" s="587"/>
      <c r="AJ43" s="448"/>
      <c r="AK43" s="588"/>
      <c r="AL43" s="587"/>
      <c r="AM43" s="448"/>
      <c r="AN43" s="588"/>
      <c r="AO43" s="587"/>
      <c r="AP43" s="448"/>
      <c r="AQ43" s="588"/>
      <c r="AR43" s="587"/>
      <c r="AS43" s="448"/>
      <c r="AT43" s="588"/>
      <c r="AU43" s="587"/>
      <c r="AV43" s="448"/>
      <c r="AW43" s="588"/>
      <c r="AX43" s="587"/>
      <c r="AY43" s="448"/>
      <c r="AZ43" s="588"/>
      <c r="BA43" s="587">
        <v>153.9</v>
      </c>
      <c r="BB43" s="448">
        <v>24.9</v>
      </c>
      <c r="BC43" s="588" t="s">
        <v>1130</v>
      </c>
      <c r="BD43" s="587"/>
      <c r="BE43" s="448"/>
      <c r="BF43" s="588"/>
      <c r="BG43" s="587"/>
      <c r="BH43" s="448"/>
      <c r="BI43" s="588"/>
      <c r="BJ43" s="587"/>
      <c r="BK43" s="448"/>
      <c r="BL43" s="588"/>
      <c r="BM43" s="587"/>
      <c r="BN43" s="448"/>
      <c r="BO43" s="588"/>
      <c r="BP43" s="587"/>
      <c r="BQ43" s="448"/>
      <c r="BR43" s="588"/>
      <c r="BS43" s="587"/>
      <c r="BT43" s="448"/>
      <c r="BU43" s="588"/>
      <c r="BV43" s="587"/>
      <c r="BW43" s="448"/>
      <c r="BX43" s="588"/>
      <c r="BY43" s="587"/>
      <c r="BZ43" s="448"/>
      <c r="CA43" s="588"/>
      <c r="CB43" s="587"/>
      <c r="CC43" s="448"/>
      <c r="CD43" s="588"/>
      <c r="CE43" s="587"/>
      <c r="CF43" s="448"/>
      <c r="CG43" s="588"/>
      <c r="CH43" s="587"/>
      <c r="CI43" s="448"/>
      <c r="CJ43" s="588"/>
      <c r="CK43" s="587">
        <v>187.05</v>
      </c>
      <c r="CL43" s="448">
        <v>30.26</v>
      </c>
      <c r="CM43" s="588" t="s">
        <v>1130</v>
      </c>
      <c r="CN43" s="587"/>
      <c r="CO43" s="448"/>
      <c r="CP43" s="588"/>
      <c r="CQ43" s="587"/>
      <c r="CR43" s="448"/>
      <c r="CS43" s="588"/>
      <c r="CT43" s="587"/>
      <c r="CU43" s="448"/>
      <c r="CV43" s="588"/>
      <c r="CW43" s="587"/>
      <c r="CX43" s="448"/>
      <c r="CY43" s="588"/>
      <c r="CZ43" s="448"/>
      <c r="DA43" s="595"/>
    </row>
    <row r="44" spans="1:105" s="70" customFormat="1" ht="22.5" customHeight="1" thickBot="1" x14ac:dyDescent="0.3">
      <c r="A44" s="596" t="s">
        <v>390</v>
      </c>
      <c r="B44" s="610" t="s">
        <v>1220</v>
      </c>
      <c r="C44" s="447" t="s">
        <v>7</v>
      </c>
      <c r="D44" s="447" t="s">
        <v>6</v>
      </c>
      <c r="E44" s="447">
        <v>18939</v>
      </c>
      <c r="F44" s="447">
        <v>21801</v>
      </c>
      <c r="G44" s="447">
        <f t="shared" si="23"/>
        <v>2862</v>
      </c>
      <c r="H44" s="597">
        <f t="shared" si="24"/>
        <v>1142.99</v>
      </c>
      <c r="I44" s="598">
        <f t="shared" si="25"/>
        <v>6</v>
      </c>
      <c r="J44" s="447" t="s">
        <v>74</v>
      </c>
      <c r="K44" s="599">
        <v>220</v>
      </c>
      <c r="L44" s="600">
        <v>35.590000000000003</v>
      </c>
      <c r="M44" s="601" t="s">
        <v>1130</v>
      </c>
      <c r="N44" s="599"/>
      <c r="O44" s="600"/>
      <c r="P44" s="601"/>
      <c r="Q44" s="599"/>
      <c r="R44" s="600"/>
      <c r="S44" s="601"/>
      <c r="T44" s="599"/>
      <c r="U44" s="600"/>
      <c r="V44" s="601"/>
      <c r="W44" s="599"/>
      <c r="X44" s="600"/>
      <c r="Y44" s="601"/>
      <c r="Z44" s="599">
        <v>247.03</v>
      </c>
      <c r="AA44" s="600">
        <v>39.97</v>
      </c>
      <c r="AB44" s="601" t="s">
        <v>1130</v>
      </c>
      <c r="AC44" s="599"/>
      <c r="AD44" s="600"/>
      <c r="AE44" s="601"/>
      <c r="AF44" s="599">
        <v>70.010000000000005</v>
      </c>
      <c r="AG44" s="600">
        <v>11.329000000000001</v>
      </c>
      <c r="AH44" s="601" t="s">
        <v>1130</v>
      </c>
      <c r="AI44" s="599"/>
      <c r="AJ44" s="600"/>
      <c r="AK44" s="601"/>
      <c r="AL44" s="599"/>
      <c r="AM44" s="600"/>
      <c r="AN44" s="601"/>
      <c r="AO44" s="599"/>
      <c r="AP44" s="600"/>
      <c r="AQ44" s="601"/>
      <c r="AR44" s="599"/>
      <c r="AS44" s="600"/>
      <c r="AT44" s="601"/>
      <c r="AU44" s="599">
        <v>92.7</v>
      </c>
      <c r="AV44" s="600">
        <v>15</v>
      </c>
      <c r="AW44" s="601" t="s">
        <v>1130</v>
      </c>
      <c r="AX44" s="599"/>
      <c r="AY44" s="600"/>
      <c r="AZ44" s="601"/>
      <c r="BA44" s="599">
        <v>245.03</v>
      </c>
      <c r="BB44" s="600">
        <v>39.65</v>
      </c>
      <c r="BC44" s="601" t="s">
        <v>1130</v>
      </c>
      <c r="BD44" s="599"/>
      <c r="BE44" s="600"/>
      <c r="BF44" s="601"/>
      <c r="BG44" s="599"/>
      <c r="BH44" s="600"/>
      <c r="BI44" s="601"/>
      <c r="BJ44" s="599"/>
      <c r="BK44" s="600"/>
      <c r="BL44" s="601"/>
      <c r="BM44" s="599"/>
      <c r="BN44" s="600"/>
      <c r="BO44" s="601"/>
      <c r="BP44" s="599"/>
      <c r="BQ44" s="600"/>
      <c r="BR44" s="601"/>
      <c r="BS44" s="599"/>
      <c r="BT44" s="600"/>
      <c r="BU44" s="601"/>
      <c r="BV44" s="599"/>
      <c r="BW44" s="600"/>
      <c r="BX44" s="601"/>
      <c r="BY44" s="599"/>
      <c r="BZ44" s="600"/>
      <c r="CA44" s="601"/>
      <c r="CB44" s="599"/>
      <c r="CC44" s="600"/>
      <c r="CD44" s="601"/>
      <c r="CE44" s="599"/>
      <c r="CF44" s="600"/>
      <c r="CG44" s="601"/>
      <c r="CH44" s="599"/>
      <c r="CI44" s="600"/>
      <c r="CJ44" s="601"/>
      <c r="CK44" s="599">
        <v>268.22000000000003</v>
      </c>
      <c r="CL44" s="600">
        <v>43.4</v>
      </c>
      <c r="CM44" s="601" t="s">
        <v>1130</v>
      </c>
      <c r="CN44" s="599"/>
      <c r="CO44" s="600"/>
      <c r="CP44" s="601"/>
      <c r="CQ44" s="599"/>
      <c r="CR44" s="600"/>
      <c r="CS44" s="601"/>
      <c r="CT44" s="599"/>
      <c r="CU44" s="600"/>
      <c r="CV44" s="601"/>
      <c r="CW44" s="599"/>
      <c r="CX44" s="600"/>
      <c r="CY44" s="601"/>
      <c r="CZ44" s="600"/>
      <c r="DA44" s="602"/>
    </row>
    <row r="45" spans="1:105" s="70" customFormat="1" ht="22.5" customHeight="1" x14ac:dyDescent="0.25">
      <c r="A45" s="589" t="s">
        <v>1331</v>
      </c>
      <c r="B45" s="435" t="s">
        <v>1199</v>
      </c>
      <c r="C45" s="435" t="s">
        <v>7</v>
      </c>
      <c r="D45" s="435" t="s">
        <v>6</v>
      </c>
      <c r="E45" s="435">
        <v>25760</v>
      </c>
      <c r="F45" s="435">
        <v>27811</v>
      </c>
      <c r="G45" s="435">
        <f t="shared" ref="G45:G48" si="26">F45-E45</f>
        <v>2051</v>
      </c>
      <c r="H45" s="436">
        <f t="shared" ref="H45:H48" si="27">SUM(K45+N45+Q45+T45+W45+Z45+AC45+AF45+AI45+AL45+AO45+AR45+AU45+AX45+BA45+BD45+BG45+BJ45+BM45+BP45+BS45+BV45+BY45+CB45+CE45+CH45+CK45+CN45+CQ45+CT45+CW45)</f>
        <v>1240.4899999999998</v>
      </c>
      <c r="I45" s="437">
        <f t="shared" ref="I45:I48" si="28">COUNTA(L45,O45,R45,U45,X45,AA45,AD45,AG45,AJ45,AM45,AP45,AS45,AV45,AY45,BB45,BE45,BH45,BK45,BN45,BQ45,BT45,BW45,BZ45,CC45,CF45,CI45,CL45,CO45,CR45,CU45,CX45)</f>
        <v>8</v>
      </c>
      <c r="J45" s="435" t="s">
        <v>1508</v>
      </c>
      <c r="K45" s="590"/>
      <c r="L45" s="591"/>
      <c r="M45" s="592"/>
      <c r="N45" s="590"/>
      <c r="O45" s="591"/>
      <c r="P45" s="592"/>
      <c r="Q45" s="590">
        <v>218.11</v>
      </c>
      <c r="R45" s="591">
        <v>35.29</v>
      </c>
      <c r="S45" s="592" t="s">
        <v>1130</v>
      </c>
      <c r="T45" s="590"/>
      <c r="U45" s="591"/>
      <c r="V45" s="592"/>
      <c r="W45" s="590">
        <v>114.04</v>
      </c>
      <c r="X45" s="591">
        <v>18.46</v>
      </c>
      <c r="Y45" s="592" t="s">
        <v>1130</v>
      </c>
      <c r="Z45" s="590"/>
      <c r="AA45" s="591"/>
      <c r="AB45" s="592"/>
      <c r="AC45" s="590"/>
      <c r="AD45" s="591"/>
      <c r="AE45" s="592"/>
      <c r="AF45" s="590"/>
      <c r="AG45" s="591"/>
      <c r="AH45" s="592"/>
      <c r="AI45" s="590"/>
      <c r="AJ45" s="591"/>
      <c r="AK45" s="592"/>
      <c r="AL45" s="590">
        <v>160.06</v>
      </c>
      <c r="AM45" s="591">
        <v>25.9</v>
      </c>
      <c r="AN45" s="592" t="s">
        <v>1130</v>
      </c>
      <c r="AO45" s="590"/>
      <c r="AP45" s="591"/>
      <c r="AQ45" s="592"/>
      <c r="AR45" s="590">
        <v>118</v>
      </c>
      <c r="AS45" s="591">
        <v>19.010000000000002</v>
      </c>
      <c r="AT45" s="592" t="s">
        <v>1130</v>
      </c>
      <c r="AU45" s="590"/>
      <c r="AV45" s="591"/>
      <c r="AW45" s="592"/>
      <c r="AX45" s="590"/>
      <c r="AY45" s="591"/>
      <c r="AZ45" s="592"/>
      <c r="BA45" s="590"/>
      <c r="BB45" s="591"/>
      <c r="BC45" s="592"/>
      <c r="BD45" s="590"/>
      <c r="BE45" s="591"/>
      <c r="BF45" s="592"/>
      <c r="BG45" s="590">
        <v>165.06</v>
      </c>
      <c r="BH45" s="591">
        <v>26.7</v>
      </c>
      <c r="BI45" s="592" t="s">
        <v>1130</v>
      </c>
      <c r="BJ45" s="590"/>
      <c r="BK45" s="591"/>
      <c r="BL45" s="592"/>
      <c r="BM45" s="590">
        <v>143.06</v>
      </c>
      <c r="BN45" s="591">
        <v>23.15</v>
      </c>
      <c r="BO45" s="592" t="s">
        <v>1130</v>
      </c>
      <c r="BP45" s="590"/>
      <c r="BQ45" s="591"/>
      <c r="BR45" s="592"/>
      <c r="BS45" s="590"/>
      <c r="BT45" s="591"/>
      <c r="BU45" s="592"/>
      <c r="BV45" s="590"/>
      <c r="BW45" s="591"/>
      <c r="BX45" s="592"/>
      <c r="BY45" s="590"/>
      <c r="BZ45" s="591"/>
      <c r="CA45" s="592"/>
      <c r="CB45" s="590">
        <v>217.07</v>
      </c>
      <c r="CC45" s="591">
        <v>35.119999999999997</v>
      </c>
      <c r="CD45" s="592" t="s">
        <v>1130</v>
      </c>
      <c r="CE45" s="590"/>
      <c r="CF45" s="591"/>
      <c r="CG45" s="592"/>
      <c r="CH45" s="590">
        <v>105.09</v>
      </c>
      <c r="CI45" s="591">
        <v>17</v>
      </c>
      <c r="CJ45" s="592" t="s">
        <v>1130</v>
      </c>
      <c r="CK45" s="590"/>
      <c r="CL45" s="591"/>
      <c r="CM45" s="592"/>
      <c r="CN45" s="590"/>
      <c r="CO45" s="591"/>
      <c r="CP45" s="592"/>
      <c r="CQ45" s="590"/>
      <c r="CR45" s="591"/>
      <c r="CS45" s="592"/>
      <c r="CT45" s="590"/>
      <c r="CU45" s="591"/>
      <c r="CV45" s="592"/>
      <c r="CW45" s="590"/>
      <c r="CX45" s="591"/>
      <c r="CY45" s="592"/>
      <c r="CZ45" s="591"/>
      <c r="DA45" s="593"/>
    </row>
    <row r="46" spans="1:105" s="70" customFormat="1" ht="22.5" customHeight="1" x14ac:dyDescent="0.25">
      <c r="A46" s="594" t="s">
        <v>1082</v>
      </c>
      <c r="B46" s="446" t="s">
        <v>1490</v>
      </c>
      <c r="C46" s="446" t="s">
        <v>194</v>
      </c>
      <c r="D46" s="446" t="s">
        <v>6</v>
      </c>
      <c r="E46" s="446">
        <v>20050</v>
      </c>
      <c r="F46" s="446">
        <v>21493</v>
      </c>
      <c r="G46" s="446">
        <f t="shared" si="26"/>
        <v>1443</v>
      </c>
      <c r="H46" s="541">
        <f t="shared" si="27"/>
        <v>904.85000000000014</v>
      </c>
      <c r="I46" s="542">
        <f t="shared" si="28"/>
        <v>5</v>
      </c>
      <c r="J46" s="446" t="s">
        <v>1508</v>
      </c>
      <c r="K46" s="587"/>
      <c r="L46" s="446"/>
      <c r="M46" s="586"/>
      <c r="N46" s="587"/>
      <c r="O46" s="448"/>
      <c r="P46" s="586"/>
      <c r="Q46" s="587"/>
      <c r="R46" s="448"/>
      <c r="S46" s="586"/>
      <c r="T46" s="587"/>
      <c r="U46" s="448"/>
      <c r="V46" s="586"/>
      <c r="W46" s="587"/>
      <c r="X46" s="448"/>
      <c r="Y46" s="586"/>
      <c r="Z46" s="587"/>
      <c r="AA46" s="448"/>
      <c r="AB46" s="586"/>
      <c r="AC46" s="587"/>
      <c r="AD46" s="448"/>
      <c r="AE46" s="586"/>
      <c r="AF46" s="587"/>
      <c r="AG46" s="448"/>
      <c r="AH46" s="586"/>
      <c r="AI46" s="587"/>
      <c r="AJ46" s="448"/>
      <c r="AK46" s="586"/>
      <c r="AL46" s="587">
        <v>256.05</v>
      </c>
      <c r="AM46" s="448">
        <v>41.43</v>
      </c>
      <c r="AN46" s="586" t="s">
        <v>1130</v>
      </c>
      <c r="AO46" s="587"/>
      <c r="AP46" s="448"/>
      <c r="AQ46" s="586"/>
      <c r="AR46" s="587"/>
      <c r="AS46" s="448"/>
      <c r="AT46" s="586"/>
      <c r="AU46" s="587"/>
      <c r="AV46" s="448"/>
      <c r="AW46" s="586"/>
      <c r="AX46" s="587"/>
      <c r="AY46" s="448"/>
      <c r="AZ46" s="586"/>
      <c r="BA46" s="587"/>
      <c r="BB46" s="448"/>
      <c r="BC46" s="586"/>
      <c r="BD46" s="587"/>
      <c r="BE46" s="448"/>
      <c r="BF46" s="586"/>
      <c r="BG46" s="587">
        <v>222.02</v>
      </c>
      <c r="BH46" s="448">
        <v>35.927</v>
      </c>
      <c r="BI46" s="586" t="s">
        <v>1130</v>
      </c>
      <c r="BJ46" s="587"/>
      <c r="BK46" s="448"/>
      <c r="BL46" s="586"/>
      <c r="BM46" s="587">
        <v>57.07</v>
      </c>
      <c r="BN46" s="448">
        <v>9.2360000000000007</v>
      </c>
      <c r="BO46" s="586" t="s">
        <v>1130</v>
      </c>
      <c r="BP46" s="587"/>
      <c r="BQ46" s="448"/>
      <c r="BR46" s="586"/>
      <c r="BS46" s="587"/>
      <c r="BT46" s="448"/>
      <c r="BU46" s="586"/>
      <c r="BV46" s="587"/>
      <c r="BW46" s="448"/>
      <c r="BX46" s="586"/>
      <c r="BY46" s="587"/>
      <c r="BZ46" s="448"/>
      <c r="CA46" s="586"/>
      <c r="CB46" s="587">
        <v>229.71</v>
      </c>
      <c r="CC46" s="448">
        <v>37.17</v>
      </c>
      <c r="CD46" s="586" t="s">
        <v>1130</v>
      </c>
      <c r="CE46" s="587"/>
      <c r="CF46" s="448"/>
      <c r="CG46" s="586"/>
      <c r="CH46" s="587">
        <v>140</v>
      </c>
      <c r="CI46" s="448">
        <v>22.655000000000001</v>
      </c>
      <c r="CJ46" s="586" t="s">
        <v>1130</v>
      </c>
      <c r="CK46" s="587"/>
      <c r="CL46" s="448"/>
      <c r="CM46" s="586"/>
      <c r="CN46" s="587"/>
      <c r="CO46" s="448"/>
      <c r="CP46" s="586"/>
      <c r="CQ46" s="587"/>
      <c r="CR46" s="448"/>
      <c r="CS46" s="586"/>
      <c r="CT46" s="587"/>
      <c r="CU46" s="448"/>
      <c r="CV46" s="586"/>
      <c r="CW46" s="587"/>
      <c r="CX46" s="448"/>
      <c r="CY46" s="586"/>
      <c r="CZ46" s="448"/>
      <c r="DA46" s="595"/>
    </row>
    <row r="47" spans="1:105" s="70" customFormat="1" ht="22.5" customHeight="1" x14ac:dyDescent="0.25">
      <c r="A47" s="594" t="s">
        <v>1360</v>
      </c>
      <c r="B47" s="446" t="s">
        <v>1318</v>
      </c>
      <c r="C47" s="446" t="s">
        <v>7</v>
      </c>
      <c r="D47" s="446" t="s">
        <v>6</v>
      </c>
      <c r="E47" s="446">
        <v>6444</v>
      </c>
      <c r="F47" s="446">
        <v>6902</v>
      </c>
      <c r="G47" s="446">
        <f t="shared" si="26"/>
        <v>458</v>
      </c>
      <c r="H47" s="541">
        <f t="shared" si="27"/>
        <v>355.4</v>
      </c>
      <c r="I47" s="542">
        <f t="shared" si="28"/>
        <v>2</v>
      </c>
      <c r="J47" s="446" t="s">
        <v>1508</v>
      </c>
      <c r="K47" s="587"/>
      <c r="L47" s="448"/>
      <c r="M47" s="588"/>
      <c r="N47" s="587"/>
      <c r="O47" s="448"/>
      <c r="P47" s="588"/>
      <c r="Q47" s="587"/>
      <c r="R47" s="448"/>
      <c r="S47" s="588"/>
      <c r="T47" s="587"/>
      <c r="U47" s="448"/>
      <c r="V47" s="588"/>
      <c r="W47" s="587">
        <v>150.38999999999999</v>
      </c>
      <c r="X47" s="448">
        <v>24.33</v>
      </c>
      <c r="Y47" s="588" t="s">
        <v>1130</v>
      </c>
      <c r="Z47" s="587"/>
      <c r="AA47" s="448"/>
      <c r="AB47" s="588"/>
      <c r="AC47" s="587"/>
      <c r="AD47" s="448"/>
      <c r="AE47" s="588"/>
      <c r="AF47" s="587"/>
      <c r="AG47" s="448"/>
      <c r="AH47" s="588"/>
      <c r="AI47" s="587"/>
      <c r="AJ47" s="448"/>
      <c r="AK47" s="588"/>
      <c r="AL47" s="587"/>
      <c r="AM47" s="448"/>
      <c r="AN47" s="588"/>
      <c r="AO47" s="587"/>
      <c r="AP47" s="448"/>
      <c r="AQ47" s="588"/>
      <c r="AR47" s="587"/>
      <c r="AS47" s="448"/>
      <c r="AT47" s="588"/>
      <c r="AU47" s="587"/>
      <c r="AV47" s="448"/>
      <c r="AW47" s="588"/>
      <c r="AX47" s="587"/>
      <c r="AY47" s="448"/>
      <c r="AZ47" s="588"/>
      <c r="BA47" s="587"/>
      <c r="BB47" s="448"/>
      <c r="BC47" s="588"/>
      <c r="BD47" s="587"/>
      <c r="BE47" s="448"/>
      <c r="BF47" s="588"/>
      <c r="BG47" s="587"/>
      <c r="BH47" s="448"/>
      <c r="BI47" s="588"/>
      <c r="BJ47" s="587"/>
      <c r="BK47" s="448"/>
      <c r="BL47" s="588"/>
      <c r="BM47" s="587"/>
      <c r="BN47" s="448"/>
      <c r="BO47" s="588"/>
      <c r="BP47" s="587"/>
      <c r="BQ47" s="448"/>
      <c r="BR47" s="588"/>
      <c r="BS47" s="587"/>
      <c r="BT47" s="448"/>
      <c r="BU47" s="588"/>
      <c r="BV47" s="587"/>
      <c r="BW47" s="448"/>
      <c r="BX47" s="588"/>
      <c r="BY47" s="587"/>
      <c r="BZ47" s="448"/>
      <c r="CA47" s="588"/>
      <c r="CB47" s="587"/>
      <c r="CC47" s="448"/>
      <c r="CD47" s="588"/>
      <c r="CE47" s="587"/>
      <c r="CF47" s="448"/>
      <c r="CG47" s="588"/>
      <c r="CH47" s="587">
        <v>205.01</v>
      </c>
      <c r="CI47" s="448">
        <v>33.17</v>
      </c>
      <c r="CJ47" s="588" t="s">
        <v>1130</v>
      </c>
      <c r="CK47" s="587"/>
      <c r="CL47" s="448"/>
      <c r="CM47" s="588"/>
      <c r="CN47" s="587"/>
      <c r="CO47" s="448"/>
      <c r="CP47" s="588"/>
      <c r="CQ47" s="587"/>
      <c r="CR47" s="448"/>
      <c r="CS47" s="588"/>
      <c r="CT47" s="587"/>
      <c r="CU47" s="448"/>
      <c r="CV47" s="588"/>
      <c r="CW47" s="587"/>
      <c r="CX47" s="448"/>
      <c r="CY47" s="588"/>
      <c r="CZ47" s="448"/>
      <c r="DA47" s="595"/>
    </row>
    <row r="48" spans="1:105" s="70" customFormat="1" ht="22.5" customHeight="1" thickBot="1" x14ac:dyDescent="0.3">
      <c r="A48" s="596" t="s">
        <v>390</v>
      </c>
      <c r="B48" s="610" t="s">
        <v>1220</v>
      </c>
      <c r="C48" s="447" t="s">
        <v>7</v>
      </c>
      <c r="D48" s="447" t="s">
        <v>6</v>
      </c>
      <c r="E48" s="447">
        <v>21801</v>
      </c>
      <c r="F48" s="447">
        <v>24027</v>
      </c>
      <c r="G48" s="447">
        <f t="shared" si="26"/>
        <v>2226</v>
      </c>
      <c r="H48" s="597">
        <f t="shared" si="27"/>
        <v>1097.23</v>
      </c>
      <c r="I48" s="598">
        <f t="shared" si="28"/>
        <v>6</v>
      </c>
      <c r="J48" s="447" t="s">
        <v>75</v>
      </c>
      <c r="K48" s="599"/>
      <c r="L48" s="600"/>
      <c r="M48" s="601"/>
      <c r="N48" s="599"/>
      <c r="O48" s="600"/>
      <c r="P48" s="601"/>
      <c r="Q48" s="599">
        <v>287.29000000000002</v>
      </c>
      <c r="R48" s="600">
        <v>43.29</v>
      </c>
      <c r="S48" s="601" t="s">
        <v>1130</v>
      </c>
      <c r="T48" s="599"/>
      <c r="U48" s="600"/>
      <c r="V48" s="601"/>
      <c r="W48" s="599">
        <v>160.01</v>
      </c>
      <c r="X48" s="600">
        <v>25.69</v>
      </c>
      <c r="Y48" s="601" t="s">
        <v>1130</v>
      </c>
      <c r="Z48" s="599"/>
      <c r="AA48" s="600"/>
      <c r="AB48" s="601"/>
      <c r="AC48" s="599"/>
      <c r="AD48" s="600"/>
      <c r="AE48" s="601"/>
      <c r="AF48" s="599"/>
      <c r="AG48" s="600"/>
      <c r="AH48" s="601"/>
      <c r="AI48" s="599"/>
      <c r="AJ48" s="600"/>
      <c r="AK48" s="601"/>
      <c r="AL48" s="599">
        <v>227.07</v>
      </c>
      <c r="AM48" s="600">
        <v>36.74</v>
      </c>
      <c r="AN48" s="601" t="s">
        <v>1130</v>
      </c>
      <c r="AO48" s="599"/>
      <c r="AP48" s="600"/>
      <c r="AQ48" s="601"/>
      <c r="AR48" s="599">
        <v>103.79</v>
      </c>
      <c r="AS48" s="600">
        <v>16.78</v>
      </c>
      <c r="AT48" s="601" t="s">
        <v>1130</v>
      </c>
      <c r="AU48" s="599"/>
      <c r="AV48" s="600"/>
      <c r="AW48" s="601"/>
      <c r="AX48" s="599"/>
      <c r="AY48" s="600"/>
      <c r="AZ48" s="601"/>
      <c r="BA48" s="599"/>
      <c r="BB48" s="600"/>
      <c r="BC48" s="601"/>
      <c r="BD48" s="599"/>
      <c r="BE48" s="600"/>
      <c r="BF48" s="601"/>
      <c r="BG48" s="599">
        <v>254.02</v>
      </c>
      <c r="BH48" s="600">
        <v>41.1</v>
      </c>
      <c r="BI48" s="601" t="s">
        <v>1130</v>
      </c>
      <c r="BJ48" s="599"/>
      <c r="BK48" s="600"/>
      <c r="BL48" s="601"/>
      <c r="BM48" s="599">
        <v>65.05</v>
      </c>
      <c r="BN48" s="600">
        <v>10.039999999999999</v>
      </c>
      <c r="BO48" s="601" t="s">
        <v>1130</v>
      </c>
      <c r="BP48" s="599"/>
      <c r="BQ48" s="600"/>
      <c r="BR48" s="601"/>
      <c r="BS48" s="599"/>
      <c r="BT48" s="600"/>
      <c r="BU48" s="601"/>
      <c r="BV48" s="599"/>
      <c r="BW48" s="600"/>
      <c r="BX48" s="601"/>
      <c r="BY48" s="599"/>
      <c r="BZ48" s="600"/>
      <c r="CA48" s="601"/>
      <c r="CB48" s="599"/>
      <c r="CC48" s="600"/>
      <c r="CD48" s="601"/>
      <c r="CE48" s="599"/>
      <c r="CF48" s="600"/>
      <c r="CG48" s="601"/>
      <c r="CH48" s="599"/>
      <c r="CI48" s="600"/>
      <c r="CJ48" s="601"/>
      <c r="CK48" s="599"/>
      <c r="CL48" s="600"/>
      <c r="CM48" s="601"/>
      <c r="CN48" s="599"/>
      <c r="CO48" s="600"/>
      <c r="CP48" s="601"/>
      <c r="CQ48" s="599"/>
      <c r="CR48" s="600"/>
      <c r="CS48" s="601"/>
      <c r="CT48" s="599"/>
      <c r="CU48" s="600"/>
      <c r="CV48" s="601"/>
      <c r="CW48" s="599"/>
      <c r="CX48" s="600"/>
      <c r="CY48" s="601"/>
      <c r="CZ48" s="600"/>
      <c r="DA48" s="602"/>
    </row>
    <row r="49" spans="1:105" s="70" customFormat="1" ht="22.5" customHeight="1" x14ac:dyDescent="0.25">
      <c r="A49" s="589" t="s">
        <v>1331</v>
      </c>
      <c r="B49" s="435" t="s">
        <v>1199</v>
      </c>
      <c r="C49" s="435" t="s">
        <v>7</v>
      </c>
      <c r="D49" s="435" t="s">
        <v>6</v>
      </c>
      <c r="E49" s="435">
        <v>27783</v>
      </c>
      <c r="F49" s="435">
        <v>30838</v>
      </c>
      <c r="G49" s="435">
        <f t="shared" ref="G49:G56" si="29">F49-E49</f>
        <v>3055</v>
      </c>
      <c r="H49" s="436">
        <f t="shared" ref="H49:H53" si="30">SUM(K49+N49+Q49+T49+W49+Z49+AC49+AF49+AI49+AL49+AO49+AR49+AU49+AX49+BA49+BD49+BG49+BJ49+BM49+BP49+BS49+BV49+BY49+CB49+CE49+CH49+CK49+CN49+CQ49+CT49+CW49)</f>
        <v>748.69</v>
      </c>
      <c r="I49" s="437">
        <f t="shared" ref="I49:I53" si="31">COUNTA(L49,O49,R49,U49,X49,AA49,AD49,AG49,AJ49,AM49,AP49,AS49,AV49,AY49,BB49,BE49,BH49,BK49,BN49,BQ49,BT49,BW49,BZ49,CC49,CF49,CI49,CL49,CO49,CR49,CU49,CX49)</f>
        <v>4</v>
      </c>
      <c r="J49" s="435" t="s">
        <v>76</v>
      </c>
      <c r="K49" s="590">
        <v>217.91</v>
      </c>
      <c r="L49" s="591">
        <v>35.26</v>
      </c>
      <c r="M49" s="592" t="s">
        <v>1130</v>
      </c>
      <c r="N49" s="590"/>
      <c r="O49" s="591"/>
      <c r="P49" s="592"/>
      <c r="Q49" s="590"/>
      <c r="R49" s="591"/>
      <c r="S49" s="592"/>
      <c r="T49" s="590"/>
      <c r="U49" s="591"/>
      <c r="V49" s="592"/>
      <c r="W49" s="590"/>
      <c r="X49" s="591"/>
      <c r="Y49" s="592"/>
      <c r="Z49" s="590"/>
      <c r="AA49" s="591"/>
      <c r="AB49" s="592"/>
      <c r="AC49" s="590"/>
      <c r="AD49" s="591"/>
      <c r="AE49" s="592"/>
      <c r="AF49" s="590"/>
      <c r="AG49" s="591"/>
      <c r="AH49" s="592"/>
      <c r="AI49" s="590"/>
      <c r="AJ49" s="591"/>
      <c r="AK49" s="592"/>
      <c r="AL49" s="590">
        <v>200.03</v>
      </c>
      <c r="AM49" s="591">
        <v>32.36</v>
      </c>
      <c r="AN49" s="592" t="s">
        <v>1130</v>
      </c>
      <c r="AO49" s="590"/>
      <c r="AP49" s="591"/>
      <c r="AQ49" s="592"/>
      <c r="AR49" s="590"/>
      <c r="AS49" s="591"/>
      <c r="AT49" s="592"/>
      <c r="AU49" s="590"/>
      <c r="AV49" s="591"/>
      <c r="AW49" s="592"/>
      <c r="AX49" s="590"/>
      <c r="AY49" s="591"/>
      <c r="AZ49" s="592"/>
      <c r="BA49" s="590">
        <v>172.65</v>
      </c>
      <c r="BB49" s="591">
        <v>27.93</v>
      </c>
      <c r="BC49" s="592" t="s">
        <v>1130</v>
      </c>
      <c r="BD49" s="590"/>
      <c r="BE49" s="591"/>
      <c r="BF49" s="592"/>
      <c r="BG49" s="590"/>
      <c r="BH49" s="591"/>
      <c r="BI49" s="592"/>
      <c r="BJ49" s="590"/>
      <c r="BK49" s="591"/>
      <c r="BL49" s="592"/>
      <c r="BM49" s="590"/>
      <c r="BN49" s="591"/>
      <c r="BO49" s="592"/>
      <c r="BP49" s="590"/>
      <c r="BQ49" s="591"/>
      <c r="BR49" s="592"/>
      <c r="BS49" s="590"/>
      <c r="BT49" s="591"/>
      <c r="BU49" s="592"/>
      <c r="BV49" s="590"/>
      <c r="BW49" s="591"/>
      <c r="BX49" s="592"/>
      <c r="BY49" s="590"/>
      <c r="BZ49" s="591"/>
      <c r="CA49" s="592"/>
      <c r="CB49" s="590">
        <v>158.1</v>
      </c>
      <c r="CC49" s="591">
        <v>25.58</v>
      </c>
      <c r="CD49" s="586" t="s">
        <v>1130</v>
      </c>
      <c r="CE49" s="590"/>
      <c r="CF49" s="591"/>
      <c r="CG49" s="592"/>
      <c r="CH49" s="590"/>
      <c r="CI49" s="591"/>
      <c r="CJ49" s="592"/>
      <c r="CK49" s="590"/>
      <c r="CL49" s="591"/>
      <c r="CM49" s="592"/>
      <c r="CN49" s="590"/>
      <c r="CO49" s="591"/>
      <c r="CP49" s="592"/>
      <c r="CQ49" s="590"/>
      <c r="CR49" s="591"/>
      <c r="CS49" s="592"/>
      <c r="CT49" s="590"/>
      <c r="CU49" s="591"/>
      <c r="CV49" s="592"/>
      <c r="CW49" s="590"/>
      <c r="CX49" s="591"/>
      <c r="CY49" s="592"/>
      <c r="CZ49" s="591"/>
      <c r="DA49" s="593"/>
    </row>
    <row r="50" spans="1:105" s="70" customFormat="1" ht="22.5" customHeight="1" x14ac:dyDescent="0.25">
      <c r="A50" s="594" t="s">
        <v>1082</v>
      </c>
      <c r="B50" s="446" t="s">
        <v>1490</v>
      </c>
      <c r="C50" s="446" t="s">
        <v>194</v>
      </c>
      <c r="D50" s="446" t="s">
        <v>6</v>
      </c>
      <c r="E50" s="446"/>
      <c r="F50" s="446"/>
      <c r="G50" s="446">
        <f t="shared" si="29"/>
        <v>0</v>
      </c>
      <c r="H50" s="541">
        <f>SUM(K50+N50+Q50+T50+W50+Z50+AC50+AF50+AI50+AL50+AO50+AR50+AU50+AX50+BA50+BD50+BG50+BJ50+BM50+BP50+BS50+BV50+BY50+CB50+CE50+CH50+CK50+CN50+CQ50+CT50+CW50)</f>
        <v>386.6</v>
      </c>
      <c r="I50" s="542">
        <f t="shared" si="31"/>
        <v>3</v>
      </c>
      <c r="J50" s="446" t="s">
        <v>76</v>
      </c>
      <c r="K50" s="587">
        <v>175.16</v>
      </c>
      <c r="L50" s="446">
        <v>28.34</v>
      </c>
      <c r="M50" s="586" t="s">
        <v>1130</v>
      </c>
      <c r="N50" s="587"/>
      <c r="O50" s="448"/>
      <c r="P50" s="586"/>
      <c r="Q50" s="587">
        <v>100.03</v>
      </c>
      <c r="R50" s="448">
        <v>16.190000000000001</v>
      </c>
      <c r="S50" s="586" t="s">
        <v>1130</v>
      </c>
      <c r="T50" s="587"/>
      <c r="U50" s="448"/>
      <c r="V50" s="586"/>
      <c r="W50" s="587"/>
      <c r="X50" s="448"/>
      <c r="Y50" s="586"/>
      <c r="Z50" s="587"/>
      <c r="AA50" s="448"/>
      <c r="AB50" s="586"/>
      <c r="AC50" s="587"/>
      <c r="AD50" s="448"/>
      <c r="AE50" s="586"/>
      <c r="AF50" s="587">
        <v>111.41</v>
      </c>
      <c r="AG50" s="448">
        <v>18.02</v>
      </c>
      <c r="AH50" s="586" t="s">
        <v>1130</v>
      </c>
      <c r="AI50" s="587"/>
      <c r="AJ50" s="448"/>
      <c r="AK50" s="586"/>
      <c r="AL50" s="587"/>
      <c r="AM50" s="448"/>
      <c r="AN50" s="586"/>
      <c r="AO50" s="587"/>
      <c r="AP50" s="448"/>
      <c r="AQ50" s="586"/>
      <c r="AR50" s="587"/>
      <c r="AS50" s="448"/>
      <c r="AT50" s="586"/>
      <c r="AU50" s="587"/>
      <c r="AV50" s="448"/>
      <c r="AW50" s="586"/>
      <c r="AX50" s="587"/>
      <c r="AY50" s="448"/>
      <c r="AZ50" s="586"/>
      <c r="BA50" s="587"/>
      <c r="BB50" s="448"/>
      <c r="BC50" s="586"/>
      <c r="BD50" s="587"/>
      <c r="BE50" s="448"/>
      <c r="BF50" s="586"/>
      <c r="BG50" s="587"/>
      <c r="BH50" s="448"/>
      <c r="BI50" s="586"/>
      <c r="BJ50" s="587"/>
      <c r="BK50" s="448"/>
      <c r="BL50" s="586"/>
      <c r="BM50" s="587"/>
      <c r="BN50" s="448"/>
      <c r="BO50" s="586"/>
      <c r="BP50" s="587"/>
      <c r="BQ50" s="448"/>
      <c r="BR50" s="586"/>
      <c r="BS50" s="587"/>
      <c r="BT50" s="448"/>
      <c r="BU50" s="586"/>
      <c r="BV50" s="587"/>
      <c r="BW50" s="448"/>
      <c r="BX50" s="586"/>
      <c r="BY50" s="587"/>
      <c r="BZ50" s="448"/>
      <c r="CA50" s="586"/>
      <c r="CB50" s="587"/>
      <c r="CC50" s="448"/>
      <c r="CD50" s="586"/>
      <c r="CE50" s="587"/>
      <c r="CF50" s="448"/>
      <c r="CG50" s="586"/>
      <c r="CH50" s="587"/>
      <c r="CI50" s="448"/>
      <c r="CJ50" s="586"/>
      <c r="CK50" s="587"/>
      <c r="CL50" s="448"/>
      <c r="CM50" s="586"/>
      <c r="CN50" s="587"/>
      <c r="CO50" s="448"/>
      <c r="CP50" s="586"/>
      <c r="CQ50" s="587"/>
      <c r="CR50" s="448"/>
      <c r="CS50" s="586"/>
      <c r="CT50" s="587"/>
      <c r="CU50" s="448"/>
      <c r="CV50" s="586"/>
      <c r="CW50" s="587"/>
      <c r="CX50" s="448"/>
      <c r="CY50" s="586"/>
      <c r="CZ50" s="448"/>
      <c r="DA50" s="595"/>
    </row>
    <row r="51" spans="1:105" s="70" customFormat="1" ht="22.5" customHeight="1" x14ac:dyDescent="0.25">
      <c r="A51" s="594" t="s">
        <v>1360</v>
      </c>
      <c r="B51" s="446" t="s">
        <v>1318</v>
      </c>
      <c r="C51" s="446" t="s">
        <v>7</v>
      </c>
      <c r="D51" s="446" t="s">
        <v>6</v>
      </c>
      <c r="E51" s="446">
        <v>6902</v>
      </c>
      <c r="F51" s="446">
        <v>7314</v>
      </c>
      <c r="G51" s="446">
        <f t="shared" si="29"/>
        <v>412</v>
      </c>
      <c r="H51" s="541">
        <f t="shared" si="30"/>
        <v>104.9</v>
      </c>
      <c r="I51" s="542">
        <f t="shared" si="31"/>
        <v>1</v>
      </c>
      <c r="J51" s="446" t="s">
        <v>76</v>
      </c>
      <c r="K51" s="587"/>
      <c r="L51" s="448"/>
      <c r="M51" s="588"/>
      <c r="N51" s="587"/>
      <c r="O51" s="448"/>
      <c r="P51" s="588"/>
      <c r="Q51" s="587">
        <v>104.9</v>
      </c>
      <c r="R51" s="448">
        <v>16.97</v>
      </c>
      <c r="S51" s="588" t="s">
        <v>1130</v>
      </c>
      <c r="T51" s="587"/>
      <c r="U51" s="448"/>
      <c r="V51" s="588"/>
      <c r="W51" s="587"/>
      <c r="X51" s="448"/>
      <c r="Y51" s="588"/>
      <c r="Z51" s="587"/>
      <c r="AA51" s="448"/>
      <c r="AB51" s="588"/>
      <c r="AC51" s="587"/>
      <c r="AD51" s="448"/>
      <c r="AE51" s="588"/>
      <c r="AF51" s="587"/>
      <c r="AG51" s="448"/>
      <c r="AH51" s="588"/>
      <c r="AI51" s="587"/>
      <c r="AJ51" s="448"/>
      <c r="AK51" s="588"/>
      <c r="AL51" s="587"/>
      <c r="AM51" s="448"/>
      <c r="AN51" s="588"/>
      <c r="AO51" s="587"/>
      <c r="AP51" s="448"/>
      <c r="AQ51" s="588"/>
      <c r="AR51" s="587"/>
      <c r="AS51" s="448"/>
      <c r="AT51" s="588"/>
      <c r="AU51" s="587"/>
      <c r="AV51" s="448"/>
      <c r="AW51" s="588"/>
      <c r="AX51" s="587"/>
      <c r="AY51" s="448"/>
      <c r="AZ51" s="588"/>
      <c r="BA51" s="587"/>
      <c r="BB51" s="448"/>
      <c r="BC51" s="588"/>
      <c r="BD51" s="587"/>
      <c r="BE51" s="448"/>
      <c r="BF51" s="588"/>
      <c r="BG51" s="587"/>
      <c r="BH51" s="448"/>
      <c r="BI51" s="588"/>
      <c r="BJ51" s="587"/>
      <c r="BK51" s="448"/>
      <c r="BL51" s="588"/>
      <c r="BM51" s="587"/>
      <c r="BN51" s="448"/>
      <c r="BO51" s="588"/>
      <c r="BP51" s="587"/>
      <c r="BQ51" s="448"/>
      <c r="BR51" s="588"/>
      <c r="BS51" s="587"/>
      <c r="BT51" s="448"/>
      <c r="BU51" s="588"/>
      <c r="BV51" s="587"/>
      <c r="BW51" s="448"/>
      <c r="BX51" s="588"/>
      <c r="BY51" s="587"/>
      <c r="BZ51" s="448"/>
      <c r="CA51" s="588"/>
      <c r="CB51" s="587"/>
      <c r="CC51" s="448"/>
      <c r="CD51" s="588"/>
      <c r="CE51" s="587"/>
      <c r="CF51" s="448"/>
      <c r="CG51" s="588"/>
      <c r="CH51" s="587"/>
      <c r="CI51" s="448"/>
      <c r="CJ51" s="588"/>
      <c r="CK51" s="587"/>
      <c r="CL51" s="448"/>
      <c r="CM51" s="588"/>
      <c r="CN51" s="587"/>
      <c r="CO51" s="448"/>
      <c r="CP51" s="588"/>
      <c r="CQ51" s="587"/>
      <c r="CR51" s="448"/>
      <c r="CS51" s="588"/>
      <c r="CT51" s="587"/>
      <c r="CU51" s="448"/>
      <c r="CV51" s="588"/>
      <c r="CW51" s="587"/>
      <c r="CX51" s="448"/>
      <c r="CY51" s="588"/>
      <c r="CZ51" s="448"/>
      <c r="DA51" s="595"/>
    </row>
    <row r="52" spans="1:105" s="70" customFormat="1" ht="22.5" customHeight="1" x14ac:dyDescent="0.25">
      <c r="A52" s="594" t="s">
        <v>390</v>
      </c>
      <c r="B52" s="124" t="s">
        <v>1220</v>
      </c>
      <c r="C52" s="446" t="s">
        <v>7</v>
      </c>
      <c r="D52" s="446" t="s">
        <v>6</v>
      </c>
      <c r="E52" s="446"/>
      <c r="F52" s="446"/>
      <c r="G52" s="446">
        <f t="shared" si="29"/>
        <v>0</v>
      </c>
      <c r="H52" s="541">
        <f t="shared" si="30"/>
        <v>859.05</v>
      </c>
      <c r="I52" s="542">
        <f t="shared" si="31"/>
        <v>4</v>
      </c>
      <c r="J52" s="446" t="s">
        <v>76</v>
      </c>
      <c r="K52" s="587">
        <v>267.17</v>
      </c>
      <c r="L52" s="448">
        <v>43.23</v>
      </c>
      <c r="M52" s="588" t="s">
        <v>1130</v>
      </c>
      <c r="N52" s="587"/>
      <c r="O52" s="448"/>
      <c r="P52" s="588"/>
      <c r="Q52" s="587">
        <v>80.040000000000006</v>
      </c>
      <c r="R52" s="448">
        <v>12.95</v>
      </c>
      <c r="S52" s="588" t="s">
        <v>1130</v>
      </c>
      <c r="T52" s="587"/>
      <c r="U52" s="448"/>
      <c r="V52" s="588"/>
      <c r="W52" s="587"/>
      <c r="X52" s="448"/>
      <c r="Y52" s="588"/>
      <c r="Z52" s="587"/>
      <c r="AA52" s="448"/>
      <c r="AB52" s="588"/>
      <c r="AC52" s="587"/>
      <c r="AD52" s="448"/>
      <c r="AE52" s="588"/>
      <c r="AF52" s="587"/>
      <c r="AG52" s="448"/>
      <c r="AH52" s="588"/>
      <c r="AI52" s="587"/>
      <c r="AJ52" s="448"/>
      <c r="AK52" s="588"/>
      <c r="AL52" s="587">
        <v>250.76</v>
      </c>
      <c r="AM52" s="448">
        <v>40.57</v>
      </c>
      <c r="AN52" s="588" t="s">
        <v>1130</v>
      </c>
      <c r="AO52" s="587"/>
      <c r="AP52" s="448"/>
      <c r="AQ52" s="588"/>
      <c r="AR52" s="587"/>
      <c r="AS52" s="448"/>
      <c r="AT52" s="588"/>
      <c r="AU52" s="587"/>
      <c r="AV52" s="448"/>
      <c r="AW52" s="588"/>
      <c r="AX52" s="587"/>
      <c r="AY52" s="448"/>
      <c r="AZ52" s="588"/>
      <c r="BA52" s="587"/>
      <c r="BB52" s="448"/>
      <c r="BC52" s="588"/>
      <c r="BD52" s="587"/>
      <c r="BE52" s="448"/>
      <c r="BF52" s="588"/>
      <c r="BG52" s="587"/>
      <c r="BH52" s="448"/>
      <c r="BI52" s="588"/>
      <c r="BJ52" s="587"/>
      <c r="BK52" s="448"/>
      <c r="BL52" s="588"/>
      <c r="BM52" s="587"/>
      <c r="BN52" s="448"/>
      <c r="BO52" s="588"/>
      <c r="BP52" s="587"/>
      <c r="BQ52" s="448"/>
      <c r="BR52" s="588"/>
      <c r="BS52" s="587"/>
      <c r="BT52" s="448"/>
      <c r="BU52" s="588"/>
      <c r="BV52" s="587"/>
      <c r="BW52" s="448"/>
      <c r="BX52" s="588"/>
      <c r="BY52" s="587"/>
      <c r="BZ52" s="448"/>
      <c r="CA52" s="588"/>
      <c r="CB52" s="587">
        <v>261.08</v>
      </c>
      <c r="CC52" s="448">
        <v>42.24</v>
      </c>
      <c r="CD52" s="586" t="s">
        <v>1130</v>
      </c>
      <c r="CE52" s="587"/>
      <c r="CF52" s="448"/>
      <c r="CG52" s="588"/>
      <c r="CH52" s="587"/>
      <c r="CI52" s="448"/>
      <c r="CJ52" s="588"/>
      <c r="CK52" s="587"/>
      <c r="CL52" s="448"/>
      <c r="CM52" s="588"/>
      <c r="CN52" s="587"/>
      <c r="CO52" s="448"/>
      <c r="CP52" s="588"/>
      <c r="CQ52" s="587"/>
      <c r="CR52" s="448"/>
      <c r="CS52" s="588"/>
      <c r="CT52" s="587"/>
      <c r="CU52" s="448"/>
      <c r="CV52" s="588"/>
      <c r="CW52" s="587"/>
      <c r="CX52" s="448"/>
      <c r="CY52" s="588"/>
      <c r="CZ52" s="448"/>
      <c r="DA52" s="595"/>
    </row>
    <row r="53" spans="1:105" s="70" customFormat="1" ht="22.5" customHeight="1" thickBot="1" x14ac:dyDescent="0.3">
      <c r="A53" s="603" t="s">
        <v>1553</v>
      </c>
      <c r="B53" s="611" t="s">
        <v>1558</v>
      </c>
      <c r="C53" s="604" t="s">
        <v>324</v>
      </c>
      <c r="D53" s="604" t="s">
        <v>6</v>
      </c>
      <c r="E53" s="604">
        <v>30004</v>
      </c>
      <c r="F53" s="604">
        <v>31231</v>
      </c>
      <c r="G53" s="604">
        <f t="shared" si="29"/>
        <v>1227</v>
      </c>
      <c r="H53" s="605">
        <f t="shared" si="30"/>
        <v>204.04</v>
      </c>
      <c r="I53" s="606">
        <f t="shared" si="31"/>
        <v>1</v>
      </c>
      <c r="J53" s="604" t="s">
        <v>76</v>
      </c>
      <c r="K53" s="607"/>
      <c r="L53" s="454"/>
      <c r="M53" s="608"/>
      <c r="N53" s="607"/>
      <c r="O53" s="454"/>
      <c r="P53" s="608"/>
      <c r="Q53" s="607"/>
      <c r="R53" s="454"/>
      <c r="S53" s="608"/>
      <c r="T53" s="607"/>
      <c r="U53" s="454"/>
      <c r="V53" s="608"/>
      <c r="W53" s="607"/>
      <c r="X53" s="454"/>
      <c r="Y53" s="608"/>
      <c r="Z53" s="607"/>
      <c r="AA53" s="454"/>
      <c r="AB53" s="608"/>
      <c r="AC53" s="607"/>
      <c r="AD53" s="454"/>
      <c r="AE53" s="608"/>
      <c r="AF53" s="607"/>
      <c r="AG53" s="454"/>
      <c r="AH53" s="608"/>
      <c r="AI53" s="607"/>
      <c r="AJ53" s="454"/>
      <c r="AK53" s="608"/>
      <c r="AL53" s="607"/>
      <c r="AM53" s="454"/>
      <c r="AN53" s="608"/>
      <c r="AO53" s="607"/>
      <c r="AP53" s="454"/>
      <c r="AQ53" s="608"/>
      <c r="AR53" s="607"/>
      <c r="AS53" s="454"/>
      <c r="AT53" s="608"/>
      <c r="AU53" s="607"/>
      <c r="AV53" s="454"/>
      <c r="AW53" s="608"/>
      <c r="AX53" s="607"/>
      <c r="AY53" s="454"/>
      <c r="AZ53" s="608"/>
      <c r="BA53" s="607"/>
      <c r="BB53" s="454"/>
      <c r="BC53" s="608"/>
      <c r="BD53" s="607"/>
      <c r="BE53" s="454"/>
      <c r="BF53" s="608"/>
      <c r="BG53" s="607"/>
      <c r="BH53" s="454"/>
      <c r="BI53" s="608"/>
      <c r="BJ53" s="607"/>
      <c r="BK53" s="454"/>
      <c r="BL53" s="608"/>
      <c r="BM53" s="607"/>
      <c r="BN53" s="454"/>
      <c r="BO53" s="608"/>
      <c r="BP53" s="607"/>
      <c r="BQ53" s="454"/>
      <c r="BR53" s="608"/>
      <c r="BS53" s="607"/>
      <c r="BT53" s="454"/>
      <c r="BU53" s="608"/>
      <c r="BV53" s="607"/>
      <c r="BW53" s="454"/>
      <c r="BX53" s="608"/>
      <c r="BY53" s="607"/>
      <c r="BZ53" s="454"/>
      <c r="CA53" s="608"/>
      <c r="CB53" s="607">
        <v>204.04</v>
      </c>
      <c r="CC53" s="454">
        <v>33.01</v>
      </c>
      <c r="CD53" s="608" t="s">
        <v>1130</v>
      </c>
      <c r="CE53" s="607"/>
      <c r="CF53" s="454"/>
      <c r="CG53" s="608"/>
      <c r="CH53" s="607"/>
      <c r="CI53" s="454"/>
      <c r="CJ53" s="608"/>
      <c r="CK53" s="607"/>
      <c r="CL53" s="454"/>
      <c r="CM53" s="608"/>
      <c r="CN53" s="607"/>
      <c r="CO53" s="454"/>
      <c r="CP53" s="608"/>
      <c r="CQ53" s="607"/>
      <c r="CR53" s="454"/>
      <c r="CS53" s="608"/>
      <c r="CT53" s="607"/>
      <c r="CU53" s="454"/>
      <c r="CV53" s="608"/>
      <c r="CW53" s="607"/>
      <c r="CX53" s="454"/>
      <c r="CY53" s="608"/>
      <c r="CZ53" s="454"/>
      <c r="DA53" s="609"/>
    </row>
    <row r="54" spans="1:105" s="70" customFormat="1" ht="22.5" customHeight="1" thickBot="1" x14ac:dyDescent="0.3">
      <c r="A54" s="589" t="s">
        <v>1331</v>
      </c>
      <c r="B54" s="435" t="s">
        <v>1199</v>
      </c>
      <c r="C54" s="435" t="s">
        <v>7</v>
      </c>
      <c r="D54" s="435" t="s">
        <v>34</v>
      </c>
      <c r="E54" s="435"/>
      <c r="F54" s="435"/>
      <c r="G54" s="435">
        <f t="shared" si="29"/>
        <v>0</v>
      </c>
      <c r="H54" s="436">
        <f t="shared" ref="H54:H56" si="32">SUM(K54+N54+Q54+T54+W54+Z54+AC54+AF54+AI54+AL54+AO54+AR54+AU54+AX54+BA54+BD54+BG54+BJ54+BM54+BP54+BS54+BV54+BY54+CB54+CE54+CH54+CK54+CN54+CQ54+CT54+CW54)</f>
        <v>226.45</v>
      </c>
      <c r="I54" s="437">
        <f t="shared" ref="I54:I56" si="33">COUNTA(L54,O54,R54,U54,X54,AA54,AD54,AG54,AJ54,AM54,AP54,AS54,AV54,AY54,BB54,BE54,BH54,BK54,BN54,BQ54,BT54,BW54,BZ54,CC54,CF54,CI54,CL54,CO54,CR54,CU54,CX54)</f>
        <v>1</v>
      </c>
      <c r="J54" s="435" t="s">
        <v>85</v>
      </c>
      <c r="K54" s="590"/>
      <c r="L54" s="591"/>
      <c r="M54" s="592"/>
      <c r="N54" s="590"/>
      <c r="O54" s="591"/>
      <c r="P54" s="592"/>
      <c r="Q54" s="590"/>
      <c r="R54" s="591"/>
      <c r="S54" s="592"/>
      <c r="T54" s="590"/>
      <c r="U54" s="591"/>
      <c r="V54" s="592"/>
      <c r="W54" s="590"/>
      <c r="X54" s="591"/>
      <c r="Y54" s="592"/>
      <c r="Z54" s="590"/>
      <c r="AA54" s="591"/>
      <c r="AB54" s="592"/>
      <c r="AC54" s="590">
        <v>226.45</v>
      </c>
      <c r="AD54" s="591">
        <v>37.799999999999997</v>
      </c>
      <c r="AE54" s="592" t="s">
        <v>1130</v>
      </c>
      <c r="AF54" s="590"/>
      <c r="AG54" s="591"/>
      <c r="AH54" s="592"/>
      <c r="AI54" s="590"/>
      <c r="AJ54" s="591"/>
      <c r="AK54" s="592"/>
      <c r="AL54" s="590"/>
      <c r="AM54" s="591"/>
      <c r="AN54" s="592"/>
      <c r="AO54" s="590"/>
      <c r="AP54" s="591"/>
      <c r="AQ54" s="592"/>
      <c r="AR54" s="590"/>
      <c r="AS54" s="591"/>
      <c r="AT54" s="592"/>
      <c r="AU54" s="590"/>
      <c r="AV54" s="591"/>
      <c r="AW54" s="592"/>
      <c r="AX54" s="590"/>
      <c r="AY54" s="591"/>
      <c r="AZ54" s="592"/>
      <c r="BA54" s="590"/>
      <c r="BB54" s="591"/>
      <c r="BC54" s="592"/>
      <c r="BD54" s="590"/>
      <c r="BE54" s="591"/>
      <c r="BF54" s="592"/>
      <c r="BG54" s="590"/>
      <c r="BH54" s="591"/>
      <c r="BI54" s="592"/>
      <c r="BJ54" s="590"/>
      <c r="BK54" s="591"/>
      <c r="BL54" s="592"/>
      <c r="BM54" s="590"/>
      <c r="BN54" s="591"/>
      <c r="BO54" s="592"/>
      <c r="BP54" s="590"/>
      <c r="BQ54" s="591"/>
      <c r="BR54" s="592"/>
      <c r="BS54" s="590"/>
      <c r="BT54" s="591"/>
      <c r="BU54" s="592"/>
      <c r="BV54" s="590"/>
      <c r="BW54" s="591"/>
      <c r="BX54" s="592"/>
      <c r="BY54" s="590"/>
      <c r="BZ54" s="591"/>
      <c r="CA54" s="592"/>
      <c r="CB54" s="590"/>
      <c r="CC54" s="591"/>
      <c r="CD54" s="592"/>
      <c r="CE54" s="590"/>
      <c r="CF54" s="591"/>
      <c r="CG54" s="592"/>
      <c r="CH54" s="590"/>
      <c r="CI54" s="591"/>
      <c r="CJ54" s="592"/>
      <c r="CK54" s="590"/>
      <c r="CL54" s="591"/>
      <c r="CM54" s="592"/>
      <c r="CN54" s="590"/>
      <c r="CO54" s="591"/>
      <c r="CP54" s="592"/>
      <c r="CQ54" s="590"/>
      <c r="CR54" s="591"/>
      <c r="CS54" s="592"/>
      <c r="CT54" s="590"/>
      <c r="CU54" s="591"/>
      <c r="CV54" s="592"/>
      <c r="CW54" s="590"/>
      <c r="CX54" s="591"/>
      <c r="CY54" s="592"/>
      <c r="CZ54" s="591"/>
      <c r="DA54" s="593"/>
    </row>
    <row r="55" spans="1:105" s="70" customFormat="1" ht="22.5" customHeight="1" x14ac:dyDescent="0.25">
      <c r="A55" s="594" t="s">
        <v>390</v>
      </c>
      <c r="B55" s="124" t="s">
        <v>1220</v>
      </c>
      <c r="C55" s="446" t="s">
        <v>7</v>
      </c>
      <c r="D55" s="446" t="s">
        <v>34</v>
      </c>
      <c r="E55" s="446"/>
      <c r="F55" s="446"/>
      <c r="G55" s="446">
        <f t="shared" si="29"/>
        <v>0</v>
      </c>
      <c r="H55" s="541">
        <f t="shared" si="32"/>
        <v>253.38</v>
      </c>
      <c r="I55" s="542">
        <f t="shared" si="33"/>
        <v>1</v>
      </c>
      <c r="J55" s="446" t="s">
        <v>85</v>
      </c>
      <c r="K55" s="587"/>
      <c r="L55" s="448"/>
      <c r="M55" s="588"/>
      <c r="N55" s="587"/>
      <c r="O55" s="448"/>
      <c r="P55" s="588"/>
      <c r="Q55" s="587"/>
      <c r="R55" s="448"/>
      <c r="S55" s="588"/>
      <c r="T55" s="587"/>
      <c r="U55" s="448"/>
      <c r="V55" s="588"/>
      <c r="W55" s="587"/>
      <c r="X55" s="448"/>
      <c r="Y55" s="588"/>
      <c r="Z55" s="587"/>
      <c r="AA55" s="448"/>
      <c r="AB55" s="588"/>
      <c r="AC55" s="587">
        <v>253.38</v>
      </c>
      <c r="AD55" s="448">
        <v>42.3</v>
      </c>
      <c r="AE55" s="592" t="s">
        <v>1130</v>
      </c>
      <c r="AF55" s="587"/>
      <c r="AG55" s="448"/>
      <c r="AH55" s="588"/>
      <c r="AI55" s="587"/>
      <c r="AJ55" s="448"/>
      <c r="AK55" s="588"/>
      <c r="AL55" s="587"/>
      <c r="AM55" s="448"/>
      <c r="AN55" s="588"/>
      <c r="AO55" s="587"/>
      <c r="AP55" s="448"/>
      <c r="AQ55" s="588"/>
      <c r="AR55" s="587"/>
      <c r="AS55" s="448"/>
      <c r="AT55" s="588"/>
      <c r="AU55" s="587"/>
      <c r="AV55" s="448"/>
      <c r="AW55" s="588"/>
      <c r="AX55" s="587"/>
      <c r="AY55" s="448"/>
      <c r="AZ55" s="588"/>
      <c r="BA55" s="587"/>
      <c r="BB55" s="448"/>
      <c r="BC55" s="588"/>
      <c r="BD55" s="587"/>
      <c r="BE55" s="448"/>
      <c r="BF55" s="588"/>
      <c r="BG55" s="587"/>
      <c r="BH55" s="448"/>
      <c r="BI55" s="588"/>
      <c r="BJ55" s="587"/>
      <c r="BK55" s="448"/>
      <c r="BL55" s="588"/>
      <c r="BM55" s="587"/>
      <c r="BN55" s="448"/>
      <c r="BO55" s="588"/>
      <c r="BP55" s="587"/>
      <c r="BQ55" s="448"/>
      <c r="BR55" s="588"/>
      <c r="BS55" s="587"/>
      <c r="BT55" s="448"/>
      <c r="BU55" s="588"/>
      <c r="BV55" s="587"/>
      <c r="BW55" s="448"/>
      <c r="BX55" s="588"/>
      <c r="BY55" s="587"/>
      <c r="BZ55" s="448"/>
      <c r="CA55" s="588"/>
      <c r="CB55" s="587"/>
      <c r="CC55" s="448"/>
      <c r="CD55" s="588"/>
      <c r="CE55" s="587"/>
      <c r="CF55" s="448"/>
      <c r="CG55" s="588"/>
      <c r="CH55" s="587"/>
      <c r="CI55" s="448"/>
      <c r="CJ55" s="588"/>
      <c r="CK55" s="587"/>
      <c r="CL55" s="448"/>
      <c r="CM55" s="588"/>
      <c r="CN55" s="587"/>
      <c r="CO55" s="448"/>
      <c r="CP55" s="588"/>
      <c r="CQ55" s="587"/>
      <c r="CR55" s="448"/>
      <c r="CS55" s="588"/>
      <c r="CT55" s="587"/>
      <c r="CU55" s="448"/>
      <c r="CV55" s="588"/>
      <c r="CW55" s="587"/>
      <c r="CX55" s="448"/>
      <c r="CY55" s="588"/>
      <c r="CZ55" s="448"/>
      <c r="DA55" s="595"/>
    </row>
    <row r="56" spans="1:105" s="70" customFormat="1" ht="22.5" customHeight="1" thickBot="1" x14ac:dyDescent="0.3">
      <c r="A56" s="596" t="s">
        <v>1553</v>
      </c>
      <c r="B56" s="610" t="s">
        <v>1558</v>
      </c>
      <c r="C56" s="447" t="s">
        <v>324</v>
      </c>
      <c r="D56" s="447" t="s">
        <v>34</v>
      </c>
      <c r="E56" s="447">
        <v>31231</v>
      </c>
      <c r="F56" s="447">
        <v>33942</v>
      </c>
      <c r="G56" s="447">
        <f t="shared" si="29"/>
        <v>2711</v>
      </c>
      <c r="H56" s="597">
        <f t="shared" si="32"/>
        <v>535.76</v>
      </c>
      <c r="I56" s="598">
        <f t="shared" si="33"/>
        <v>3</v>
      </c>
      <c r="J56" s="447" t="s">
        <v>85</v>
      </c>
      <c r="K56" s="599"/>
      <c r="L56" s="600"/>
      <c r="M56" s="601"/>
      <c r="N56" s="599"/>
      <c r="O56" s="600"/>
      <c r="P56" s="601"/>
      <c r="Q56" s="599"/>
      <c r="R56" s="600"/>
      <c r="S56" s="601"/>
      <c r="T56" s="599"/>
      <c r="U56" s="600"/>
      <c r="V56" s="601"/>
      <c r="W56" s="599"/>
      <c r="X56" s="600"/>
      <c r="Y56" s="601"/>
      <c r="Z56" s="599"/>
      <c r="AA56" s="600"/>
      <c r="AB56" s="601"/>
      <c r="AC56" s="599">
        <f>90.02+138.99</f>
        <v>229.01</v>
      </c>
      <c r="AD56" s="600">
        <f>15.03+23.2</f>
        <v>38.229999999999997</v>
      </c>
      <c r="AE56" s="601" t="s">
        <v>1130</v>
      </c>
      <c r="AF56" s="599"/>
      <c r="AG56" s="600"/>
      <c r="AH56" s="601"/>
      <c r="AI56" s="599"/>
      <c r="AJ56" s="600"/>
      <c r="AK56" s="601"/>
      <c r="AL56" s="599"/>
      <c r="AM56" s="600"/>
      <c r="AN56" s="601"/>
      <c r="AO56" s="599"/>
      <c r="AP56" s="600"/>
      <c r="AQ56" s="601"/>
      <c r="AR56" s="599"/>
      <c r="AS56" s="600"/>
      <c r="AT56" s="601"/>
      <c r="AU56" s="599"/>
      <c r="AV56" s="600"/>
      <c r="AW56" s="601"/>
      <c r="AX56" s="599">
        <v>166.03</v>
      </c>
      <c r="AY56" s="600">
        <v>27.71</v>
      </c>
      <c r="AZ56" s="601" t="s">
        <v>1130</v>
      </c>
      <c r="BA56" s="599"/>
      <c r="BB56" s="600"/>
      <c r="BC56" s="601"/>
      <c r="BD56" s="599"/>
      <c r="BE56" s="600"/>
      <c r="BF56" s="601"/>
      <c r="BG56" s="599"/>
      <c r="BH56" s="600"/>
      <c r="BI56" s="601"/>
      <c r="BJ56" s="599"/>
      <c r="BK56" s="600"/>
      <c r="BL56" s="601"/>
      <c r="BM56" s="599"/>
      <c r="BN56" s="600"/>
      <c r="BO56" s="601"/>
      <c r="BP56" s="599"/>
      <c r="BQ56" s="600"/>
      <c r="BR56" s="601"/>
      <c r="BS56" s="599"/>
      <c r="BT56" s="600"/>
      <c r="BU56" s="601"/>
      <c r="BV56" s="599"/>
      <c r="BW56" s="600"/>
      <c r="BX56" s="601"/>
      <c r="BY56" s="599"/>
      <c r="BZ56" s="600"/>
      <c r="CA56" s="601"/>
      <c r="CB56" s="599"/>
      <c r="CC56" s="600"/>
      <c r="CD56" s="601"/>
      <c r="CE56" s="599"/>
      <c r="CF56" s="600"/>
      <c r="CG56" s="601"/>
      <c r="CH56" s="599"/>
      <c r="CI56" s="600"/>
      <c r="CJ56" s="601"/>
      <c r="CK56" s="599"/>
      <c r="CL56" s="600"/>
      <c r="CM56" s="601"/>
      <c r="CN56" s="599">
        <v>140.72</v>
      </c>
      <c r="CO56" s="600">
        <v>23.49</v>
      </c>
      <c r="CP56" s="601" t="s">
        <v>1130</v>
      </c>
      <c r="CQ56" s="599"/>
      <c r="CR56" s="600"/>
      <c r="CS56" s="601"/>
      <c r="CT56" s="599"/>
      <c r="CU56" s="600"/>
      <c r="CV56" s="601"/>
      <c r="CW56" s="599"/>
      <c r="CX56" s="600"/>
      <c r="CY56" s="601"/>
      <c r="CZ56" s="600"/>
      <c r="DA56" s="602"/>
    </row>
    <row r="57" spans="1:105" s="70" customFormat="1" ht="22.5" customHeight="1" thickBot="1" x14ac:dyDescent="0.3">
      <c r="A57" s="596" t="s">
        <v>1553</v>
      </c>
      <c r="B57" s="610" t="s">
        <v>1558</v>
      </c>
      <c r="C57" s="447" t="s">
        <v>324</v>
      </c>
      <c r="D57" s="447" t="s">
        <v>34</v>
      </c>
      <c r="E57" s="447"/>
      <c r="F57" s="447"/>
      <c r="G57" s="447"/>
      <c r="H57" s="597">
        <f t="shared" ref="H57" si="34">SUM(K57+N57+Q57+T57+W57+Z57+AC57+AF57+AI57+AL57+AO57+AR57+AU57+AX57+BA57+BD57+BG57+BJ57+BM57+BP57+BS57+BV57+BY57+CB57+CE57+CH57+CK57+CN57+CQ57+CT57+CW57)</f>
        <v>516.80000000000007</v>
      </c>
      <c r="I57" s="598">
        <f t="shared" ref="I57" si="35">COUNTA(L57,O57,R57,U57,X57,AA57,AD57,AG57,AJ57,AM57,AP57,AS57,AV57,AY57,BB57,BE57,BH57,BK57,BN57,BQ57,BT57,BW57,BZ57,CC57,CF57,CI57,CL57,CO57,CR57,CU57,CX57)</f>
        <v>3</v>
      </c>
      <c r="J57" s="447" t="s">
        <v>77</v>
      </c>
      <c r="K57" s="599"/>
      <c r="L57" s="600"/>
      <c r="M57" s="601"/>
      <c r="N57" s="599"/>
      <c r="O57" s="600"/>
      <c r="P57" s="601"/>
      <c r="Q57" s="599">
        <v>65.06</v>
      </c>
      <c r="R57" s="600">
        <v>10.86</v>
      </c>
      <c r="S57" s="601" t="s">
        <v>1130</v>
      </c>
      <c r="T57" s="599"/>
      <c r="U57" s="600"/>
      <c r="V57" s="601"/>
      <c r="W57" s="599"/>
      <c r="X57" s="600"/>
      <c r="Y57" s="601"/>
      <c r="Z57" s="599"/>
      <c r="AA57" s="600"/>
      <c r="AB57" s="601"/>
      <c r="AC57" s="599"/>
      <c r="AD57" s="600"/>
      <c r="AE57" s="601"/>
      <c r="AF57" s="599"/>
      <c r="AG57" s="600"/>
      <c r="AH57" s="601"/>
      <c r="AI57" s="599"/>
      <c r="AJ57" s="600"/>
      <c r="AK57" s="601"/>
      <c r="AL57" s="599"/>
      <c r="AM57" s="600"/>
      <c r="AN57" s="601"/>
      <c r="AO57" s="599"/>
      <c r="AP57" s="600"/>
      <c r="AQ57" s="601"/>
      <c r="AR57" s="599">
        <v>225.65</v>
      </c>
      <c r="AS57" s="600">
        <v>36.99</v>
      </c>
      <c r="AT57" s="601" t="s">
        <v>1130</v>
      </c>
      <c r="AU57" s="599"/>
      <c r="AV57" s="600"/>
      <c r="AW57" s="601"/>
      <c r="AX57" s="599"/>
      <c r="AY57" s="600"/>
      <c r="AZ57" s="601"/>
      <c r="BA57" s="599"/>
      <c r="BB57" s="600"/>
      <c r="BC57" s="601"/>
      <c r="BD57" s="599"/>
      <c r="BE57" s="600"/>
      <c r="BF57" s="601"/>
      <c r="BG57" s="599">
        <v>226.09</v>
      </c>
      <c r="BH57" s="600">
        <v>37.06</v>
      </c>
      <c r="BI57" s="601" t="s">
        <v>1130</v>
      </c>
      <c r="BJ57" s="599"/>
      <c r="BK57" s="600"/>
      <c r="BL57" s="601"/>
      <c r="BM57" s="599"/>
      <c r="BN57" s="600"/>
      <c r="BO57" s="601"/>
      <c r="BP57" s="599"/>
      <c r="BQ57" s="600"/>
      <c r="BR57" s="601"/>
      <c r="BS57" s="599"/>
      <c r="BT57" s="600"/>
      <c r="BU57" s="601"/>
      <c r="BV57" s="599"/>
      <c r="BW57" s="600"/>
      <c r="BX57" s="601"/>
      <c r="BY57" s="599"/>
      <c r="BZ57" s="600"/>
      <c r="CA57" s="601"/>
      <c r="CB57" s="599"/>
      <c r="CC57" s="600"/>
      <c r="CD57" s="601"/>
      <c r="CE57" s="599"/>
      <c r="CF57" s="600"/>
      <c r="CG57" s="601"/>
      <c r="CH57" s="599"/>
      <c r="CI57" s="600"/>
      <c r="CJ57" s="601"/>
      <c r="CK57" s="599"/>
      <c r="CL57" s="600"/>
      <c r="CM57" s="601"/>
      <c r="CN57" s="599"/>
      <c r="CO57" s="600"/>
      <c r="CP57" s="601"/>
      <c r="CQ57" s="599"/>
      <c r="CR57" s="600"/>
      <c r="CS57" s="601"/>
      <c r="CT57" s="599"/>
      <c r="CU57" s="600"/>
      <c r="CV57" s="601"/>
      <c r="CW57" s="599"/>
      <c r="CX57" s="600"/>
      <c r="CY57" s="601"/>
      <c r="CZ57" s="600"/>
      <c r="DA57" s="602"/>
    </row>
  </sheetData>
  <autoFilter ref="A2:DA48" xr:uid="{00000000-0009-0000-0000-000008000000}"/>
  <mergeCells count="34">
    <mergeCell ref="CT1:CV1"/>
    <mergeCell ref="CW1:CY1"/>
    <mergeCell ref="CZ1:CZ2"/>
    <mergeCell ref="DA1:DA2"/>
    <mergeCell ref="CB1:CD1"/>
    <mergeCell ref="CE1:CG1"/>
    <mergeCell ref="CH1:CJ1"/>
    <mergeCell ref="CK1:CM1"/>
    <mergeCell ref="CN1:CP1"/>
    <mergeCell ref="CQ1:CS1"/>
    <mergeCell ref="BY1:CA1"/>
    <mergeCell ref="AR1:AT1"/>
    <mergeCell ref="AU1:AW1"/>
    <mergeCell ref="AX1:AZ1"/>
    <mergeCell ref="BA1:BC1"/>
    <mergeCell ref="BD1:BF1"/>
    <mergeCell ref="BG1:BI1"/>
    <mergeCell ref="BJ1:BL1"/>
    <mergeCell ref="BM1:BO1"/>
    <mergeCell ref="BP1:BR1"/>
    <mergeCell ref="BS1:BU1"/>
    <mergeCell ref="BV1:BX1"/>
    <mergeCell ref="AO1:AQ1"/>
    <mergeCell ref="C1:J1"/>
    <mergeCell ref="K1:M1"/>
    <mergeCell ref="N1:P1"/>
    <mergeCell ref="Q1:S1"/>
    <mergeCell ref="T1:V1"/>
    <mergeCell ref="W1:Y1"/>
    <mergeCell ref="Z1:AB1"/>
    <mergeCell ref="AC1:AE1"/>
    <mergeCell ref="AF1:AH1"/>
    <mergeCell ref="AI1:AK1"/>
    <mergeCell ref="AL1:AN1"/>
  </mergeCells>
  <phoneticPr fontId="10" type="noConversion"/>
  <conditionalFormatting sqref="A40 C40">
    <cfRule type="cellIs" dxfId="41" priority="23" operator="equal">
      <formula>0</formula>
    </cfRule>
  </conditionalFormatting>
  <conditionalFormatting sqref="A44 C44">
    <cfRule type="cellIs" dxfId="40" priority="17" operator="equal">
      <formula>0</formula>
    </cfRule>
  </conditionalFormatting>
  <conditionalFormatting sqref="A48 C48">
    <cfRule type="cellIs" dxfId="39" priority="15" operator="equal">
      <formula>0</formula>
    </cfRule>
  </conditionalFormatting>
  <conditionalFormatting sqref="A52:A53 C52:C53">
    <cfRule type="cellIs" dxfId="38" priority="3" operator="equal">
      <formula>0</formula>
    </cfRule>
  </conditionalFormatting>
  <conditionalFormatting sqref="A55:A57 C55:D57">
    <cfRule type="cellIs" dxfId="37" priority="8" operator="equal">
      <formula>0</formula>
    </cfRule>
  </conditionalFormatting>
  <conditionalFormatting sqref="A3:C30 A31 C31 A32:C34 A36:C39">
    <cfRule type="cellIs" dxfId="36" priority="60" operator="equal">
      <formula>0</formula>
    </cfRule>
  </conditionalFormatting>
  <conditionalFormatting sqref="D22:D53 A35 C35 A41:C43 A45:C47 A49:C51 A54:D54">
    <cfRule type="cellIs" dxfId="35" priority="28" operator="equal">
      <formula>0</formula>
    </cfRule>
  </conditionalFormatting>
  <conditionalFormatting sqref="D13:AG13">
    <cfRule type="cellIs" dxfId="34" priority="54" operator="equal">
      <formula>0</formula>
    </cfRule>
  </conditionalFormatting>
  <conditionalFormatting sqref="D4:XFD7 D21:G21">
    <cfRule type="cellIs" dxfId="33" priority="137" operator="equal">
      <formula>0</formula>
    </cfRule>
  </conditionalFormatting>
  <conditionalFormatting sqref="E54:F57">
    <cfRule type="cellIs" dxfId="32" priority="5" operator="equal">
      <formula>0</formula>
    </cfRule>
  </conditionalFormatting>
  <conditionalFormatting sqref="E9:AB10">
    <cfRule type="cellIs" dxfId="31" priority="55" operator="equal">
      <formula>0</formula>
    </cfRule>
  </conditionalFormatting>
  <conditionalFormatting sqref="E8:DA8 AC9:AV9 AC10:AG10 AI10:AV10">
    <cfRule type="cellIs" dxfId="30" priority="59" operator="equal">
      <formula>0</formula>
    </cfRule>
  </conditionalFormatting>
  <conditionalFormatting sqref="E14:DA16">
    <cfRule type="cellIs" dxfId="29" priority="32" operator="equal">
      <formula>0</formula>
    </cfRule>
  </conditionalFormatting>
  <conditionalFormatting sqref="E22:DA25 E26 G26:DA26">
    <cfRule type="cellIs" dxfId="28" priority="68" operator="equal">
      <formula>0</formula>
    </cfRule>
  </conditionalFormatting>
  <conditionalFormatting sqref="E27:DA37 G38:DA38">
    <cfRule type="cellIs" dxfId="27" priority="25" operator="equal">
      <formula>0</formula>
    </cfRule>
  </conditionalFormatting>
  <conditionalFormatting sqref="E39:DA53">
    <cfRule type="cellIs" dxfId="26" priority="12" operator="equal">
      <formula>0</formula>
    </cfRule>
  </conditionalFormatting>
  <conditionalFormatting sqref="G2:G3 D3:F3 H3:XFD3 D8:D12 AI11:BQ11 E11:AG12 D14:D20 E17:G20 H17:DA21">
    <cfRule type="cellIs" dxfId="25" priority="147" operator="equal">
      <formula>0</formula>
    </cfRule>
  </conditionalFormatting>
  <conditionalFormatting sqref="G54:G1048576">
    <cfRule type="cellIs" dxfId="24" priority="2" operator="equal">
      <formula>0</formula>
    </cfRule>
  </conditionalFormatting>
  <conditionalFormatting sqref="H54:DA57">
    <cfRule type="cellIs" dxfId="23" priority="1" operator="equal">
      <formula>0</formula>
    </cfRule>
  </conditionalFormatting>
  <conditionalFormatting sqref="K3:DA4">
    <cfRule type="cellIs" dxfId="22" priority="149" operator="equal">
      <formula>0</formula>
    </cfRule>
  </conditionalFormatting>
  <conditionalFormatting sqref="AH10:AH13">
    <cfRule type="cellIs" dxfId="21" priority="50" operator="equal">
      <formula>0</formula>
    </cfRule>
  </conditionalFormatting>
  <conditionalFormatting sqref="AI12:DA13">
    <cfRule type="cellIs" dxfId="20" priority="34" operator="equal">
      <formula>0</formula>
    </cfRule>
  </conditionalFormatting>
  <conditionalFormatting sqref="AW9:BQ10">
    <cfRule type="cellIs" dxfId="19" priority="44" operator="equal">
      <formula>0</formula>
    </cfRule>
  </conditionalFormatting>
  <conditionalFormatting sqref="BR9:DA11">
    <cfRule type="cellIs" dxfId="18" priority="33" operator="equal">
      <formula>0</formula>
    </cfRule>
  </conditionalFormatting>
  <conditionalFormatting sqref="DB8:XFD57">
    <cfRule type="cellIs" dxfId="17" priority="9" operator="equal">
      <formula>0</formula>
    </cfRule>
  </conditionalFormatting>
  <dataValidations count="1">
    <dataValidation type="list" allowBlank="1" showInputMessage="1" showErrorMessage="1" sqref="BL3:BL54 M3:M54 BX3:BX54 CP3:CP54 P3:P54 V3:V54 Y3:Y54 AB3:AB54 S3:S54 AE3:AE55 AN3:AN54 AK3:AK54 AT3:AT54 AQ3:AQ54 AZ3:AZ54 AW3:AW54 BI3:BI54 AH3:AH54 BF3:BF54 BO3:BO54 CY3:CY54 CV3:CV54 CM3:CM54 CG3:CG54 CJ3:CJ54 BU3:BU54 BC3:BC54 CA3:CA54 BR3:BR54 CS3:CS54 CD3:CD54 BI57" xr:uid="{00000000-0002-0000-0800-000000000000}">
      <formula1>"VALE DO MOXOTÓ, POSTO AVULSO"</formula1>
    </dataValidation>
  </dataValidations>
  <pageMargins left="0.51181102362204722" right="0.51181102362204722" top="0.78740157480314965" bottom="0.78740157480314965"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A20"/>
  <sheetViews>
    <sheetView workbookViewId="0">
      <pane xSplit="4" ySplit="2" topLeftCell="E11" activePane="bottomRight" state="frozen"/>
      <selection pane="topRight" activeCell="E1" sqref="E1"/>
      <selection pane="bottomLeft" activeCell="A3" sqref="A3"/>
      <selection pane="bottomRight" activeCell="H19" sqref="H19"/>
    </sheetView>
  </sheetViews>
  <sheetFormatPr defaultRowHeight="15" x14ac:dyDescent="0.25"/>
  <cols>
    <col min="1" max="1" width="20.85546875" bestFit="1" customWidth="1"/>
    <col min="2" max="2" width="8.5703125" bestFit="1" customWidth="1"/>
    <col min="3" max="3" width="8.85546875" bestFit="1" customWidth="1"/>
    <col min="4" max="4" width="6.7109375" bestFit="1" customWidth="1"/>
    <col min="5" max="5" width="8.7109375" customWidth="1"/>
    <col min="6" max="6" width="8.5703125" bestFit="1" customWidth="1"/>
    <col min="7" max="7" width="11.7109375" customWidth="1"/>
    <col min="8" max="8" width="12.7109375" bestFit="1" customWidth="1"/>
    <col min="9" max="10" width="15.140625" customWidth="1"/>
    <col min="11" max="11" width="12.28515625" bestFit="1" customWidth="1"/>
    <col min="12" max="12" width="6.28515625" bestFit="1" customWidth="1"/>
    <col min="13" max="13" width="11.5703125" bestFit="1" customWidth="1"/>
    <col min="14" max="14" width="8.85546875" bestFit="1" customWidth="1"/>
    <col min="15" max="16" width="6.28515625" bestFit="1" customWidth="1"/>
    <col min="17" max="17" width="8.85546875" bestFit="1" customWidth="1"/>
    <col min="18" max="19" width="6.28515625" bestFit="1" customWidth="1"/>
    <col min="20" max="20" width="8.85546875" bestFit="1" customWidth="1"/>
    <col min="21" max="22" width="6.28515625" bestFit="1" customWidth="1"/>
    <col min="23" max="23" width="8.85546875" bestFit="1" customWidth="1"/>
    <col min="24" max="25" width="6.28515625" bestFit="1" customWidth="1"/>
    <col min="26" max="26" width="8.85546875" bestFit="1" customWidth="1"/>
    <col min="27" max="27" width="6.28515625" bestFit="1" customWidth="1"/>
    <col min="28" max="28" width="11.5703125" bestFit="1" customWidth="1"/>
    <col min="29" max="29" width="8.85546875" bestFit="1" customWidth="1"/>
    <col min="30" max="30" width="6.28515625" bestFit="1" customWidth="1"/>
    <col min="31" max="31" width="9.28515625" bestFit="1" customWidth="1"/>
    <col min="32" max="32" width="8.85546875" bestFit="1" customWidth="1"/>
    <col min="33" max="33" width="6.28515625" bestFit="1" customWidth="1"/>
    <col min="34" max="34" width="11.5703125" bestFit="1" customWidth="1"/>
    <col min="35" max="35" width="8.85546875" bestFit="1" customWidth="1"/>
    <col min="36" max="37" width="6.28515625" bestFit="1" customWidth="1"/>
    <col min="38" max="38" width="8.85546875" bestFit="1" customWidth="1"/>
    <col min="39" max="40" width="6.28515625" bestFit="1" customWidth="1"/>
    <col min="41" max="41" width="8.85546875" bestFit="1" customWidth="1"/>
    <col min="42" max="43" width="6.28515625" bestFit="1" customWidth="1"/>
    <col min="44" max="44" width="8.85546875" bestFit="1" customWidth="1"/>
    <col min="45" max="45" width="6.28515625" bestFit="1" customWidth="1"/>
    <col min="46" max="46" width="11.5703125" bestFit="1" customWidth="1"/>
    <col min="47" max="47" width="8.85546875" bestFit="1" customWidth="1"/>
    <col min="48" max="48" width="6.28515625" bestFit="1" customWidth="1"/>
    <col min="49" max="49" width="9.28515625" bestFit="1" customWidth="1"/>
    <col min="50" max="50" width="8.85546875" bestFit="1" customWidth="1"/>
    <col min="51" max="52" width="6.28515625" bestFit="1" customWidth="1"/>
    <col min="53" max="53" width="8.85546875" bestFit="1" customWidth="1"/>
    <col min="54" max="55" width="6.28515625" bestFit="1" customWidth="1"/>
    <col min="56" max="56" width="8.85546875" bestFit="1" customWidth="1"/>
    <col min="57" max="57" width="6.28515625" bestFit="1" customWidth="1"/>
    <col min="58" max="58" width="11.5703125" bestFit="1" customWidth="1"/>
    <col min="59" max="59" width="8.85546875" bestFit="1" customWidth="1"/>
    <col min="60" max="61" width="6.28515625" bestFit="1" customWidth="1"/>
    <col min="62" max="62" width="8.85546875" bestFit="1" customWidth="1"/>
    <col min="63" max="64" width="6.28515625" bestFit="1" customWidth="1"/>
    <col min="65" max="65" width="8.85546875" bestFit="1" customWidth="1"/>
    <col min="66" max="66" width="6.28515625" bestFit="1" customWidth="1"/>
    <col min="67" max="67" width="11.5703125" bestFit="1" customWidth="1"/>
    <col min="68" max="68" width="8.85546875" bestFit="1" customWidth="1"/>
    <col min="69" max="69" width="6.28515625" bestFit="1" customWidth="1"/>
    <col min="70" max="70" width="11.5703125" bestFit="1" customWidth="1"/>
    <col min="71" max="71" width="8.85546875" bestFit="1" customWidth="1"/>
    <col min="72" max="72" width="6.28515625" bestFit="1" customWidth="1"/>
    <col min="73" max="73" width="11.5703125" bestFit="1" customWidth="1"/>
    <col min="74" max="74" width="8.85546875" bestFit="1" customWidth="1"/>
    <col min="75" max="75" width="6.28515625" bestFit="1" customWidth="1"/>
    <col min="76" max="76" width="11.5703125" bestFit="1" customWidth="1"/>
    <col min="77" max="77" width="8.85546875" bestFit="1" customWidth="1"/>
    <col min="78" max="78" width="6.28515625" bestFit="1" customWidth="1"/>
    <col min="79" max="79" width="11.5703125" bestFit="1" customWidth="1"/>
    <col min="80" max="80" width="8.85546875" bestFit="1" customWidth="1"/>
    <col min="81" max="82" width="6.28515625" bestFit="1" customWidth="1"/>
    <col min="83" max="83" width="8.85546875" bestFit="1" customWidth="1"/>
    <col min="84" max="85" width="6.28515625" bestFit="1" customWidth="1"/>
    <col min="86" max="86" width="8.85546875" bestFit="1" customWidth="1"/>
    <col min="87" max="88" width="6.28515625" bestFit="1" customWidth="1"/>
    <col min="89" max="89" width="8.85546875" bestFit="1" customWidth="1"/>
    <col min="90" max="90" width="6.28515625" bestFit="1" customWidth="1"/>
    <col min="91" max="91" width="11.5703125" bestFit="1" customWidth="1"/>
    <col min="92" max="92" width="7" bestFit="1" customWidth="1"/>
    <col min="93" max="94" width="6.28515625" bestFit="1" customWidth="1"/>
    <col min="95" max="95" width="8.85546875" bestFit="1" customWidth="1"/>
    <col min="96" max="96" width="6.28515625" bestFit="1" customWidth="1"/>
    <col min="97" max="97" width="11.5703125" bestFit="1" customWidth="1"/>
    <col min="98" max="98" width="8.85546875" bestFit="1" customWidth="1"/>
    <col min="99" max="100" width="6.28515625" bestFit="1" customWidth="1"/>
    <col min="101" max="101" width="7" bestFit="1" customWidth="1"/>
    <col min="102" max="103" width="6.28515625" bestFit="1" customWidth="1"/>
    <col min="104" max="104" width="4.140625" bestFit="1" customWidth="1"/>
    <col min="105" max="105" width="6.28515625" bestFit="1" customWidth="1"/>
  </cols>
  <sheetData>
    <row r="1" spans="1:105" ht="38.25" thickBot="1" x14ac:dyDescent="0.3">
      <c r="A1" s="178" t="s">
        <v>505</v>
      </c>
      <c r="B1" s="177">
        <f>COUNTIF(D3:D29,"ATIVO")</f>
        <v>0</v>
      </c>
      <c r="C1" s="771" t="s">
        <v>1104</v>
      </c>
      <c r="D1" s="772"/>
      <c r="E1" s="772"/>
      <c r="F1" s="772"/>
      <c r="G1" s="772"/>
      <c r="H1" s="772"/>
      <c r="I1" s="772"/>
      <c r="J1" s="773"/>
      <c r="K1" s="764" t="s">
        <v>500</v>
      </c>
      <c r="L1" s="752"/>
      <c r="M1" s="752"/>
      <c r="N1" s="752" t="s">
        <v>500</v>
      </c>
      <c r="O1" s="752"/>
      <c r="P1" s="752"/>
      <c r="Q1" s="752" t="s">
        <v>500</v>
      </c>
      <c r="R1" s="752"/>
      <c r="S1" s="752"/>
      <c r="T1" s="752" t="s">
        <v>500</v>
      </c>
      <c r="U1" s="752"/>
      <c r="V1" s="752"/>
      <c r="W1" s="752" t="s">
        <v>500</v>
      </c>
      <c r="X1" s="752"/>
      <c r="Y1" s="752"/>
      <c r="Z1" s="752" t="s">
        <v>500</v>
      </c>
      <c r="AA1" s="752"/>
      <c r="AB1" s="752"/>
      <c r="AC1" s="752" t="s">
        <v>500</v>
      </c>
      <c r="AD1" s="752"/>
      <c r="AE1" s="752"/>
      <c r="AF1" s="752" t="s">
        <v>500</v>
      </c>
      <c r="AG1" s="752"/>
      <c r="AH1" s="752"/>
      <c r="AI1" s="752" t="s">
        <v>500</v>
      </c>
      <c r="AJ1" s="752"/>
      <c r="AK1" s="752"/>
      <c r="AL1" s="752" t="s">
        <v>500</v>
      </c>
      <c r="AM1" s="752"/>
      <c r="AN1" s="752"/>
      <c r="AO1" s="752" t="s">
        <v>500</v>
      </c>
      <c r="AP1" s="752"/>
      <c r="AQ1" s="752"/>
      <c r="AR1" s="752" t="s">
        <v>500</v>
      </c>
      <c r="AS1" s="752"/>
      <c r="AT1" s="752"/>
      <c r="AU1" s="752" t="s">
        <v>500</v>
      </c>
      <c r="AV1" s="752"/>
      <c r="AW1" s="752"/>
      <c r="AX1" s="752" t="s">
        <v>500</v>
      </c>
      <c r="AY1" s="752"/>
      <c r="AZ1" s="752"/>
      <c r="BA1" s="752" t="s">
        <v>500</v>
      </c>
      <c r="BB1" s="752"/>
      <c r="BC1" s="752"/>
      <c r="BD1" s="752" t="s">
        <v>500</v>
      </c>
      <c r="BE1" s="752"/>
      <c r="BF1" s="752"/>
      <c r="BG1" s="752" t="s">
        <v>500</v>
      </c>
      <c r="BH1" s="752"/>
      <c r="BI1" s="752"/>
      <c r="BJ1" s="752" t="s">
        <v>500</v>
      </c>
      <c r="BK1" s="752"/>
      <c r="BL1" s="752"/>
      <c r="BM1" s="752" t="s">
        <v>500</v>
      </c>
      <c r="BN1" s="752"/>
      <c r="BO1" s="752"/>
      <c r="BP1" s="752" t="s">
        <v>500</v>
      </c>
      <c r="BQ1" s="752"/>
      <c r="BR1" s="752"/>
      <c r="BS1" s="752" t="s">
        <v>500</v>
      </c>
      <c r="BT1" s="752"/>
      <c r="BU1" s="752"/>
      <c r="BV1" s="752" t="s">
        <v>500</v>
      </c>
      <c r="BW1" s="752"/>
      <c r="BX1" s="752"/>
      <c r="BY1" s="752" t="s">
        <v>500</v>
      </c>
      <c r="BZ1" s="752"/>
      <c r="CA1" s="752"/>
      <c r="CB1" s="752" t="s">
        <v>500</v>
      </c>
      <c r="CC1" s="752"/>
      <c r="CD1" s="752"/>
      <c r="CE1" s="752" t="s">
        <v>500</v>
      </c>
      <c r="CF1" s="752"/>
      <c r="CG1" s="752"/>
      <c r="CH1" s="752" t="s">
        <v>500</v>
      </c>
      <c r="CI1" s="752"/>
      <c r="CJ1" s="752"/>
      <c r="CK1" s="752" t="s">
        <v>500</v>
      </c>
      <c r="CL1" s="752"/>
      <c r="CM1" s="752"/>
      <c r="CN1" s="752" t="s">
        <v>500</v>
      </c>
      <c r="CO1" s="752"/>
      <c r="CP1" s="752"/>
      <c r="CQ1" s="752" t="s">
        <v>500</v>
      </c>
      <c r="CR1" s="752"/>
      <c r="CS1" s="752"/>
      <c r="CT1" s="752" t="s">
        <v>500</v>
      </c>
      <c r="CU1" s="752"/>
      <c r="CV1" s="752"/>
      <c r="CW1" s="752" t="s">
        <v>500</v>
      </c>
      <c r="CX1" s="752"/>
      <c r="CY1" s="752"/>
      <c r="CZ1" s="765" t="s">
        <v>4</v>
      </c>
      <c r="DA1" s="767" t="s">
        <v>411</v>
      </c>
    </row>
    <row r="2" spans="1:105" ht="26.25" thickBot="1" x14ac:dyDescent="0.3">
      <c r="A2" s="170" t="s">
        <v>67</v>
      </c>
      <c r="B2" s="154" t="s">
        <v>0</v>
      </c>
      <c r="C2" s="154" t="s">
        <v>68</v>
      </c>
      <c r="D2" s="154" t="s">
        <v>24</v>
      </c>
      <c r="E2" s="154" t="s">
        <v>69</v>
      </c>
      <c r="F2" s="154" t="s">
        <v>70</v>
      </c>
      <c r="G2" s="154" t="s">
        <v>71</v>
      </c>
      <c r="H2" s="154" t="s">
        <v>100</v>
      </c>
      <c r="I2" s="205" t="s">
        <v>508</v>
      </c>
      <c r="J2" s="155" t="s">
        <v>72</v>
      </c>
      <c r="K2" s="136" t="s">
        <v>468</v>
      </c>
      <c r="L2" s="136" t="s">
        <v>499</v>
      </c>
      <c r="M2" s="136" t="s">
        <v>466</v>
      </c>
      <c r="N2" s="136" t="s">
        <v>469</v>
      </c>
      <c r="O2" s="136" t="s">
        <v>499</v>
      </c>
      <c r="P2" s="136" t="s">
        <v>466</v>
      </c>
      <c r="Q2" s="136" t="s">
        <v>470</v>
      </c>
      <c r="R2" s="136" t="s">
        <v>499</v>
      </c>
      <c r="S2" s="136" t="s">
        <v>466</v>
      </c>
      <c r="T2" s="136" t="s">
        <v>471</v>
      </c>
      <c r="U2" s="136" t="s">
        <v>499</v>
      </c>
      <c r="V2" s="136" t="s">
        <v>466</v>
      </c>
      <c r="W2" s="136" t="s">
        <v>472</v>
      </c>
      <c r="X2" s="136" t="s">
        <v>499</v>
      </c>
      <c r="Y2" s="136" t="s">
        <v>466</v>
      </c>
      <c r="Z2" s="136" t="s">
        <v>473</v>
      </c>
      <c r="AA2" s="136" t="s">
        <v>499</v>
      </c>
      <c r="AB2" s="136" t="s">
        <v>466</v>
      </c>
      <c r="AC2" s="136" t="s">
        <v>474</v>
      </c>
      <c r="AD2" s="136" t="s">
        <v>499</v>
      </c>
      <c r="AE2" s="136" t="s">
        <v>466</v>
      </c>
      <c r="AF2" s="136" t="s">
        <v>475</v>
      </c>
      <c r="AG2" s="136" t="s">
        <v>499</v>
      </c>
      <c r="AH2" s="136" t="s">
        <v>466</v>
      </c>
      <c r="AI2" s="136" t="s">
        <v>476</v>
      </c>
      <c r="AJ2" s="136" t="s">
        <v>499</v>
      </c>
      <c r="AK2" s="136" t="s">
        <v>466</v>
      </c>
      <c r="AL2" s="136" t="s">
        <v>477</v>
      </c>
      <c r="AM2" s="136" t="s">
        <v>499</v>
      </c>
      <c r="AN2" s="136" t="s">
        <v>466</v>
      </c>
      <c r="AO2" s="136" t="s">
        <v>478</v>
      </c>
      <c r="AP2" s="136" t="s">
        <v>499</v>
      </c>
      <c r="AQ2" s="136" t="s">
        <v>466</v>
      </c>
      <c r="AR2" s="136" t="s">
        <v>479</v>
      </c>
      <c r="AS2" s="136" t="s">
        <v>499</v>
      </c>
      <c r="AT2" s="136" t="s">
        <v>466</v>
      </c>
      <c r="AU2" s="136" t="s">
        <v>480</v>
      </c>
      <c r="AV2" s="136" t="s">
        <v>499</v>
      </c>
      <c r="AW2" s="136" t="s">
        <v>466</v>
      </c>
      <c r="AX2" s="136" t="s">
        <v>481</v>
      </c>
      <c r="AY2" s="136" t="s">
        <v>499</v>
      </c>
      <c r="AZ2" s="136" t="s">
        <v>466</v>
      </c>
      <c r="BA2" s="136" t="s">
        <v>482</v>
      </c>
      <c r="BB2" s="136" t="s">
        <v>499</v>
      </c>
      <c r="BC2" s="136" t="s">
        <v>466</v>
      </c>
      <c r="BD2" s="136" t="s">
        <v>483</v>
      </c>
      <c r="BE2" s="136" t="s">
        <v>499</v>
      </c>
      <c r="BF2" s="136" t="s">
        <v>466</v>
      </c>
      <c r="BG2" s="136" t="s">
        <v>484</v>
      </c>
      <c r="BH2" s="136" t="s">
        <v>499</v>
      </c>
      <c r="BI2" s="136" t="s">
        <v>466</v>
      </c>
      <c r="BJ2" s="136" t="s">
        <v>485</v>
      </c>
      <c r="BK2" s="136" t="s">
        <v>499</v>
      </c>
      <c r="BL2" s="136" t="s">
        <v>466</v>
      </c>
      <c r="BM2" s="136" t="s">
        <v>486</v>
      </c>
      <c r="BN2" s="136" t="s">
        <v>499</v>
      </c>
      <c r="BO2" s="136" t="s">
        <v>466</v>
      </c>
      <c r="BP2" s="136" t="s">
        <v>487</v>
      </c>
      <c r="BQ2" s="136" t="s">
        <v>499</v>
      </c>
      <c r="BR2" s="136" t="s">
        <v>466</v>
      </c>
      <c r="BS2" s="136" t="s">
        <v>488</v>
      </c>
      <c r="BT2" s="136" t="s">
        <v>499</v>
      </c>
      <c r="BU2" s="136" t="s">
        <v>466</v>
      </c>
      <c r="BV2" s="136" t="s">
        <v>489</v>
      </c>
      <c r="BW2" s="136" t="s">
        <v>499</v>
      </c>
      <c r="BX2" s="136" t="s">
        <v>466</v>
      </c>
      <c r="BY2" s="136" t="s">
        <v>490</v>
      </c>
      <c r="BZ2" s="136" t="s">
        <v>499</v>
      </c>
      <c r="CA2" s="136" t="s">
        <v>466</v>
      </c>
      <c r="CB2" s="136" t="s">
        <v>491</v>
      </c>
      <c r="CC2" s="136" t="s">
        <v>499</v>
      </c>
      <c r="CD2" s="136" t="s">
        <v>466</v>
      </c>
      <c r="CE2" s="136" t="s">
        <v>492</v>
      </c>
      <c r="CF2" s="136" t="s">
        <v>499</v>
      </c>
      <c r="CG2" s="136" t="s">
        <v>466</v>
      </c>
      <c r="CH2" s="136" t="s">
        <v>493</v>
      </c>
      <c r="CI2" s="136" t="s">
        <v>499</v>
      </c>
      <c r="CJ2" s="136" t="s">
        <v>466</v>
      </c>
      <c r="CK2" s="136" t="s">
        <v>494</v>
      </c>
      <c r="CL2" s="136" t="s">
        <v>499</v>
      </c>
      <c r="CM2" s="136" t="s">
        <v>466</v>
      </c>
      <c r="CN2" s="136" t="s">
        <v>495</v>
      </c>
      <c r="CO2" s="136" t="s">
        <v>499</v>
      </c>
      <c r="CP2" s="136" t="s">
        <v>466</v>
      </c>
      <c r="CQ2" s="136" t="s">
        <v>496</v>
      </c>
      <c r="CR2" s="136" t="s">
        <v>499</v>
      </c>
      <c r="CS2" s="136" t="s">
        <v>466</v>
      </c>
      <c r="CT2" s="136" t="s">
        <v>497</v>
      </c>
      <c r="CU2" s="136" t="s">
        <v>499</v>
      </c>
      <c r="CV2" s="136" t="s">
        <v>466</v>
      </c>
      <c r="CW2" s="136" t="s">
        <v>498</v>
      </c>
      <c r="CX2" s="136" t="s">
        <v>499</v>
      </c>
      <c r="CY2" s="136" t="s">
        <v>466</v>
      </c>
      <c r="CZ2" s="769"/>
      <c r="DA2" s="770"/>
    </row>
    <row r="3" spans="1:105" ht="20.25" customHeight="1" x14ac:dyDescent="0.25">
      <c r="A3" s="151" t="s">
        <v>1055</v>
      </c>
      <c r="B3" s="152" t="s">
        <v>1062</v>
      </c>
      <c r="C3" s="152" t="s">
        <v>109</v>
      </c>
      <c r="D3" s="152" t="s">
        <v>6</v>
      </c>
      <c r="E3" s="152">
        <v>26273</v>
      </c>
      <c r="F3" s="152">
        <v>30601</v>
      </c>
      <c r="G3" s="152">
        <f t="shared" ref="G3:G13" si="0">F3-E3</f>
        <v>4328</v>
      </c>
      <c r="H3" s="179">
        <f t="shared" ref="H3:H13" si="1">SUM(K3+N3+Q3+T3+W3+Z3+AC3+AF3+AI3+AL3+AO3+AR3+AU3+AX3+BA3+BD3+BG3+BJ3+BM3+BP3+BS3+BV3+BY3+CB3+CE3+CH3+CK3+CN3+CQ3+CT3+CW3)</f>
        <v>1964.64</v>
      </c>
      <c r="I3" s="153">
        <f t="shared" ref="I3:I13" si="2">COUNTA(L3,O3,R3,U3,X3,AA3,AD3,AG3,AJ3,AM3,AP3,AS3,AV3,AY3,BB3,BE3,BH3,BK3,BN3,BQ3,BT3,BW3,BZ3,CC3,CF3,CI3,CL3,CO3,CR3,CU3,CX3)</f>
        <v>10</v>
      </c>
      <c r="J3" s="153" t="s">
        <v>79</v>
      </c>
      <c r="K3" s="156"/>
      <c r="L3" s="157"/>
      <c r="M3" s="211"/>
      <c r="N3" s="156"/>
      <c r="O3" s="157"/>
      <c r="P3" s="211"/>
      <c r="Q3" s="156">
        <v>222.32</v>
      </c>
      <c r="R3" s="157">
        <v>38</v>
      </c>
      <c r="S3" s="211" t="s">
        <v>511</v>
      </c>
      <c r="T3" s="156"/>
      <c r="U3" s="157"/>
      <c r="V3" s="211"/>
      <c r="W3" s="156">
        <v>338.15</v>
      </c>
      <c r="X3" s="157">
        <v>57.89</v>
      </c>
      <c r="Y3" s="211" t="s">
        <v>511</v>
      </c>
      <c r="Z3" s="156"/>
      <c r="AA3" s="157"/>
      <c r="AB3" s="211"/>
      <c r="AC3" s="156"/>
      <c r="AD3" s="157"/>
      <c r="AE3" s="211"/>
      <c r="AF3" s="156"/>
      <c r="AG3" s="157"/>
      <c r="AH3" s="211"/>
      <c r="AI3" s="156">
        <v>230.84</v>
      </c>
      <c r="AJ3" s="157">
        <v>39.46</v>
      </c>
      <c r="AK3" s="211" t="s">
        <v>511</v>
      </c>
      <c r="AL3" s="156"/>
      <c r="AM3" s="157"/>
      <c r="AN3" s="211"/>
      <c r="AO3" s="156">
        <v>136.24</v>
      </c>
      <c r="AP3" s="157">
        <v>23.29</v>
      </c>
      <c r="AQ3" s="211" t="s">
        <v>511</v>
      </c>
      <c r="AR3" s="156"/>
      <c r="AS3" s="157"/>
      <c r="AT3" s="211"/>
      <c r="AU3" s="156"/>
      <c r="AV3" s="157"/>
      <c r="AW3" s="211"/>
      <c r="AX3" s="156"/>
      <c r="AY3" s="157"/>
      <c r="AZ3" s="211"/>
      <c r="BA3" s="156"/>
      <c r="BB3" s="157"/>
      <c r="BC3" s="211"/>
      <c r="BD3" s="156">
        <v>198.9</v>
      </c>
      <c r="BE3" s="157">
        <v>34</v>
      </c>
      <c r="BF3" s="211" t="s">
        <v>511</v>
      </c>
      <c r="BG3" s="156"/>
      <c r="BH3" s="157"/>
      <c r="BI3" s="211"/>
      <c r="BJ3" s="156"/>
      <c r="BK3" s="157"/>
      <c r="BL3" s="211"/>
      <c r="BM3" s="156">
        <v>153.34</v>
      </c>
      <c r="BN3" s="157">
        <v>26.53</v>
      </c>
      <c r="BO3" s="211" t="s">
        <v>511</v>
      </c>
      <c r="BP3" s="156">
        <v>236.92</v>
      </c>
      <c r="BQ3" s="157">
        <v>41</v>
      </c>
      <c r="BR3" s="211" t="s">
        <v>511</v>
      </c>
      <c r="BS3" s="156"/>
      <c r="BT3" s="157"/>
      <c r="BU3" s="211"/>
      <c r="BV3" s="156"/>
      <c r="BW3" s="157"/>
      <c r="BX3" s="211"/>
      <c r="BY3" s="156">
        <v>129.69999999999999</v>
      </c>
      <c r="BZ3" s="157">
        <v>22.44</v>
      </c>
      <c r="CA3" s="211" t="s">
        <v>511</v>
      </c>
      <c r="CB3" s="156"/>
      <c r="CC3" s="157"/>
      <c r="CD3" s="211"/>
      <c r="CE3" s="156"/>
      <c r="CF3" s="157"/>
      <c r="CG3" s="211"/>
      <c r="CH3" s="156">
        <v>147.66999999999999</v>
      </c>
      <c r="CI3" s="157">
        <v>25.55</v>
      </c>
      <c r="CJ3" s="211" t="s">
        <v>511</v>
      </c>
      <c r="CK3" s="156"/>
      <c r="CL3" s="157"/>
      <c r="CM3" s="211"/>
      <c r="CN3" s="156"/>
      <c r="CO3" s="157"/>
      <c r="CP3" s="211"/>
      <c r="CQ3" s="156"/>
      <c r="CR3" s="157"/>
      <c r="CS3" s="211"/>
      <c r="CT3" s="156">
        <v>170.56</v>
      </c>
      <c r="CU3" s="157">
        <v>29.51</v>
      </c>
      <c r="CV3" s="211" t="s">
        <v>511</v>
      </c>
      <c r="CW3" s="156"/>
      <c r="CX3" s="157"/>
      <c r="CY3" s="211"/>
      <c r="CZ3" s="222"/>
      <c r="DA3" s="223"/>
    </row>
    <row r="4" spans="1:105" ht="20.25" customHeight="1" x14ac:dyDescent="0.25">
      <c r="A4" s="142" t="s">
        <v>1057</v>
      </c>
      <c r="B4" s="408" t="s">
        <v>1141</v>
      </c>
      <c r="C4" s="145" t="s">
        <v>5</v>
      </c>
      <c r="D4" s="145" t="s">
        <v>6</v>
      </c>
      <c r="E4" s="427">
        <v>16272</v>
      </c>
      <c r="F4" s="145">
        <v>17521</v>
      </c>
      <c r="G4" s="145">
        <f t="shared" si="0"/>
        <v>1249</v>
      </c>
      <c r="H4" s="144">
        <f t="shared" si="1"/>
        <v>205.57</v>
      </c>
      <c r="I4" s="143"/>
      <c r="J4" s="143" t="s">
        <v>79</v>
      </c>
      <c r="K4" s="139"/>
      <c r="L4" s="138"/>
      <c r="M4" s="397"/>
      <c r="N4" s="396"/>
      <c r="O4" s="173"/>
      <c r="P4" s="397"/>
      <c r="Q4" s="396"/>
      <c r="R4" s="173"/>
      <c r="S4" s="397"/>
      <c r="T4" s="396"/>
      <c r="U4" s="173"/>
      <c r="V4" s="397"/>
      <c r="W4" s="396"/>
      <c r="X4" s="173"/>
      <c r="Y4" s="397"/>
      <c r="Z4" s="396"/>
      <c r="AA4" s="173"/>
      <c r="AB4" s="397"/>
      <c r="AC4" s="396"/>
      <c r="AD4" s="173"/>
      <c r="AE4" s="397"/>
      <c r="AF4" s="396"/>
      <c r="AG4" s="173"/>
      <c r="AH4" s="397"/>
      <c r="AI4" s="396"/>
      <c r="AJ4" s="173"/>
      <c r="AK4" s="397"/>
      <c r="AL4" s="396"/>
      <c r="AM4" s="173"/>
      <c r="AN4" s="397"/>
      <c r="AO4" s="396"/>
      <c r="AP4" s="173"/>
      <c r="AQ4" s="397"/>
      <c r="AR4" s="396"/>
      <c r="AS4" s="173"/>
      <c r="AT4" s="397"/>
      <c r="AU4" s="396"/>
      <c r="AV4" s="173"/>
      <c r="AW4" s="397"/>
      <c r="AX4" s="396"/>
      <c r="AY4" s="173"/>
      <c r="AZ4" s="397"/>
      <c r="BA4" s="396"/>
      <c r="BB4" s="173"/>
      <c r="BC4" s="397"/>
      <c r="BD4" s="396"/>
      <c r="BE4" s="173"/>
      <c r="BF4" s="397"/>
      <c r="BG4" s="396"/>
      <c r="BH4" s="173"/>
      <c r="BI4" s="397"/>
      <c r="BJ4" s="396"/>
      <c r="BK4" s="173"/>
      <c r="BL4" s="397"/>
      <c r="BM4" s="396"/>
      <c r="BN4" s="173"/>
      <c r="BO4" s="397"/>
      <c r="BP4" s="396"/>
      <c r="BQ4" s="173"/>
      <c r="BR4" s="397"/>
      <c r="BS4" s="396"/>
      <c r="BT4" s="173"/>
      <c r="BU4" s="397"/>
      <c r="BV4" s="396"/>
      <c r="BW4" s="173"/>
      <c r="BX4" s="397"/>
      <c r="BY4" s="396"/>
      <c r="BZ4" s="173"/>
      <c r="CA4" s="397"/>
      <c r="CB4" s="396">
        <v>205.57</v>
      </c>
      <c r="CC4" s="173">
        <v>33.700000000000003</v>
      </c>
      <c r="CD4" s="397" t="s">
        <v>511</v>
      </c>
      <c r="CE4" s="396"/>
      <c r="CF4" s="173"/>
      <c r="CG4" s="397"/>
      <c r="CH4" s="396"/>
      <c r="CI4" s="173"/>
      <c r="CJ4" s="397"/>
      <c r="CK4" s="396"/>
      <c r="CL4" s="173"/>
      <c r="CM4" s="397"/>
      <c r="CN4" s="396"/>
      <c r="CO4" s="173"/>
      <c r="CP4" s="397"/>
      <c r="CQ4" s="396"/>
      <c r="CR4" s="173"/>
      <c r="CS4" s="397"/>
      <c r="CT4" s="396"/>
      <c r="CU4" s="173"/>
      <c r="CV4" s="397"/>
      <c r="CW4" s="396"/>
      <c r="CX4" s="173"/>
      <c r="CY4" s="397"/>
      <c r="CZ4" s="399"/>
      <c r="DA4" s="400"/>
    </row>
    <row r="5" spans="1:105" ht="20.25" customHeight="1" thickBot="1" x14ac:dyDescent="0.3">
      <c r="A5" s="147" t="s">
        <v>1057</v>
      </c>
      <c r="B5" s="148" t="s">
        <v>1068</v>
      </c>
      <c r="C5" s="148" t="s">
        <v>5</v>
      </c>
      <c r="D5" s="148" t="s">
        <v>6</v>
      </c>
      <c r="E5" s="409">
        <v>22763</v>
      </c>
      <c r="F5" s="410">
        <v>26992</v>
      </c>
      <c r="G5" s="148">
        <f t="shared" si="0"/>
        <v>4229</v>
      </c>
      <c r="H5" s="149">
        <f t="shared" si="1"/>
        <v>989.78</v>
      </c>
      <c r="I5" s="150">
        <f t="shared" si="2"/>
        <v>3</v>
      </c>
      <c r="J5" s="150" t="s">
        <v>79</v>
      </c>
      <c r="K5" s="140"/>
      <c r="L5" s="141"/>
      <c r="M5" s="207"/>
      <c r="N5" s="139"/>
      <c r="O5" s="138"/>
      <c r="P5" s="207"/>
      <c r="Q5" s="139"/>
      <c r="R5" s="138"/>
      <c r="S5" s="207"/>
      <c r="T5" s="139">
        <v>338.62</v>
      </c>
      <c r="U5" s="138">
        <v>54.18</v>
      </c>
      <c r="V5" s="207" t="s">
        <v>511</v>
      </c>
      <c r="W5" s="139"/>
      <c r="X5" s="138"/>
      <c r="Y5" s="207"/>
      <c r="Z5" s="139"/>
      <c r="AA5" s="138"/>
      <c r="AB5" s="207"/>
      <c r="AC5" s="139"/>
      <c r="AD5" s="138"/>
      <c r="AE5" s="207"/>
      <c r="AF5" s="139"/>
      <c r="AG5" s="138"/>
      <c r="AH5" s="207"/>
      <c r="AI5" s="139"/>
      <c r="AJ5" s="138"/>
      <c r="AK5" s="207"/>
      <c r="AL5" s="139">
        <v>321.95</v>
      </c>
      <c r="AM5" s="138">
        <v>52.35</v>
      </c>
      <c r="AN5" s="207" t="s">
        <v>511</v>
      </c>
      <c r="AO5" s="139"/>
      <c r="AP5" s="138"/>
      <c r="AQ5" s="207"/>
      <c r="AR5" s="139"/>
      <c r="AS5" s="138"/>
      <c r="AT5" s="207"/>
      <c r="AU5" s="139"/>
      <c r="AV5" s="138"/>
      <c r="AW5" s="207"/>
      <c r="AX5" s="139"/>
      <c r="AY5" s="138"/>
      <c r="AZ5" s="207"/>
      <c r="BA5" s="139"/>
      <c r="BB5" s="138"/>
      <c r="BC5" s="207"/>
      <c r="BD5" s="139"/>
      <c r="BE5" s="138"/>
      <c r="BF5" s="207"/>
      <c r="BG5" s="139">
        <v>329.21</v>
      </c>
      <c r="BH5" s="138">
        <v>53.97</v>
      </c>
      <c r="BI5" s="207" t="s">
        <v>511</v>
      </c>
      <c r="BJ5" s="139"/>
      <c r="BK5" s="138"/>
      <c r="BL5" s="207"/>
      <c r="BM5" s="139"/>
      <c r="BN5" s="138"/>
      <c r="BO5" s="207"/>
      <c r="BP5" s="139"/>
      <c r="BQ5" s="138"/>
      <c r="BR5" s="207"/>
      <c r="BS5" s="139"/>
      <c r="BT5" s="138"/>
      <c r="BU5" s="207"/>
      <c r="BV5" s="139"/>
      <c r="BW5" s="138"/>
      <c r="BX5" s="207"/>
      <c r="BY5" s="139"/>
      <c r="BZ5" s="138"/>
      <c r="CA5" s="207"/>
      <c r="CB5" s="139"/>
      <c r="CC5" s="138"/>
      <c r="CD5" s="207"/>
      <c r="CE5" s="139"/>
      <c r="CF5" s="138"/>
      <c r="CG5" s="207"/>
      <c r="CH5" s="139"/>
      <c r="CI5" s="138"/>
      <c r="CJ5" s="207"/>
      <c r="CK5" s="139"/>
      <c r="CL5" s="138"/>
      <c r="CM5" s="207"/>
      <c r="CN5" s="139"/>
      <c r="CO5" s="138"/>
      <c r="CP5" s="207"/>
      <c r="CQ5" s="139"/>
      <c r="CR5" s="138"/>
      <c r="CS5" s="207"/>
      <c r="CT5" s="139"/>
      <c r="CU5" s="138"/>
      <c r="CV5" s="207"/>
      <c r="CW5" s="139"/>
      <c r="CX5" s="138"/>
      <c r="CY5" s="207"/>
      <c r="CZ5" s="224"/>
      <c r="DA5" s="225"/>
    </row>
    <row r="6" spans="1:105" ht="20.25" customHeight="1" thickBot="1" x14ac:dyDescent="0.3">
      <c r="A6" s="151" t="s">
        <v>1055</v>
      </c>
      <c r="B6" s="152" t="s">
        <v>1062</v>
      </c>
      <c r="C6" s="152" t="s">
        <v>109</v>
      </c>
      <c r="D6" s="414" t="s">
        <v>6</v>
      </c>
      <c r="E6" s="152">
        <v>30601</v>
      </c>
      <c r="F6" s="152">
        <v>35214</v>
      </c>
      <c r="G6" s="152">
        <f t="shared" si="0"/>
        <v>4613</v>
      </c>
      <c r="H6" s="179">
        <f t="shared" si="1"/>
        <v>1777.5300000000002</v>
      </c>
      <c r="I6" s="153">
        <f t="shared" si="2"/>
        <v>10</v>
      </c>
      <c r="J6" s="153" t="s">
        <v>80</v>
      </c>
      <c r="K6" s="156">
        <v>144.09</v>
      </c>
      <c r="L6" s="157">
        <v>24.93</v>
      </c>
      <c r="M6" s="211" t="s">
        <v>511</v>
      </c>
      <c r="N6" s="156">
        <v>152.76</v>
      </c>
      <c r="O6" s="157">
        <v>26.43</v>
      </c>
      <c r="P6" s="211" t="s">
        <v>511</v>
      </c>
      <c r="Q6" s="156">
        <v>80.05</v>
      </c>
      <c r="R6" s="157">
        <v>13.85</v>
      </c>
      <c r="S6" s="211" t="s">
        <v>511</v>
      </c>
      <c r="T6" s="156"/>
      <c r="U6" s="157"/>
      <c r="V6" s="211"/>
      <c r="W6" s="156"/>
      <c r="X6" s="157"/>
      <c r="Y6" s="211"/>
      <c r="Z6" s="156">
        <v>202.74</v>
      </c>
      <c r="AA6" s="157">
        <v>35.08</v>
      </c>
      <c r="AB6" s="211" t="s">
        <v>511</v>
      </c>
      <c r="AC6" s="156"/>
      <c r="AD6" s="157"/>
      <c r="AE6" s="211"/>
      <c r="AF6" s="156">
        <v>178.17</v>
      </c>
      <c r="AG6" s="157">
        <v>30.51</v>
      </c>
      <c r="AH6" s="211" t="s">
        <v>511</v>
      </c>
      <c r="AI6" s="156"/>
      <c r="AJ6" s="157"/>
      <c r="AK6" s="211"/>
      <c r="AL6" s="156">
        <v>172.28</v>
      </c>
      <c r="AM6" s="157">
        <v>29.5</v>
      </c>
      <c r="AN6" s="211" t="s">
        <v>511</v>
      </c>
      <c r="AO6" s="156"/>
      <c r="AP6" s="157"/>
      <c r="AQ6" s="211"/>
      <c r="AR6" s="156"/>
      <c r="AS6" s="157"/>
      <c r="AT6" s="211"/>
      <c r="AU6" s="156">
        <v>166.32</v>
      </c>
      <c r="AV6" s="157">
        <v>28.47</v>
      </c>
      <c r="AW6" s="211" t="s">
        <v>511</v>
      </c>
      <c r="AX6" s="156"/>
      <c r="AY6" s="157"/>
      <c r="AZ6" s="211"/>
      <c r="BA6" s="156"/>
      <c r="BB6" s="157"/>
      <c r="BC6" s="211"/>
      <c r="BD6" s="156">
        <v>150.02000000000001</v>
      </c>
      <c r="BE6" s="157">
        <v>25.69</v>
      </c>
      <c r="BF6" s="211" t="s">
        <v>511</v>
      </c>
      <c r="BG6" s="156"/>
      <c r="BH6" s="157"/>
      <c r="BI6" s="211"/>
      <c r="BJ6" s="156"/>
      <c r="BK6" s="157"/>
      <c r="BL6" s="211"/>
      <c r="BM6" s="156"/>
      <c r="BN6" s="157"/>
      <c r="BO6" s="211"/>
      <c r="BP6" s="156"/>
      <c r="BQ6" s="157"/>
      <c r="BR6" s="211"/>
      <c r="BS6" s="156"/>
      <c r="BT6" s="157"/>
      <c r="BU6" s="211"/>
      <c r="BV6" s="156"/>
      <c r="BW6" s="157"/>
      <c r="BX6" s="211"/>
      <c r="BY6" s="156"/>
      <c r="BZ6" s="157"/>
      <c r="CA6" s="211"/>
      <c r="CB6" s="156">
        <v>329.45</v>
      </c>
      <c r="CC6" s="157">
        <v>55</v>
      </c>
      <c r="CD6" s="211" t="s">
        <v>511</v>
      </c>
      <c r="CE6" s="156"/>
      <c r="CF6" s="157"/>
      <c r="CG6" s="211"/>
      <c r="CH6" s="156"/>
      <c r="CI6" s="157"/>
      <c r="CJ6" s="211"/>
      <c r="CK6" s="156">
        <v>201.65</v>
      </c>
      <c r="CL6" s="157">
        <v>34.53</v>
      </c>
      <c r="CM6" s="211" t="s">
        <v>511</v>
      </c>
      <c r="CN6" s="156"/>
      <c r="CO6" s="157"/>
      <c r="CP6" s="211"/>
      <c r="CQ6" s="156"/>
      <c r="CR6" s="157"/>
      <c r="CS6" s="211"/>
      <c r="CT6" s="156"/>
      <c r="CU6" s="157"/>
      <c r="CV6" s="211"/>
      <c r="CW6" s="156"/>
      <c r="CX6" s="157"/>
      <c r="CY6" s="211"/>
      <c r="CZ6" s="222"/>
      <c r="DA6" s="223"/>
    </row>
    <row r="7" spans="1:105" ht="20.25" customHeight="1" thickBot="1" x14ac:dyDescent="0.3">
      <c r="A7" s="142" t="s">
        <v>1057</v>
      </c>
      <c r="B7" t="s">
        <v>1141</v>
      </c>
      <c r="C7" s="145" t="s">
        <v>5</v>
      </c>
      <c r="D7" s="447" t="s">
        <v>6</v>
      </c>
      <c r="E7" s="145">
        <v>17521</v>
      </c>
      <c r="F7" s="145">
        <v>19641</v>
      </c>
      <c r="G7" s="145">
        <f t="shared" si="0"/>
        <v>2120</v>
      </c>
      <c r="H7" s="144">
        <f t="shared" si="1"/>
        <v>1259.83</v>
      </c>
      <c r="I7" s="143">
        <f t="shared" si="2"/>
        <v>4</v>
      </c>
      <c r="J7" s="143" t="s">
        <v>80</v>
      </c>
      <c r="K7" s="139">
        <v>376.73</v>
      </c>
      <c r="L7" s="138">
        <v>61.76</v>
      </c>
      <c r="M7" s="211" t="s">
        <v>511</v>
      </c>
      <c r="N7" s="139"/>
      <c r="O7" s="138"/>
      <c r="P7" s="207"/>
      <c r="Q7" s="139"/>
      <c r="R7" s="138"/>
      <c r="S7" s="207"/>
      <c r="T7" s="139"/>
      <c r="U7" s="138"/>
      <c r="V7" s="207"/>
      <c r="W7" s="139"/>
      <c r="X7" s="138"/>
      <c r="Y7" s="207"/>
      <c r="Z7" s="139"/>
      <c r="AA7" s="138"/>
      <c r="AB7" s="207"/>
      <c r="AC7" s="139">
        <v>347.7</v>
      </c>
      <c r="AD7" s="138">
        <v>57</v>
      </c>
      <c r="AE7" s="207" t="s">
        <v>511</v>
      </c>
      <c r="AF7" s="139"/>
      <c r="AG7" s="138"/>
      <c r="AH7" s="207"/>
      <c r="AI7" s="139"/>
      <c r="AJ7" s="138"/>
      <c r="AK7" s="207"/>
      <c r="AL7" s="139"/>
      <c r="AM7" s="138"/>
      <c r="AN7" s="207"/>
      <c r="AO7" s="139"/>
      <c r="AP7" s="138"/>
      <c r="AQ7" s="207"/>
      <c r="AR7" s="139"/>
      <c r="AS7" s="138"/>
      <c r="AT7" s="207"/>
      <c r="AU7" s="139"/>
      <c r="AV7" s="138"/>
      <c r="AW7" s="207"/>
      <c r="AX7" s="139"/>
      <c r="AY7" s="138"/>
      <c r="AZ7" s="207"/>
      <c r="BA7" s="139">
        <v>269.37</v>
      </c>
      <c r="BB7" s="138">
        <v>44.16</v>
      </c>
      <c r="BC7" s="207" t="s">
        <v>511</v>
      </c>
      <c r="BD7" s="139">
        <v>266.02999999999997</v>
      </c>
      <c r="BE7" s="138">
        <v>44.61</v>
      </c>
      <c r="BF7" s="211" t="s">
        <v>511</v>
      </c>
      <c r="BG7" s="139"/>
      <c r="BH7" s="138"/>
      <c r="BI7" s="207"/>
      <c r="BJ7" s="139"/>
      <c r="BK7" s="138"/>
      <c r="BL7" s="207"/>
      <c r="BM7" s="139"/>
      <c r="BN7" s="138"/>
      <c r="BO7" s="207"/>
      <c r="BP7" s="139"/>
      <c r="BQ7" s="138"/>
      <c r="BR7" s="207"/>
      <c r="BS7" s="139"/>
      <c r="BT7" s="138"/>
      <c r="BU7" s="207"/>
      <c r="BV7" s="139"/>
      <c r="BW7" s="138"/>
      <c r="BX7" s="207"/>
      <c r="BY7" s="139"/>
      <c r="BZ7" s="138"/>
      <c r="CA7" s="207"/>
      <c r="CB7" s="139"/>
      <c r="CC7" s="138"/>
      <c r="CD7" s="207"/>
      <c r="CE7" s="139"/>
      <c r="CF7" s="138"/>
      <c r="CG7" s="207"/>
      <c r="CH7" s="139"/>
      <c r="CI7" s="138"/>
      <c r="CJ7" s="207"/>
      <c r="CK7" s="139"/>
      <c r="CL7" s="138"/>
      <c r="CM7" s="207"/>
      <c r="CN7" s="139"/>
      <c r="CO7" s="138"/>
      <c r="CP7" s="207"/>
      <c r="CQ7" s="139"/>
      <c r="CR7" s="138"/>
      <c r="CS7" s="207"/>
      <c r="CT7" s="139"/>
      <c r="CU7" s="138"/>
      <c r="CV7" s="207"/>
      <c r="CW7" s="139"/>
      <c r="CX7" s="138"/>
      <c r="CY7" s="207"/>
      <c r="CZ7" s="224"/>
      <c r="DA7" s="225"/>
    </row>
    <row r="8" spans="1:105" ht="20.25" customHeight="1" x14ac:dyDescent="0.25">
      <c r="A8" s="151" t="s">
        <v>1055</v>
      </c>
      <c r="B8" s="152" t="s">
        <v>1062</v>
      </c>
      <c r="C8" s="152" t="s">
        <v>109</v>
      </c>
      <c r="D8" s="393" t="s">
        <v>6</v>
      </c>
      <c r="E8" s="152">
        <v>35214</v>
      </c>
      <c r="F8" s="152">
        <v>39806</v>
      </c>
      <c r="G8" s="152">
        <f t="shared" si="0"/>
        <v>4592</v>
      </c>
      <c r="H8" s="179">
        <f t="shared" si="1"/>
        <v>1290.95</v>
      </c>
      <c r="I8" s="153">
        <f t="shared" si="2"/>
        <v>8</v>
      </c>
      <c r="J8" s="153" t="s">
        <v>81</v>
      </c>
      <c r="K8" s="156">
        <v>175.66</v>
      </c>
      <c r="L8" s="157">
        <v>30.79</v>
      </c>
      <c r="M8" s="211" t="s">
        <v>511</v>
      </c>
      <c r="N8" s="156"/>
      <c r="O8" s="157"/>
      <c r="P8" s="211"/>
      <c r="Q8" s="156"/>
      <c r="R8" s="157"/>
      <c r="S8" s="211"/>
      <c r="T8" s="156"/>
      <c r="U8" s="157"/>
      <c r="V8" s="211"/>
      <c r="W8" s="156">
        <v>149.72999999999999</v>
      </c>
      <c r="X8" s="157">
        <v>25.64</v>
      </c>
      <c r="Y8" s="211" t="s">
        <v>511</v>
      </c>
      <c r="Z8" s="156"/>
      <c r="AA8" s="157"/>
      <c r="AB8" s="211"/>
      <c r="AC8" s="156">
        <v>141.21</v>
      </c>
      <c r="AD8" s="157">
        <v>24.18</v>
      </c>
      <c r="AE8" s="211" t="s">
        <v>511</v>
      </c>
      <c r="AF8" s="156"/>
      <c r="AG8" s="157"/>
      <c r="AH8" s="211"/>
      <c r="AI8" s="156">
        <v>134.9</v>
      </c>
      <c r="AJ8" s="157">
        <v>23.1</v>
      </c>
      <c r="AK8" s="211" t="s">
        <v>511</v>
      </c>
      <c r="AL8" s="156"/>
      <c r="AM8" s="157"/>
      <c r="AN8" s="211"/>
      <c r="AO8" s="156"/>
      <c r="AP8" s="157"/>
      <c r="AQ8" s="211"/>
      <c r="AR8" s="156">
        <v>216.13</v>
      </c>
      <c r="AS8" s="157">
        <v>34.009</v>
      </c>
      <c r="AT8" s="211" t="s">
        <v>511</v>
      </c>
      <c r="AU8" s="156">
        <v>96.18</v>
      </c>
      <c r="AV8" s="157">
        <v>16.47</v>
      </c>
      <c r="AW8" s="211" t="s">
        <v>511</v>
      </c>
      <c r="AX8" s="156"/>
      <c r="AY8" s="157"/>
      <c r="AZ8" s="211"/>
      <c r="BA8" s="156"/>
      <c r="BB8" s="157"/>
      <c r="BC8" s="211"/>
      <c r="BD8" s="156"/>
      <c r="BE8" s="157"/>
      <c r="BF8" s="211"/>
      <c r="BG8" s="156"/>
      <c r="BH8" s="157"/>
      <c r="BI8" s="211"/>
      <c r="BJ8" s="156"/>
      <c r="BK8" s="157"/>
      <c r="BL8" s="211"/>
      <c r="BM8" s="156"/>
      <c r="BN8" s="157"/>
      <c r="BO8" s="211"/>
      <c r="BP8" s="156"/>
      <c r="BQ8" s="157"/>
      <c r="BR8" s="211"/>
      <c r="BS8" s="156"/>
      <c r="BT8" s="157"/>
      <c r="BU8" s="211"/>
      <c r="BV8" s="156"/>
      <c r="BW8" s="157"/>
      <c r="BX8" s="211"/>
      <c r="BY8" s="156"/>
      <c r="BZ8" s="157"/>
      <c r="CA8" s="211"/>
      <c r="CB8" s="156"/>
      <c r="CC8" s="157"/>
      <c r="CD8" s="211"/>
      <c r="CE8" s="156"/>
      <c r="CF8" s="157"/>
      <c r="CG8" s="211"/>
      <c r="CH8" s="156">
        <v>218.94</v>
      </c>
      <c r="CI8" s="157">
        <v>37.49</v>
      </c>
      <c r="CJ8" s="211" t="s">
        <v>511</v>
      </c>
      <c r="CK8" s="156">
        <v>158.19999999999999</v>
      </c>
      <c r="CL8" s="157">
        <v>27.09</v>
      </c>
      <c r="CM8" s="211" t="s">
        <v>511</v>
      </c>
      <c r="CN8" s="156"/>
      <c r="CO8" s="157"/>
      <c r="CP8" s="211"/>
      <c r="CQ8" s="156"/>
      <c r="CR8" s="157"/>
      <c r="CS8" s="211"/>
      <c r="CT8" s="156"/>
      <c r="CU8" s="157"/>
      <c r="CV8" s="211"/>
      <c r="CW8" s="156"/>
      <c r="CX8" s="157"/>
      <c r="CY8" s="211"/>
      <c r="CZ8" s="222"/>
      <c r="DA8" s="223"/>
    </row>
    <row r="9" spans="1:105" ht="20.25" customHeight="1" thickBot="1" x14ac:dyDescent="0.3">
      <c r="A9" s="142" t="s">
        <v>1057</v>
      </c>
      <c r="B9" t="s">
        <v>1141</v>
      </c>
      <c r="C9" s="145" t="s">
        <v>5</v>
      </c>
      <c r="D9" s="145" t="s">
        <v>6</v>
      </c>
      <c r="E9" s="145">
        <v>19641</v>
      </c>
      <c r="F9" s="145">
        <v>22407</v>
      </c>
      <c r="G9" s="145">
        <f t="shared" si="0"/>
        <v>2766</v>
      </c>
      <c r="H9" s="144">
        <f t="shared" si="1"/>
        <v>1579.5</v>
      </c>
      <c r="I9" s="143">
        <f t="shared" si="2"/>
        <v>6</v>
      </c>
      <c r="J9" s="143" t="s">
        <v>81</v>
      </c>
      <c r="K9" s="139">
        <v>301.89</v>
      </c>
      <c r="L9" s="138">
        <v>50.39</v>
      </c>
      <c r="M9" s="207" t="s">
        <v>511</v>
      </c>
      <c r="N9" s="139"/>
      <c r="O9" s="138"/>
      <c r="P9" s="207"/>
      <c r="Q9" s="139"/>
      <c r="R9" s="138"/>
      <c r="S9" s="207"/>
      <c r="T9" s="139"/>
      <c r="U9" s="138"/>
      <c r="V9" s="207"/>
      <c r="W9" s="139"/>
      <c r="X9" s="138"/>
      <c r="Y9" s="207"/>
      <c r="Z9" s="139"/>
      <c r="AA9" s="138"/>
      <c r="AB9" s="207"/>
      <c r="AC9" s="139"/>
      <c r="AD9" s="138"/>
      <c r="AE9" s="207"/>
      <c r="AF9" s="139"/>
      <c r="AG9" s="138"/>
      <c r="AH9" s="207"/>
      <c r="AI9" s="139">
        <v>244.21</v>
      </c>
      <c r="AJ9" s="138">
        <v>40.598999999999997</v>
      </c>
      <c r="AK9" s="207" t="s">
        <v>511</v>
      </c>
      <c r="AL9" s="139"/>
      <c r="AM9" s="138"/>
      <c r="AN9" s="207"/>
      <c r="AO9" s="139"/>
      <c r="AP9" s="138"/>
      <c r="AQ9" s="207"/>
      <c r="AR9" s="139"/>
      <c r="AS9" s="138"/>
      <c r="AT9" s="207"/>
      <c r="AU9" s="139"/>
      <c r="AV9" s="138"/>
      <c r="AW9" s="207"/>
      <c r="AX9" s="139"/>
      <c r="AY9" s="138"/>
      <c r="AZ9" s="207"/>
      <c r="BA9" s="139">
        <v>351</v>
      </c>
      <c r="BB9" s="138">
        <v>60</v>
      </c>
      <c r="BC9" s="207" t="s">
        <v>511</v>
      </c>
      <c r="BD9" s="139"/>
      <c r="BE9" s="138"/>
      <c r="BF9" s="207"/>
      <c r="BG9" s="139"/>
      <c r="BH9" s="138"/>
      <c r="BI9" s="207"/>
      <c r="BJ9" s="139"/>
      <c r="BK9" s="138"/>
      <c r="BL9" s="207"/>
      <c r="BM9" s="139"/>
      <c r="BN9" s="138"/>
      <c r="BO9" s="207"/>
      <c r="BP9" s="139"/>
      <c r="BQ9" s="138"/>
      <c r="BR9" s="207"/>
      <c r="BS9" s="139"/>
      <c r="BT9" s="138"/>
      <c r="BU9" s="207"/>
      <c r="BV9" s="139">
        <v>308.35000000000002</v>
      </c>
      <c r="BW9" s="138">
        <v>52.8</v>
      </c>
      <c r="BX9" s="207" t="s">
        <v>511</v>
      </c>
      <c r="BY9" s="139"/>
      <c r="BZ9" s="138"/>
      <c r="CA9" s="207"/>
      <c r="CB9" s="139"/>
      <c r="CC9" s="138"/>
      <c r="CD9" s="207"/>
      <c r="CE9" s="139"/>
      <c r="CF9" s="138"/>
      <c r="CG9" s="207"/>
      <c r="CH9" s="139"/>
      <c r="CI9" s="138"/>
      <c r="CJ9" s="207"/>
      <c r="CK9" s="139">
        <v>182.85</v>
      </c>
      <c r="CL9" s="138">
        <v>31.8</v>
      </c>
      <c r="CM9" s="207" t="s">
        <v>511</v>
      </c>
      <c r="CN9" s="139"/>
      <c r="CO9" s="138"/>
      <c r="CP9" s="207"/>
      <c r="CQ9" s="139"/>
      <c r="CR9" s="138"/>
      <c r="CS9" s="207"/>
      <c r="CT9" s="139">
        <v>191.2</v>
      </c>
      <c r="CU9" s="138">
        <v>32.74</v>
      </c>
      <c r="CV9" s="207" t="s">
        <v>511</v>
      </c>
      <c r="CW9" s="139"/>
      <c r="CX9" s="138"/>
      <c r="CY9" s="207"/>
      <c r="CZ9" s="224"/>
      <c r="DA9" s="225"/>
    </row>
    <row r="10" spans="1:105" ht="20.25" customHeight="1" thickBot="1" x14ac:dyDescent="0.3">
      <c r="A10" s="151" t="s">
        <v>1055</v>
      </c>
      <c r="B10" s="152" t="s">
        <v>1062</v>
      </c>
      <c r="C10" s="152" t="s">
        <v>109</v>
      </c>
      <c r="D10" s="152" t="s">
        <v>6</v>
      </c>
      <c r="E10" s="152">
        <v>39806</v>
      </c>
      <c r="F10" s="152">
        <v>43133</v>
      </c>
      <c r="G10" s="152">
        <f t="shared" si="0"/>
        <v>3327</v>
      </c>
      <c r="H10" s="179">
        <f t="shared" si="1"/>
        <v>1798.46</v>
      </c>
      <c r="I10" s="153">
        <f t="shared" si="2"/>
        <v>10</v>
      </c>
      <c r="J10" s="153" t="s">
        <v>82</v>
      </c>
      <c r="K10" s="156"/>
      <c r="L10" s="157"/>
      <c r="M10" s="211"/>
      <c r="N10" s="156"/>
      <c r="O10" s="157"/>
      <c r="P10" s="211"/>
      <c r="Q10" s="156"/>
      <c r="R10" s="157"/>
      <c r="S10" s="211"/>
      <c r="T10" s="156">
        <v>134.37</v>
      </c>
      <c r="U10" s="157">
        <v>23.01</v>
      </c>
      <c r="V10" s="211" t="s">
        <v>511</v>
      </c>
      <c r="W10" s="156"/>
      <c r="X10" s="157"/>
      <c r="Y10" s="211"/>
      <c r="Z10" s="156">
        <v>162.99</v>
      </c>
      <c r="AA10" s="157">
        <v>27.91</v>
      </c>
      <c r="AB10" s="211" t="s">
        <v>511</v>
      </c>
      <c r="AC10" s="156"/>
      <c r="AD10" s="157"/>
      <c r="AE10" s="211"/>
      <c r="AF10" s="156"/>
      <c r="AG10" s="157"/>
      <c r="AH10" s="211"/>
      <c r="AI10" s="156">
        <v>179.4</v>
      </c>
      <c r="AJ10" s="157">
        <v>30.72</v>
      </c>
      <c r="AK10" s="211" t="s">
        <v>511</v>
      </c>
      <c r="AL10" s="156">
        <v>150.08000000000001</v>
      </c>
      <c r="AM10" s="157">
        <v>25.699000000000002</v>
      </c>
      <c r="AN10" s="211" t="s">
        <v>511</v>
      </c>
      <c r="AO10" s="156"/>
      <c r="AP10" s="157"/>
      <c r="AQ10" s="211"/>
      <c r="AR10" s="156"/>
      <c r="AS10" s="157"/>
      <c r="AT10" s="211"/>
      <c r="AU10" s="156"/>
      <c r="AV10" s="157"/>
      <c r="AW10" s="211"/>
      <c r="AX10" s="156">
        <v>162.12</v>
      </c>
      <c r="AY10" s="157">
        <v>27.768999999999998</v>
      </c>
      <c r="AZ10" s="211" t="s">
        <v>511</v>
      </c>
      <c r="BA10" s="156"/>
      <c r="BB10" s="157"/>
      <c r="BC10" s="211"/>
      <c r="BD10" s="156"/>
      <c r="BE10" s="157"/>
      <c r="BF10" s="211"/>
      <c r="BG10" s="156">
        <v>240.63</v>
      </c>
      <c r="BH10" s="157">
        <v>40.24</v>
      </c>
      <c r="BI10" s="211" t="s">
        <v>511</v>
      </c>
      <c r="BJ10" s="156"/>
      <c r="BK10" s="157"/>
      <c r="BL10" s="211"/>
      <c r="BM10" s="156"/>
      <c r="BN10" s="157"/>
      <c r="BO10" s="211"/>
      <c r="BP10" s="156">
        <v>201.7</v>
      </c>
      <c r="BQ10" s="157">
        <v>33.729999999999997</v>
      </c>
      <c r="BR10" s="211" t="s">
        <v>511</v>
      </c>
      <c r="BS10" s="156"/>
      <c r="BT10" s="157"/>
      <c r="BU10" s="211"/>
      <c r="BV10" s="156"/>
      <c r="BW10" s="157"/>
      <c r="BX10" s="211"/>
      <c r="BY10" s="156"/>
      <c r="BZ10" s="157"/>
      <c r="CA10" s="211"/>
      <c r="CB10" s="156"/>
      <c r="CC10" s="157"/>
      <c r="CD10" s="211"/>
      <c r="CE10" s="156">
        <v>224.83</v>
      </c>
      <c r="CF10" s="157">
        <v>45.96</v>
      </c>
      <c r="CG10" s="211" t="s">
        <v>511</v>
      </c>
      <c r="CH10" s="156"/>
      <c r="CI10" s="157"/>
      <c r="CJ10" s="211"/>
      <c r="CK10" s="156">
        <v>200.56</v>
      </c>
      <c r="CL10" s="157">
        <v>33.54</v>
      </c>
      <c r="CM10" s="211" t="s">
        <v>511</v>
      </c>
      <c r="CN10" s="156"/>
      <c r="CO10" s="157"/>
      <c r="CP10" s="211"/>
      <c r="CQ10" s="156"/>
      <c r="CR10" s="157"/>
      <c r="CS10" s="211"/>
      <c r="CT10" s="156">
        <v>141.78</v>
      </c>
      <c r="CU10" s="157">
        <v>23.71</v>
      </c>
      <c r="CV10" s="211" t="s">
        <v>511</v>
      </c>
      <c r="CW10" s="156"/>
      <c r="CX10" s="157"/>
      <c r="CY10" s="211"/>
      <c r="CZ10" s="222"/>
      <c r="DA10" s="223"/>
    </row>
    <row r="11" spans="1:105" ht="20.25" customHeight="1" thickBot="1" x14ac:dyDescent="0.3">
      <c r="A11" s="142" t="s">
        <v>1057</v>
      </c>
      <c r="B11" s="145" t="s">
        <v>1141</v>
      </c>
      <c r="C11" s="145" t="s">
        <v>5</v>
      </c>
      <c r="D11" s="447" t="s">
        <v>6</v>
      </c>
      <c r="E11" s="152"/>
      <c r="F11" s="145">
        <v>46281</v>
      </c>
      <c r="G11" s="145">
        <f t="shared" si="0"/>
        <v>46281</v>
      </c>
      <c r="H11" s="144">
        <f t="shared" si="1"/>
        <v>0</v>
      </c>
      <c r="I11" s="143">
        <f t="shared" si="2"/>
        <v>0</v>
      </c>
      <c r="J11" s="143" t="s">
        <v>82</v>
      </c>
      <c r="K11" s="139"/>
      <c r="L11" s="138"/>
      <c r="M11" s="207"/>
      <c r="N11" s="139"/>
      <c r="O11" s="138"/>
      <c r="P11" s="207"/>
      <c r="Q11" s="139"/>
      <c r="R11" s="138"/>
      <c r="S11" s="207"/>
      <c r="T11" s="139"/>
      <c r="U11" s="138"/>
      <c r="V11" s="207"/>
      <c r="W11" s="139"/>
      <c r="X11" s="138"/>
      <c r="Y11" s="207"/>
      <c r="Z11" s="139"/>
      <c r="AA11" s="138"/>
      <c r="AB11" s="207"/>
      <c r="AC11" s="139"/>
      <c r="AD11" s="138"/>
      <c r="AE11" s="207"/>
      <c r="AF11" s="139"/>
      <c r="AG11" s="138"/>
      <c r="AH11" s="207"/>
      <c r="AI11" s="139"/>
      <c r="AJ11" s="138"/>
      <c r="AK11" s="207"/>
      <c r="AL11" s="139"/>
      <c r="AM11" s="138"/>
      <c r="AN11" s="207"/>
      <c r="AO11" s="139"/>
      <c r="AP11" s="138"/>
      <c r="AQ11" s="207"/>
      <c r="AR11" s="139"/>
      <c r="AS11" s="138"/>
      <c r="AT11" s="207"/>
      <c r="AU11" s="139"/>
      <c r="AV11" s="138"/>
      <c r="AW11" s="207"/>
      <c r="AX11" s="139"/>
      <c r="AY11" s="138"/>
      <c r="AZ11" s="207"/>
      <c r="BA11" s="139"/>
      <c r="BB11" s="138"/>
      <c r="BC11" s="207"/>
      <c r="BD11" s="139"/>
      <c r="BE11" s="138"/>
      <c r="BF11" s="207"/>
      <c r="BG11" s="139"/>
      <c r="BH11" s="138"/>
      <c r="BI11" s="207"/>
      <c r="BJ11" s="139"/>
      <c r="BK11" s="138"/>
      <c r="BL11" s="207"/>
      <c r="BM11" s="139"/>
      <c r="BN11" s="138"/>
      <c r="BO11" s="207"/>
      <c r="BP11" s="139"/>
      <c r="BQ11" s="138"/>
      <c r="BR11" s="207"/>
      <c r="BS11" s="139"/>
      <c r="BT11" s="138"/>
      <c r="BU11" s="207"/>
      <c r="BV11" s="139"/>
      <c r="BW11" s="138"/>
      <c r="BX11" s="207"/>
      <c r="BY11" s="139"/>
      <c r="BZ11" s="138"/>
      <c r="CA11" s="207"/>
      <c r="CB11" s="139"/>
      <c r="CC11" s="138"/>
      <c r="CD11" s="207"/>
      <c r="CE11" s="139"/>
      <c r="CF11" s="138"/>
      <c r="CG11" s="207"/>
      <c r="CH11" s="139"/>
      <c r="CI11" s="138"/>
      <c r="CJ11" s="207"/>
      <c r="CK11" s="139"/>
      <c r="CL11" s="138"/>
      <c r="CM11" s="207"/>
      <c r="CN11" s="139"/>
      <c r="CO11" s="138"/>
      <c r="CP11" s="207"/>
      <c r="CQ11" s="139"/>
      <c r="CR11" s="138"/>
      <c r="CS11" s="207"/>
      <c r="CT11" s="139"/>
      <c r="CU11" s="138"/>
      <c r="CV11" s="207"/>
      <c r="CW11" s="139"/>
      <c r="CX11" s="138"/>
      <c r="CY11" s="207"/>
      <c r="CZ11" s="224"/>
      <c r="DA11" s="225"/>
    </row>
    <row r="12" spans="1:105" ht="20.25" customHeight="1" thickBot="1" x14ac:dyDescent="0.3">
      <c r="A12" s="151" t="s">
        <v>1055</v>
      </c>
      <c r="B12" s="152" t="s">
        <v>1062</v>
      </c>
      <c r="C12" s="152" t="s">
        <v>109</v>
      </c>
      <c r="D12" s="152" t="s">
        <v>6</v>
      </c>
      <c r="E12" s="152">
        <v>43133</v>
      </c>
      <c r="F12" s="145">
        <v>46281</v>
      </c>
      <c r="G12" s="152">
        <f t="shared" si="0"/>
        <v>3148</v>
      </c>
      <c r="H12" s="179">
        <f t="shared" si="1"/>
        <v>1562.6400000000003</v>
      </c>
      <c r="I12" s="153">
        <f t="shared" si="2"/>
        <v>10</v>
      </c>
      <c r="J12" s="153" t="s">
        <v>83</v>
      </c>
      <c r="K12" s="156"/>
      <c r="L12" s="157"/>
      <c r="M12" s="211"/>
      <c r="N12" s="156">
        <v>158.41</v>
      </c>
      <c r="O12" s="157">
        <v>26.43</v>
      </c>
      <c r="P12" s="211" t="s">
        <v>511</v>
      </c>
      <c r="Q12" s="156"/>
      <c r="R12" s="157"/>
      <c r="S12" s="211"/>
      <c r="T12" s="156">
        <v>179.69</v>
      </c>
      <c r="U12" s="157">
        <v>30.05</v>
      </c>
      <c r="V12" s="211" t="s">
        <v>511</v>
      </c>
      <c r="W12" s="156">
        <v>205.95</v>
      </c>
      <c r="X12" s="157">
        <v>34.44</v>
      </c>
      <c r="Y12" s="211" t="s">
        <v>511</v>
      </c>
      <c r="Z12" s="156"/>
      <c r="AA12" s="157"/>
      <c r="AB12" s="211"/>
      <c r="AC12" s="156">
        <v>147.69999999999999</v>
      </c>
      <c r="AD12" s="157">
        <v>24.7</v>
      </c>
      <c r="AE12" s="211" t="s">
        <v>511</v>
      </c>
      <c r="AF12" s="156"/>
      <c r="AG12" s="157"/>
      <c r="AH12" s="211"/>
      <c r="AI12" s="156">
        <v>207.14</v>
      </c>
      <c r="AJ12" s="157">
        <v>93.65</v>
      </c>
      <c r="AK12" s="211" t="s">
        <v>511</v>
      </c>
      <c r="AL12" s="156">
        <v>164.56</v>
      </c>
      <c r="AM12" s="157">
        <v>27.52</v>
      </c>
      <c r="AN12" s="211" t="s">
        <v>511</v>
      </c>
      <c r="AO12" s="156">
        <v>129.94</v>
      </c>
      <c r="AP12" s="157">
        <v>21.73</v>
      </c>
      <c r="AQ12" s="211" t="s">
        <v>511</v>
      </c>
      <c r="AR12" s="156"/>
      <c r="AS12" s="157"/>
      <c r="AT12" s="211"/>
      <c r="AU12" s="156"/>
      <c r="AV12" s="157"/>
      <c r="AW12" s="211"/>
      <c r="AX12" s="156">
        <v>155.47999999999999</v>
      </c>
      <c r="AY12" s="157">
        <v>26</v>
      </c>
      <c r="AZ12" s="211" t="s">
        <v>511</v>
      </c>
      <c r="BA12" s="156">
        <v>138.37</v>
      </c>
      <c r="BB12" s="157">
        <v>23.14</v>
      </c>
      <c r="BC12" s="211" t="s">
        <v>511</v>
      </c>
      <c r="BD12" s="156"/>
      <c r="BE12" s="157"/>
      <c r="BF12" s="211"/>
      <c r="BG12" s="156">
        <v>75.400000000000006</v>
      </c>
      <c r="BH12" s="157">
        <v>12.6</v>
      </c>
      <c r="BI12" s="211" t="s">
        <v>511</v>
      </c>
      <c r="BJ12" s="156"/>
      <c r="BK12" s="157"/>
      <c r="BL12" s="211"/>
      <c r="BM12" s="156"/>
      <c r="BN12" s="157"/>
      <c r="BO12" s="211"/>
      <c r="BP12" s="156"/>
      <c r="BQ12" s="157"/>
      <c r="BR12" s="211"/>
      <c r="BS12" s="156"/>
      <c r="BT12" s="157"/>
      <c r="BU12" s="211"/>
      <c r="BV12" s="156"/>
      <c r="BW12" s="157"/>
      <c r="BX12" s="211"/>
      <c r="BY12" s="156"/>
      <c r="BZ12" s="157"/>
      <c r="CA12" s="211"/>
      <c r="CB12" s="156"/>
      <c r="CC12" s="157"/>
      <c r="CD12" s="211"/>
      <c r="CE12" s="156"/>
      <c r="CF12" s="157"/>
      <c r="CG12" s="211"/>
      <c r="CH12" s="156"/>
      <c r="CI12" s="157"/>
      <c r="CJ12" s="211"/>
      <c r="CK12" s="156"/>
      <c r="CL12" s="157"/>
      <c r="CM12" s="211"/>
      <c r="CN12" s="156"/>
      <c r="CO12" s="157"/>
      <c r="CP12" s="211"/>
      <c r="CQ12" s="156"/>
      <c r="CR12" s="157"/>
      <c r="CS12" s="211"/>
      <c r="CT12" s="156"/>
      <c r="CU12" s="157"/>
      <c r="CV12" s="211"/>
      <c r="CW12" s="156"/>
      <c r="CX12" s="157"/>
      <c r="CY12" s="211"/>
      <c r="CZ12" s="222"/>
      <c r="DA12" s="223"/>
    </row>
    <row r="13" spans="1:105" ht="20.25" customHeight="1" thickBot="1" x14ac:dyDescent="0.3">
      <c r="A13" s="151" t="s">
        <v>1055</v>
      </c>
      <c r="B13" s="152" t="s">
        <v>1407</v>
      </c>
      <c r="C13" s="152" t="s">
        <v>16</v>
      </c>
      <c r="D13" s="152" t="s">
        <v>6</v>
      </c>
      <c r="E13" s="152">
        <v>46018</v>
      </c>
      <c r="F13" s="152">
        <v>49015</v>
      </c>
      <c r="G13" s="152">
        <f t="shared" si="0"/>
        <v>2997</v>
      </c>
      <c r="H13" s="179">
        <f t="shared" si="1"/>
        <v>2053.27</v>
      </c>
      <c r="I13" s="153">
        <f t="shared" si="2"/>
        <v>9</v>
      </c>
      <c r="J13" s="153" t="s">
        <v>84</v>
      </c>
      <c r="K13" s="156">
        <v>250.19</v>
      </c>
      <c r="L13" s="157">
        <v>42.048999999999999</v>
      </c>
      <c r="M13" s="211" t="s">
        <v>511</v>
      </c>
      <c r="N13" s="156"/>
      <c r="O13" s="157"/>
      <c r="P13" s="211"/>
      <c r="Q13" s="156"/>
      <c r="R13" s="157"/>
      <c r="S13" s="211"/>
      <c r="T13" s="156"/>
      <c r="U13" s="157"/>
      <c r="V13" s="211"/>
      <c r="W13" s="156">
        <v>225.44</v>
      </c>
      <c r="X13" s="157">
        <v>37.89</v>
      </c>
      <c r="Y13" s="211" t="s">
        <v>511</v>
      </c>
      <c r="Z13" s="156"/>
      <c r="AA13" s="157"/>
      <c r="AB13" s="211"/>
      <c r="AC13" s="156"/>
      <c r="AD13" s="157"/>
      <c r="AE13" s="211"/>
      <c r="AF13" s="156"/>
      <c r="AG13" s="157"/>
      <c r="AH13" s="211"/>
      <c r="AI13" s="156"/>
      <c r="AJ13" s="157"/>
      <c r="AK13" s="211"/>
      <c r="AL13" s="156"/>
      <c r="AM13" s="157"/>
      <c r="AN13" s="211"/>
      <c r="AO13" s="156">
        <v>262.93</v>
      </c>
      <c r="AP13" s="157">
        <v>44.19</v>
      </c>
      <c r="AQ13" s="211" t="s">
        <v>511</v>
      </c>
      <c r="AR13" s="156"/>
      <c r="AS13" s="157"/>
      <c r="AT13" s="211"/>
      <c r="AU13" s="156"/>
      <c r="AV13" s="157"/>
      <c r="AW13" s="211"/>
      <c r="AX13" s="156">
        <v>216.58</v>
      </c>
      <c r="AY13" s="157">
        <v>36.4</v>
      </c>
      <c r="AZ13" s="211" t="s">
        <v>511</v>
      </c>
      <c r="BA13" s="156"/>
      <c r="BB13" s="157"/>
      <c r="BC13" s="211"/>
      <c r="BD13" s="156"/>
      <c r="BE13" s="157"/>
      <c r="BF13" s="211"/>
      <c r="BG13" s="156"/>
      <c r="BH13" s="157"/>
      <c r="BI13" s="211"/>
      <c r="BJ13" s="156">
        <v>176.77</v>
      </c>
      <c r="BK13" s="157">
        <v>29.7</v>
      </c>
      <c r="BL13" s="211" t="s">
        <v>1408</v>
      </c>
      <c r="BM13" s="156">
        <v>231.63</v>
      </c>
      <c r="BN13" s="157">
        <v>38.93</v>
      </c>
      <c r="BO13" s="211" t="s">
        <v>511</v>
      </c>
      <c r="BP13" s="156"/>
      <c r="BQ13" s="157"/>
      <c r="BR13" s="211"/>
      <c r="BS13" s="156"/>
      <c r="BT13" s="157"/>
      <c r="BU13" s="211"/>
      <c r="BV13" s="156">
        <v>226.1</v>
      </c>
      <c r="BW13" s="157">
        <v>38</v>
      </c>
      <c r="BX13" s="211" t="s">
        <v>511</v>
      </c>
      <c r="BY13" s="156"/>
      <c r="BZ13" s="157"/>
      <c r="CA13" s="211"/>
      <c r="CB13" s="156"/>
      <c r="CC13" s="157"/>
      <c r="CD13" s="211"/>
      <c r="CE13" s="156">
        <v>185.4</v>
      </c>
      <c r="CF13" s="157">
        <v>31.16</v>
      </c>
      <c r="CG13" s="211" t="s">
        <v>511</v>
      </c>
      <c r="CH13" s="156"/>
      <c r="CI13" s="157"/>
      <c r="CJ13" s="211"/>
      <c r="CK13" s="156"/>
      <c r="CL13" s="157"/>
      <c r="CM13" s="211"/>
      <c r="CN13" s="156"/>
      <c r="CO13" s="157"/>
      <c r="CP13" s="211"/>
      <c r="CQ13" s="156">
        <v>278.23</v>
      </c>
      <c r="CR13" s="157">
        <v>45.99</v>
      </c>
      <c r="CS13" s="211" t="s">
        <v>511</v>
      </c>
      <c r="CT13" s="156"/>
      <c r="CU13" s="157"/>
      <c r="CV13" s="211"/>
      <c r="CW13" s="156"/>
      <c r="CX13" s="157"/>
      <c r="CY13" s="211"/>
      <c r="CZ13" s="222"/>
      <c r="DA13" s="223"/>
    </row>
    <row r="14" spans="1:105" ht="20.25" customHeight="1" x14ac:dyDescent="0.25">
      <c r="A14" s="151" t="s">
        <v>1055</v>
      </c>
      <c r="B14" s="152" t="s">
        <v>1407</v>
      </c>
      <c r="C14" s="152" t="s">
        <v>16</v>
      </c>
      <c r="D14" s="152" t="s">
        <v>6</v>
      </c>
      <c r="E14" s="152">
        <v>49015</v>
      </c>
      <c r="F14" s="152">
        <v>54130</v>
      </c>
      <c r="G14" s="152">
        <f t="shared" ref="G14:G15" si="3">F14-E14</f>
        <v>5115</v>
      </c>
      <c r="H14" s="179">
        <f t="shared" ref="H14:H15" si="4">SUM(K14+N14+Q14+T14+W14+Z14+AC14+AF14+AI14+AL14+AO14+AR14+AU14+AX14+BA14+BD14+BG14+BJ14+BM14+BP14+BS14+BV14+BY14+CB14+CE14+CH14+CK14+CN14+CQ14+CT14+CW14)</f>
        <v>1578.2</v>
      </c>
      <c r="I14" s="153">
        <f t="shared" ref="I14:I15" si="5">COUNTA(L14,O14,R14,U14,X14,AA14,AD14,AG14,AJ14,AM14,AP14,AS14,AV14,AY14,BB14,BE14,BH14,BK14,BN14,BQ14,BT14,BW14,BZ14,CC14,CF14,CI14,CL14,CO14,CR14,CU14,CX14)</f>
        <v>7</v>
      </c>
      <c r="J14" s="153" t="s">
        <v>73</v>
      </c>
      <c r="K14" s="156"/>
      <c r="L14" s="157"/>
      <c r="M14" s="211"/>
      <c r="N14" s="156"/>
      <c r="O14" s="157"/>
      <c r="P14" s="211"/>
      <c r="Q14" s="156">
        <v>226.55</v>
      </c>
      <c r="R14" s="157">
        <v>37.44</v>
      </c>
      <c r="S14" s="211" t="s">
        <v>511</v>
      </c>
      <c r="T14" s="156">
        <v>128.01</v>
      </c>
      <c r="U14" s="157">
        <v>21.02</v>
      </c>
      <c r="V14" s="211" t="s">
        <v>511</v>
      </c>
      <c r="W14" s="156"/>
      <c r="X14" s="157"/>
      <c r="Y14" s="211"/>
      <c r="Z14" s="156"/>
      <c r="AA14" s="157"/>
      <c r="AB14" s="211"/>
      <c r="AC14" s="156"/>
      <c r="AD14" s="157"/>
      <c r="AE14" s="211"/>
      <c r="AF14" s="156"/>
      <c r="AG14" s="157"/>
      <c r="AH14" s="211"/>
      <c r="AI14" s="156"/>
      <c r="AJ14" s="157"/>
      <c r="AK14" s="211"/>
      <c r="AL14" s="156"/>
      <c r="AM14" s="157"/>
      <c r="AN14" s="211"/>
      <c r="AO14" s="156"/>
      <c r="AP14" s="157"/>
      <c r="AQ14" s="211"/>
      <c r="AR14" s="156"/>
      <c r="AS14" s="157"/>
      <c r="AT14" s="211"/>
      <c r="AU14" s="156"/>
      <c r="AV14" s="157"/>
      <c r="AW14" s="211"/>
      <c r="AX14" s="156"/>
      <c r="AY14" s="157"/>
      <c r="AZ14" s="211"/>
      <c r="BA14" s="156"/>
      <c r="BB14" s="157"/>
      <c r="BC14" s="211"/>
      <c r="BD14" s="156">
        <v>307.38</v>
      </c>
      <c r="BE14" s="157">
        <v>49.25</v>
      </c>
      <c r="BF14" s="211" t="s">
        <v>511</v>
      </c>
      <c r="BG14" s="156"/>
      <c r="BH14" s="157"/>
      <c r="BI14" s="211"/>
      <c r="BJ14" s="156"/>
      <c r="BK14" s="157"/>
      <c r="BL14" s="211"/>
      <c r="BM14" s="156"/>
      <c r="BN14" s="157"/>
      <c r="BO14" s="211"/>
      <c r="BP14" s="156">
        <v>197.74</v>
      </c>
      <c r="BQ14" s="157">
        <v>31.69</v>
      </c>
      <c r="BR14" s="211" t="s">
        <v>511</v>
      </c>
      <c r="BS14" s="156"/>
      <c r="BT14" s="157"/>
      <c r="BU14" s="211"/>
      <c r="BV14" s="156"/>
      <c r="BW14" s="157"/>
      <c r="BX14" s="211"/>
      <c r="BY14" s="156">
        <v>155.37</v>
      </c>
      <c r="BZ14" s="157">
        <v>24.9</v>
      </c>
      <c r="CA14" s="211" t="s">
        <v>1408</v>
      </c>
      <c r="CB14" s="156"/>
      <c r="CC14" s="157"/>
      <c r="CD14" s="211"/>
      <c r="CE14" s="156">
        <v>303.07</v>
      </c>
      <c r="CF14" s="157">
        <v>48.56</v>
      </c>
      <c r="CG14" s="211" t="s">
        <v>1408</v>
      </c>
      <c r="CH14" s="156"/>
      <c r="CI14" s="157"/>
      <c r="CJ14" s="211"/>
      <c r="CK14" s="156">
        <v>260.08</v>
      </c>
      <c r="CL14" s="157">
        <v>41.68</v>
      </c>
      <c r="CM14" s="211" t="s">
        <v>511</v>
      </c>
      <c r="CN14" s="156"/>
      <c r="CO14" s="157"/>
      <c r="CP14" s="211"/>
      <c r="CQ14" s="156"/>
      <c r="CR14" s="157"/>
      <c r="CS14" s="211"/>
      <c r="CT14" s="156"/>
      <c r="CU14" s="157"/>
      <c r="CV14" s="211"/>
      <c r="CW14" s="156"/>
      <c r="CX14" s="157"/>
      <c r="CY14" s="211"/>
      <c r="CZ14" s="222"/>
      <c r="DA14" s="223"/>
    </row>
    <row r="15" spans="1:105" ht="20.25" customHeight="1" thickBot="1" x14ac:dyDescent="0.3">
      <c r="A15" s="147" t="s">
        <v>1416</v>
      </c>
      <c r="B15" s="148" t="s">
        <v>1404</v>
      </c>
      <c r="C15" s="148" t="s">
        <v>61</v>
      </c>
      <c r="D15" s="148" t="s">
        <v>6</v>
      </c>
      <c r="E15" s="148">
        <v>41560</v>
      </c>
      <c r="F15" s="148">
        <v>43253</v>
      </c>
      <c r="G15" s="148">
        <f t="shared" si="3"/>
        <v>1693</v>
      </c>
      <c r="H15" s="149">
        <f t="shared" si="4"/>
        <v>712.57</v>
      </c>
      <c r="I15" s="150">
        <f t="shared" si="5"/>
        <v>3</v>
      </c>
      <c r="J15" s="150" t="s">
        <v>73</v>
      </c>
      <c r="K15" s="140"/>
      <c r="L15" s="141"/>
      <c r="M15" s="226"/>
      <c r="N15" s="140"/>
      <c r="O15" s="141"/>
      <c r="P15" s="226"/>
      <c r="Q15" s="140"/>
      <c r="R15" s="141"/>
      <c r="S15" s="226"/>
      <c r="T15" s="140"/>
      <c r="U15" s="141"/>
      <c r="V15" s="226"/>
      <c r="W15" s="140"/>
      <c r="X15" s="141"/>
      <c r="Y15" s="226"/>
      <c r="Z15" s="140"/>
      <c r="AA15" s="141"/>
      <c r="AB15" s="226"/>
      <c r="AC15" s="140"/>
      <c r="AD15" s="141"/>
      <c r="AE15" s="226"/>
      <c r="AF15" s="140"/>
      <c r="AG15" s="141"/>
      <c r="AH15" s="226"/>
      <c r="AI15" s="140"/>
      <c r="AJ15" s="141"/>
      <c r="AK15" s="226"/>
      <c r="AL15" s="140"/>
      <c r="AM15" s="141"/>
      <c r="AN15" s="226"/>
      <c r="AO15" s="140">
        <v>234.41</v>
      </c>
      <c r="AP15" s="141">
        <v>37.58</v>
      </c>
      <c r="AQ15" s="226" t="s">
        <v>511</v>
      </c>
      <c r="AR15" s="140"/>
      <c r="AS15" s="141"/>
      <c r="AT15" s="226"/>
      <c r="AU15" s="140"/>
      <c r="AV15" s="141"/>
      <c r="AW15" s="226"/>
      <c r="AX15" s="140"/>
      <c r="AY15" s="141"/>
      <c r="AZ15" s="226"/>
      <c r="BA15" s="140"/>
      <c r="BB15" s="141"/>
      <c r="BC15" s="226"/>
      <c r="BD15" s="140"/>
      <c r="BE15" s="141"/>
      <c r="BF15" s="226"/>
      <c r="BG15" s="140">
        <v>233.56</v>
      </c>
      <c r="BH15" s="141">
        <v>37.43</v>
      </c>
      <c r="BI15" s="226" t="s">
        <v>511</v>
      </c>
      <c r="BJ15" s="140"/>
      <c r="BK15" s="141"/>
      <c r="BL15" s="226"/>
      <c r="BM15" s="140"/>
      <c r="BN15" s="141"/>
      <c r="BO15" s="226"/>
      <c r="BP15" s="140"/>
      <c r="BQ15" s="141"/>
      <c r="BR15" s="226"/>
      <c r="BS15" s="140"/>
      <c r="BT15" s="141"/>
      <c r="BU15" s="226"/>
      <c r="BV15" s="140"/>
      <c r="BW15" s="141"/>
      <c r="BX15" s="226"/>
      <c r="BY15" s="140"/>
      <c r="BZ15" s="141"/>
      <c r="CA15" s="226"/>
      <c r="CB15" s="140">
        <v>244.6</v>
      </c>
      <c r="CC15" s="141">
        <v>39.200000000000003</v>
      </c>
      <c r="CD15" s="226" t="s">
        <v>511</v>
      </c>
      <c r="CE15" s="140"/>
      <c r="CF15" s="141"/>
      <c r="CG15" s="226"/>
      <c r="CH15" s="140"/>
      <c r="CI15" s="141"/>
      <c r="CJ15" s="226"/>
      <c r="CK15" s="140"/>
      <c r="CL15" s="141"/>
      <c r="CM15" s="226"/>
      <c r="CN15" s="140"/>
      <c r="CO15" s="141"/>
      <c r="CP15" s="226"/>
      <c r="CQ15" s="140"/>
      <c r="CR15" s="141"/>
      <c r="CS15" s="226"/>
      <c r="CT15" s="140"/>
      <c r="CU15" s="141"/>
      <c r="CV15" s="226"/>
      <c r="CW15" s="140"/>
      <c r="CX15" s="141"/>
      <c r="CY15" s="226"/>
      <c r="CZ15" s="227"/>
      <c r="DA15" s="228"/>
    </row>
    <row r="16" spans="1:105" ht="20.25" customHeight="1" thickBot="1" x14ac:dyDescent="0.3">
      <c r="A16" s="151" t="s">
        <v>1055</v>
      </c>
      <c r="B16" s="152" t="s">
        <v>1407</v>
      </c>
      <c r="C16" s="152" t="s">
        <v>16</v>
      </c>
      <c r="D16" s="152" t="s">
        <v>6</v>
      </c>
      <c r="E16" s="152">
        <v>54130</v>
      </c>
      <c r="F16" s="152">
        <v>55428</v>
      </c>
      <c r="G16" s="152">
        <f t="shared" ref="G16:G17" si="6">F16-E16</f>
        <v>1298</v>
      </c>
      <c r="H16" s="179">
        <f t="shared" ref="H16" si="7">SUM(K16+N16+Q16+T16+W16+Z16+AC16+AF16+AI16+AL16+AO16+AR16+AU16+AX16+BA16+BD16+BG16+BJ16+BM16+BP16+BS16+BV16+BY16+CB16+CE16+CH16+CK16+CN16+CQ16+CT16+CW16)</f>
        <v>1298.48</v>
      </c>
      <c r="I16" s="153">
        <f t="shared" ref="I16" si="8">COUNTA(L16,O16,R16,U16,X16,AA16,AD16,AG16,AJ16,AM16,AP16,AS16,AV16,AY16,BB16,BE16,BH16,BK16,BN16,BQ16,BT16,BW16,BZ16,CC16,CF16,CI16,CL16,CO16,CR16,CU16,CX16)</f>
        <v>5</v>
      </c>
      <c r="J16" s="153" t="s">
        <v>74</v>
      </c>
      <c r="K16" s="156">
        <v>304.13</v>
      </c>
      <c r="L16" s="157">
        <v>49.94</v>
      </c>
      <c r="M16" s="211" t="s">
        <v>1427</v>
      </c>
      <c r="N16" s="156"/>
      <c r="O16" s="157"/>
      <c r="P16" s="211"/>
      <c r="Q16" s="156"/>
      <c r="R16" s="157"/>
      <c r="S16" s="211"/>
      <c r="T16" s="156"/>
      <c r="U16" s="157"/>
      <c r="V16" s="211"/>
      <c r="W16" s="156"/>
      <c r="X16" s="157"/>
      <c r="Y16" s="211"/>
      <c r="Z16" s="156"/>
      <c r="AA16" s="157"/>
      <c r="AB16" s="211"/>
      <c r="AC16" s="156"/>
      <c r="AD16" s="157"/>
      <c r="AE16" s="211"/>
      <c r="AF16" s="156">
        <v>287.93</v>
      </c>
      <c r="AG16" s="157">
        <v>47.28</v>
      </c>
      <c r="AH16" s="211" t="s">
        <v>1427</v>
      </c>
      <c r="AI16" s="156"/>
      <c r="AJ16" s="157"/>
      <c r="AK16" s="211"/>
      <c r="AL16" s="156"/>
      <c r="AM16" s="157"/>
      <c r="AN16" s="211"/>
      <c r="AO16" s="156"/>
      <c r="AP16" s="157"/>
      <c r="AQ16" s="211"/>
      <c r="AR16" s="156"/>
      <c r="AS16" s="157"/>
      <c r="AT16" s="211"/>
      <c r="AU16" s="156"/>
      <c r="AV16" s="157"/>
      <c r="AW16" s="211"/>
      <c r="AX16" s="156"/>
      <c r="AY16" s="157"/>
      <c r="AZ16" s="211"/>
      <c r="BA16" s="156"/>
      <c r="BB16" s="157"/>
      <c r="BC16" s="211"/>
      <c r="BD16" s="156"/>
      <c r="BE16" s="157"/>
      <c r="BF16" s="211"/>
      <c r="BG16" s="156"/>
      <c r="BH16" s="157"/>
      <c r="BI16" s="211"/>
      <c r="BJ16" s="156"/>
      <c r="BK16" s="157"/>
      <c r="BL16" s="211"/>
      <c r="BM16" s="156"/>
      <c r="BN16" s="157"/>
      <c r="BO16" s="211"/>
      <c r="BP16" s="156">
        <v>261.74</v>
      </c>
      <c r="BQ16" s="157">
        <v>42.98</v>
      </c>
      <c r="BR16" s="211" t="s">
        <v>1507</v>
      </c>
      <c r="BS16" s="156"/>
      <c r="BT16" s="157"/>
      <c r="BU16" s="211"/>
      <c r="BV16" s="156"/>
      <c r="BW16" s="157"/>
      <c r="BX16" s="211"/>
      <c r="BY16" s="156">
        <v>170.13</v>
      </c>
      <c r="BZ16" s="157">
        <v>28.4</v>
      </c>
      <c r="CA16" s="211" t="s">
        <v>1507</v>
      </c>
      <c r="CB16" s="156"/>
      <c r="CC16" s="157"/>
      <c r="CD16" s="211"/>
      <c r="CE16" s="156"/>
      <c r="CF16" s="157"/>
      <c r="CG16" s="211"/>
      <c r="CH16" s="156"/>
      <c r="CI16" s="157"/>
      <c r="CJ16" s="211"/>
      <c r="CK16" s="156"/>
      <c r="CL16" s="157"/>
      <c r="CM16" s="211"/>
      <c r="CN16" s="156"/>
      <c r="CO16" s="157"/>
      <c r="CP16" s="211"/>
      <c r="CQ16" s="156"/>
      <c r="CR16" s="157"/>
      <c r="CS16" s="211"/>
      <c r="CT16" s="156">
        <v>274.55</v>
      </c>
      <c r="CU16" s="157">
        <v>45.83</v>
      </c>
      <c r="CV16" s="211" t="s">
        <v>1507</v>
      </c>
      <c r="CW16" s="156"/>
      <c r="CX16" s="157"/>
      <c r="CY16" s="211"/>
      <c r="CZ16" s="222"/>
      <c r="DA16" s="223"/>
    </row>
    <row r="17" spans="1:105" ht="20.25" customHeight="1" x14ac:dyDescent="0.25">
      <c r="A17" s="151" t="s">
        <v>1055</v>
      </c>
      <c r="B17" s="152" t="s">
        <v>1617</v>
      </c>
      <c r="C17" s="152" t="s">
        <v>109</v>
      </c>
      <c r="D17" s="152" t="s">
        <v>6</v>
      </c>
      <c r="E17" s="152">
        <v>10473</v>
      </c>
      <c r="F17" s="152">
        <v>11957</v>
      </c>
      <c r="G17" s="152">
        <f t="shared" si="6"/>
        <v>1484</v>
      </c>
      <c r="H17" s="179">
        <f t="shared" ref="H17" si="9">SUM(K17+N17+Q17+T17+W17+Z17+AC17+AF17+AI17+AL17+AO17+AR17+AU17+AX17+BA17+BD17+BG17+BJ17+BM17+BP17+BS17+BV17+BY17+CB17+CE17+CH17+CK17+CN17+CQ17+CT17+CW17)</f>
        <v>0</v>
      </c>
      <c r="I17" s="153">
        <f t="shared" ref="I17" si="10">COUNTA(L17,O17,R17,U17,X17,AA17,AD17,AG17,AJ17,AM17,AP17,AS17,AV17,AY17,BB17,BE17,BH17,BK17,BN17,BQ17,BT17,BW17,BZ17,CC17,CF17,CI17,CL17,CO17,CR17,CU17,CX17)</f>
        <v>0</v>
      </c>
      <c r="J17" s="153" t="s">
        <v>77</v>
      </c>
      <c r="K17" s="156"/>
      <c r="L17" s="157"/>
      <c r="M17" s="211"/>
      <c r="N17" s="156"/>
      <c r="O17" s="157"/>
      <c r="P17" s="211"/>
      <c r="Q17" s="156"/>
      <c r="R17" s="157"/>
      <c r="S17" s="211"/>
      <c r="T17" s="156"/>
      <c r="U17" s="157"/>
      <c r="V17" s="211"/>
      <c r="W17" s="156"/>
      <c r="X17" s="157"/>
      <c r="Y17" s="211"/>
      <c r="Z17" s="156"/>
      <c r="AA17" s="157"/>
      <c r="AB17" s="211"/>
      <c r="AC17" s="156"/>
      <c r="AD17" s="157"/>
      <c r="AE17" s="211"/>
      <c r="AF17" s="156"/>
      <c r="AG17" s="157"/>
      <c r="AH17" s="211"/>
      <c r="AI17" s="156"/>
      <c r="AJ17" s="157"/>
      <c r="AK17" s="211"/>
      <c r="AL17" s="156"/>
      <c r="AM17" s="157"/>
      <c r="AN17" s="211"/>
      <c r="AO17" s="156"/>
      <c r="AP17" s="157"/>
      <c r="AQ17" s="211"/>
      <c r="AR17" s="156"/>
      <c r="AS17" s="157"/>
      <c r="AT17" s="211"/>
      <c r="AU17" s="156"/>
      <c r="AV17" s="157"/>
      <c r="AW17" s="211"/>
      <c r="AX17" s="156"/>
      <c r="AY17" s="157"/>
      <c r="AZ17" s="211"/>
      <c r="BA17" s="156"/>
      <c r="BB17" s="157"/>
      <c r="BC17" s="211"/>
      <c r="BD17" s="156"/>
      <c r="BE17" s="157"/>
      <c r="BF17" s="211"/>
      <c r="BG17" s="156"/>
      <c r="BH17" s="157"/>
      <c r="BI17" s="211"/>
      <c r="BJ17" s="156"/>
      <c r="BK17" s="157"/>
      <c r="BL17" s="211"/>
      <c r="BM17" s="156"/>
      <c r="BN17" s="157"/>
      <c r="BO17" s="211"/>
      <c r="BP17" s="156"/>
      <c r="BQ17" s="157"/>
      <c r="BR17" s="211"/>
      <c r="BS17" s="156"/>
      <c r="BT17" s="157"/>
      <c r="BU17" s="211"/>
      <c r="BV17" s="156"/>
      <c r="BW17" s="157"/>
      <c r="BX17" s="211"/>
      <c r="BY17" s="156"/>
      <c r="BZ17" s="157"/>
      <c r="CA17" s="211"/>
      <c r="CB17" s="156"/>
      <c r="CC17" s="157"/>
      <c r="CD17" s="211"/>
      <c r="CE17" s="156"/>
      <c r="CF17" s="157"/>
      <c r="CG17" s="211"/>
      <c r="CH17" s="156"/>
      <c r="CI17" s="157"/>
      <c r="CJ17" s="211"/>
      <c r="CK17" s="156"/>
      <c r="CL17" s="157"/>
      <c r="CM17" s="211"/>
      <c r="CN17" s="156"/>
      <c r="CO17" s="157"/>
      <c r="CP17" s="211"/>
      <c r="CQ17" s="156"/>
      <c r="CR17" s="157"/>
      <c r="CS17" s="211"/>
      <c r="CT17" s="156"/>
      <c r="CU17" s="157"/>
      <c r="CV17" s="211"/>
      <c r="CW17" s="156"/>
      <c r="CX17" s="157"/>
      <c r="CY17" s="211"/>
      <c r="CZ17" s="222"/>
      <c r="DA17" s="223"/>
    </row>
    <row r="19" spans="1:105" ht="15.75" thickBot="1" x14ac:dyDescent="0.3"/>
    <row r="20" spans="1:105" x14ac:dyDescent="0.25">
      <c r="G20" s="152"/>
    </row>
  </sheetData>
  <mergeCells count="34">
    <mergeCell ref="AO1:AQ1"/>
    <mergeCell ref="C1:J1"/>
    <mergeCell ref="K1:M1"/>
    <mergeCell ref="N1:P1"/>
    <mergeCell ref="Q1:S1"/>
    <mergeCell ref="T1:V1"/>
    <mergeCell ref="W1:Y1"/>
    <mergeCell ref="Z1:AB1"/>
    <mergeCell ref="AC1:AE1"/>
    <mergeCell ref="AF1:AH1"/>
    <mergeCell ref="AI1:AK1"/>
    <mergeCell ref="AL1:AN1"/>
    <mergeCell ref="BY1:CA1"/>
    <mergeCell ref="AR1:AT1"/>
    <mergeCell ref="AU1:AW1"/>
    <mergeCell ref="AX1:AZ1"/>
    <mergeCell ref="BA1:BC1"/>
    <mergeCell ref="BD1:BF1"/>
    <mergeCell ref="BG1:BI1"/>
    <mergeCell ref="BJ1:BL1"/>
    <mergeCell ref="BM1:BO1"/>
    <mergeCell ref="BP1:BR1"/>
    <mergeCell ref="BS1:BU1"/>
    <mergeCell ref="BV1:BX1"/>
    <mergeCell ref="CT1:CV1"/>
    <mergeCell ref="CW1:CY1"/>
    <mergeCell ref="CZ1:CZ2"/>
    <mergeCell ref="DA1:DA2"/>
    <mergeCell ref="CB1:CD1"/>
    <mergeCell ref="CE1:CG1"/>
    <mergeCell ref="CH1:CJ1"/>
    <mergeCell ref="CK1:CM1"/>
    <mergeCell ref="CN1:CP1"/>
    <mergeCell ref="CQ1:CS1"/>
  </mergeCells>
  <conditionalFormatting sqref="A8:C8 A9 C9">
    <cfRule type="cellIs" dxfId="16" priority="13" operator="equal">
      <formula>0</formula>
    </cfRule>
  </conditionalFormatting>
  <conditionalFormatting sqref="A10:DA17">
    <cfRule type="cellIs" dxfId="15" priority="1" operator="equal">
      <formula>0</formula>
    </cfRule>
  </conditionalFormatting>
  <conditionalFormatting sqref="C7">
    <cfRule type="cellIs" dxfId="14" priority="12" operator="equal">
      <formula>0</formula>
    </cfRule>
  </conditionalFormatting>
  <conditionalFormatting sqref="D7:DA9">
    <cfRule type="cellIs" dxfId="13" priority="6" operator="equal">
      <formula>0</formula>
    </cfRule>
  </conditionalFormatting>
  <conditionalFormatting sqref="G2:G5 A3:F3 H3:DA5 A4 C4:D4 F4:G4 A5:E5 A6:DA6 A7">
    <cfRule type="cellIs" dxfId="12" priority="16" operator="equal">
      <formula>0</formula>
    </cfRule>
  </conditionalFormatting>
  <conditionalFormatting sqref="G20">
    <cfRule type="cellIs" dxfId="11" priority="3" operator="equal">
      <formula>0</formula>
    </cfRule>
  </conditionalFormatting>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4:N14"/>
  <sheetViews>
    <sheetView showGridLines="0" zoomScaleNormal="100" workbookViewId="0">
      <pane xSplit="3" ySplit="4" topLeftCell="D5" activePane="bottomRight" state="frozen"/>
      <selection pane="topRight" activeCell="D1" sqref="D1"/>
      <selection pane="bottomLeft" activeCell="A6" sqref="A6"/>
      <selection pane="bottomRight" activeCell="S21" sqref="S21"/>
    </sheetView>
  </sheetViews>
  <sheetFormatPr defaultRowHeight="15" x14ac:dyDescent="0.25"/>
  <cols>
    <col min="1" max="1" width="17.28515625" style="380" bestFit="1" customWidth="1"/>
    <col min="2" max="2" width="12.140625" style="71" bestFit="1" customWidth="1"/>
    <col min="3" max="3" width="10.28515625" style="71" bestFit="1" customWidth="1"/>
    <col min="4" max="4" width="10.28515625" style="71" customWidth="1"/>
    <col min="5" max="5" width="10.85546875" bestFit="1" customWidth="1"/>
    <col min="6" max="6" width="9.5703125" bestFit="1" customWidth="1"/>
    <col min="7" max="7" width="15.85546875" bestFit="1" customWidth="1"/>
    <col min="8" max="8" width="10.7109375" bestFit="1" customWidth="1"/>
    <col min="9" max="9" width="20.5703125" bestFit="1" customWidth="1"/>
    <col min="10" max="10" width="20.28515625" bestFit="1" customWidth="1"/>
    <col min="11" max="11" width="17.28515625" customWidth="1"/>
    <col min="12" max="12" width="8.85546875" bestFit="1" customWidth="1"/>
    <col min="13" max="13" width="9.5703125" bestFit="1" customWidth="1"/>
    <col min="14" max="14" width="15.7109375" bestFit="1" customWidth="1"/>
  </cols>
  <sheetData>
    <row r="4" spans="1:14" s="13" customFormat="1" ht="30" x14ac:dyDescent="0.25">
      <c r="A4" s="413" t="s">
        <v>67</v>
      </c>
      <c r="B4" s="413" t="s">
        <v>68</v>
      </c>
      <c r="C4" s="413" t="s">
        <v>0</v>
      </c>
      <c r="D4" s="205" t="s">
        <v>24</v>
      </c>
      <c r="E4" s="413" t="s">
        <v>69</v>
      </c>
      <c r="F4" s="413" t="s">
        <v>70</v>
      </c>
      <c r="G4" s="413" t="s">
        <v>71</v>
      </c>
      <c r="H4" s="372" t="s">
        <v>78</v>
      </c>
      <c r="I4" s="373" t="s">
        <v>98</v>
      </c>
      <c r="J4" s="373" t="s">
        <v>99</v>
      </c>
      <c r="K4" s="374" t="s">
        <v>508</v>
      </c>
      <c r="L4" s="374" t="s">
        <v>499</v>
      </c>
      <c r="M4" s="371" t="s">
        <v>72</v>
      </c>
      <c r="N4" s="371" t="s">
        <v>4</v>
      </c>
    </row>
    <row r="5" spans="1:14" ht="21.95" customHeight="1" x14ac:dyDescent="0.25">
      <c r="A5" s="401" t="s">
        <v>413</v>
      </c>
      <c r="B5" s="402" t="s">
        <v>157</v>
      </c>
      <c r="C5" s="402" t="s">
        <v>859</v>
      </c>
      <c r="D5" s="393" t="s">
        <v>6</v>
      </c>
      <c r="E5" s="403">
        <v>44038</v>
      </c>
      <c r="F5" s="403">
        <v>46142</v>
      </c>
      <c r="G5" s="403">
        <f>F5-E5</f>
        <v>2104</v>
      </c>
      <c r="H5" s="377">
        <f>SUM(I5+J5)</f>
        <v>603.38</v>
      </c>
      <c r="I5" s="377">
        <v>332.59</v>
      </c>
      <c r="J5" s="377">
        <v>270.79000000000002</v>
      </c>
      <c r="K5" s="378">
        <v>4</v>
      </c>
      <c r="L5" s="378">
        <v>107.45</v>
      </c>
      <c r="M5" s="146" t="s">
        <v>1050</v>
      </c>
      <c r="N5" s="379" t="s">
        <v>503</v>
      </c>
    </row>
    <row r="6" spans="1:14" ht="21.95" customHeight="1" x14ac:dyDescent="0.25">
      <c r="A6" s="381" t="s">
        <v>298</v>
      </c>
      <c r="B6" s="298" t="s">
        <v>61</v>
      </c>
      <c r="C6" s="298" t="s">
        <v>361</v>
      </c>
      <c r="D6" s="145" t="s">
        <v>6</v>
      </c>
      <c r="E6" s="363">
        <v>35529</v>
      </c>
      <c r="F6" s="363">
        <v>37274</v>
      </c>
      <c r="G6" s="363">
        <f>F6-E6</f>
        <v>1745</v>
      </c>
      <c r="H6" s="251">
        <f t="shared" ref="H6:H14" si="0">SUM(I6+J6)</f>
        <v>821.55</v>
      </c>
      <c r="I6" s="251">
        <v>423.07</v>
      </c>
      <c r="J6" s="251">
        <v>398.48</v>
      </c>
      <c r="K6" s="364">
        <v>4</v>
      </c>
      <c r="L6" s="364">
        <v>141.262</v>
      </c>
      <c r="M6" s="143" t="s">
        <v>1050</v>
      </c>
      <c r="N6" s="250"/>
    </row>
    <row r="7" spans="1:14" ht="21.95" customHeight="1" x14ac:dyDescent="0.25">
      <c r="A7" s="382" t="s">
        <v>1038</v>
      </c>
      <c r="B7" s="299" t="s">
        <v>16</v>
      </c>
      <c r="C7" s="299" t="s">
        <v>1027</v>
      </c>
      <c r="D7" s="414" t="s">
        <v>6</v>
      </c>
      <c r="E7" s="367">
        <v>11110</v>
      </c>
      <c r="F7" s="367">
        <v>14051</v>
      </c>
      <c r="G7" s="367">
        <f>F7-E7</f>
        <v>2941</v>
      </c>
      <c r="H7" s="368">
        <f t="shared" si="0"/>
        <v>1685.54</v>
      </c>
      <c r="I7" s="368">
        <v>677.87</v>
      </c>
      <c r="J7" s="368">
        <v>1007.67</v>
      </c>
      <c r="K7" s="369">
        <v>7</v>
      </c>
      <c r="L7" s="369">
        <v>283.77999999999997</v>
      </c>
      <c r="M7" s="366" t="s">
        <v>1050</v>
      </c>
      <c r="N7" s="370"/>
    </row>
    <row r="8" spans="1:14" ht="21.95" customHeight="1" x14ac:dyDescent="0.25">
      <c r="A8" s="401" t="s">
        <v>1114</v>
      </c>
      <c r="B8" s="402" t="s">
        <v>61</v>
      </c>
      <c r="C8" s="402" t="s">
        <v>361</v>
      </c>
      <c r="D8" s="414" t="s">
        <v>6</v>
      </c>
      <c r="E8" s="363">
        <v>37274</v>
      </c>
      <c r="F8" s="403">
        <v>37730</v>
      </c>
      <c r="G8" s="403">
        <f t="shared" ref="G8:G14" si="1">F8-E8</f>
        <v>456</v>
      </c>
      <c r="H8" s="368">
        <f t="shared" si="0"/>
        <v>202.99</v>
      </c>
      <c r="I8" s="404">
        <v>202.99</v>
      </c>
      <c r="J8" s="404">
        <v>0</v>
      </c>
      <c r="K8" s="405">
        <v>1</v>
      </c>
      <c r="L8" s="405">
        <v>35.119999999999997</v>
      </c>
      <c r="M8" s="395" t="s">
        <v>80</v>
      </c>
      <c r="N8" s="406"/>
    </row>
    <row r="9" spans="1:14" ht="21.95" customHeight="1" x14ac:dyDescent="0.25">
      <c r="A9" s="382" t="s">
        <v>1038</v>
      </c>
      <c r="B9" s="299" t="s">
        <v>16</v>
      </c>
      <c r="C9" s="299" t="s">
        <v>1027</v>
      </c>
      <c r="D9" s="414" t="s">
        <v>6</v>
      </c>
      <c r="E9" s="367">
        <v>14051</v>
      </c>
      <c r="F9" s="367">
        <v>17195</v>
      </c>
      <c r="G9" s="367">
        <f t="shared" si="1"/>
        <v>3144</v>
      </c>
      <c r="H9" s="368">
        <f t="shared" si="0"/>
        <v>1923.46</v>
      </c>
      <c r="I9" s="368">
        <v>837.17</v>
      </c>
      <c r="J9" s="368">
        <v>1086.29</v>
      </c>
      <c r="K9" s="369">
        <v>7</v>
      </c>
      <c r="L9" s="369">
        <v>137.37</v>
      </c>
      <c r="M9" s="366" t="s">
        <v>80</v>
      </c>
      <c r="N9" s="370"/>
    </row>
    <row r="10" spans="1:14" ht="21.95" customHeight="1" x14ac:dyDescent="0.25">
      <c r="A10" s="381" t="s">
        <v>1114</v>
      </c>
      <c r="B10" s="298" t="s">
        <v>61</v>
      </c>
      <c r="C10" s="298" t="s">
        <v>361</v>
      </c>
      <c r="D10" s="414" t="s">
        <v>6</v>
      </c>
      <c r="E10" s="298">
        <v>37730</v>
      </c>
      <c r="F10" s="363">
        <v>39250</v>
      </c>
      <c r="G10" s="363">
        <f t="shared" si="1"/>
        <v>1520</v>
      </c>
      <c r="H10" s="251">
        <f t="shared" si="0"/>
        <v>1257.57</v>
      </c>
      <c r="I10" s="251">
        <v>850</v>
      </c>
      <c r="J10" s="251">
        <v>407.57</v>
      </c>
      <c r="K10" s="364">
        <v>6</v>
      </c>
      <c r="L10" s="364">
        <v>225.54</v>
      </c>
      <c r="M10" s="143" t="s">
        <v>81</v>
      </c>
      <c r="N10" s="250"/>
    </row>
    <row r="11" spans="1:14" ht="21.95" customHeight="1" x14ac:dyDescent="0.25">
      <c r="A11" s="382" t="s">
        <v>1038</v>
      </c>
      <c r="B11" s="299" t="s">
        <v>16</v>
      </c>
      <c r="C11" s="299" t="s">
        <v>1027</v>
      </c>
      <c r="D11" s="414" t="s">
        <v>6</v>
      </c>
      <c r="E11" s="299">
        <v>17195</v>
      </c>
      <c r="F11" s="367">
        <v>21097</v>
      </c>
      <c r="G11" s="367">
        <f t="shared" si="1"/>
        <v>3902</v>
      </c>
      <c r="H11" s="368">
        <f t="shared" si="0"/>
        <v>1016.64</v>
      </c>
      <c r="I11" s="368">
        <v>763.79</v>
      </c>
      <c r="J11" s="368">
        <v>252.85</v>
      </c>
      <c r="K11" s="369">
        <v>4</v>
      </c>
      <c r="L11" s="369">
        <v>166</v>
      </c>
      <c r="M11" s="366" t="s">
        <v>81</v>
      </c>
      <c r="N11" s="370"/>
    </row>
    <row r="12" spans="1:14" ht="21.95" customHeight="1" x14ac:dyDescent="0.25">
      <c r="A12" s="381" t="s">
        <v>1114</v>
      </c>
      <c r="B12" s="298" t="s">
        <v>61</v>
      </c>
      <c r="C12" s="298" t="s">
        <v>361</v>
      </c>
      <c r="D12" s="414" t="s">
        <v>6</v>
      </c>
      <c r="E12" s="363">
        <v>39250</v>
      </c>
      <c r="F12" s="363">
        <v>39472</v>
      </c>
      <c r="G12" s="363">
        <f t="shared" si="1"/>
        <v>222</v>
      </c>
      <c r="H12" s="368">
        <f t="shared" si="0"/>
        <v>176.62</v>
      </c>
      <c r="I12" s="251"/>
      <c r="J12" s="251">
        <v>176.62</v>
      </c>
      <c r="K12" s="364">
        <v>1</v>
      </c>
      <c r="L12" s="364">
        <v>37.659999999999997</v>
      </c>
      <c r="M12" s="143" t="s">
        <v>82</v>
      </c>
      <c r="N12" s="250"/>
    </row>
    <row r="13" spans="1:14" ht="21.95" customHeight="1" x14ac:dyDescent="0.25">
      <c r="A13" s="382" t="s">
        <v>1038</v>
      </c>
      <c r="B13" s="299" t="s">
        <v>16</v>
      </c>
      <c r="C13" s="299" t="s">
        <v>1027</v>
      </c>
      <c r="D13" s="299" t="s">
        <v>6</v>
      </c>
      <c r="E13" s="367">
        <v>21097</v>
      </c>
      <c r="F13" s="367">
        <v>23899</v>
      </c>
      <c r="G13" s="367">
        <f t="shared" si="1"/>
        <v>2802</v>
      </c>
      <c r="H13" s="368">
        <f t="shared" si="0"/>
        <v>1417.6399999999999</v>
      </c>
      <c r="I13" s="368">
        <v>822.08</v>
      </c>
      <c r="J13" s="368">
        <v>595.55999999999995</v>
      </c>
      <c r="K13" s="369">
        <v>5</v>
      </c>
      <c r="L13" s="369">
        <v>231.97</v>
      </c>
      <c r="M13" s="366" t="s">
        <v>82</v>
      </c>
      <c r="N13" s="370"/>
    </row>
    <row r="14" spans="1:14" ht="21.95" customHeight="1" x14ac:dyDescent="0.25">
      <c r="A14" s="382" t="s">
        <v>1038</v>
      </c>
      <c r="B14" s="299" t="s">
        <v>16</v>
      </c>
      <c r="C14" s="299" t="s">
        <v>1027</v>
      </c>
      <c r="D14" s="299" t="s">
        <v>6</v>
      </c>
      <c r="E14" s="367">
        <v>23899</v>
      </c>
      <c r="F14">
        <v>25978</v>
      </c>
      <c r="G14" s="367">
        <f t="shared" si="1"/>
        <v>2079</v>
      </c>
      <c r="H14" s="368">
        <f t="shared" si="0"/>
        <v>276.97000000000003</v>
      </c>
      <c r="I14" s="368">
        <v>276.97000000000003</v>
      </c>
      <c r="J14" s="368">
        <v>0</v>
      </c>
      <c r="K14" s="369">
        <v>1</v>
      </c>
      <c r="L14" s="369">
        <v>45.48</v>
      </c>
      <c r="M14" s="366" t="s">
        <v>83</v>
      </c>
      <c r="N14" s="370"/>
    </row>
  </sheetData>
  <phoneticPr fontId="10" type="noConversion"/>
  <conditionalFormatting sqref="D5:D12">
    <cfRule type="cellIs" dxfId="10" priority="1" operator="equal">
      <formula>0</formula>
    </cfRule>
  </conditionalFormatting>
  <conditionalFormatting sqref="G5:G14">
    <cfRule type="cellIs" dxfId="9" priority="6" operator="equal">
      <formula>0</formula>
    </cfRule>
  </conditionalFormatting>
  <pageMargins left="0.511811024" right="0.511811024" top="0.78740157499999996" bottom="0.78740157499999996" header="0.31496062000000002" footer="0.31496062000000002"/>
  <pageSetup paperSize="9"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N60"/>
  <sheetViews>
    <sheetView showGridLines="0" zoomScaleNormal="100" workbookViewId="0">
      <pane xSplit="3" ySplit="4" topLeftCell="D37" activePane="bottomRight" state="frozen"/>
      <selection pane="topRight" activeCell="D1" sqref="D1"/>
      <selection pane="bottomLeft" activeCell="A6" sqref="A6"/>
      <selection pane="bottomRight" activeCell="J57" sqref="J57"/>
    </sheetView>
  </sheetViews>
  <sheetFormatPr defaultColWidth="9.140625" defaultRowHeight="15.75" x14ac:dyDescent="0.25"/>
  <cols>
    <col min="1" max="1" width="20.85546875" style="197" customWidth="1"/>
    <col min="2" max="2" width="12.28515625" style="197" bestFit="1" customWidth="1"/>
    <col min="3" max="3" width="10.7109375" style="197" bestFit="1" customWidth="1"/>
    <col min="4" max="4" width="10.7109375" style="197" customWidth="1"/>
    <col min="5" max="5" width="14.140625" style="300" bestFit="1" customWidth="1"/>
    <col min="6" max="6" width="13.140625" style="300" bestFit="1" customWidth="1"/>
    <col min="7" max="7" width="18.5703125" style="300" bestFit="1" customWidth="1"/>
    <col min="8" max="8" width="14" style="300" bestFit="1" customWidth="1"/>
    <col min="9" max="9" width="11.7109375" style="300" bestFit="1" customWidth="1"/>
    <col min="10" max="10" width="16.85546875" style="300" bestFit="1" customWidth="1"/>
    <col min="11" max="12" width="9.140625" style="300"/>
    <col min="13" max="13" width="10.5703125" style="300" bestFit="1" customWidth="1"/>
    <col min="14" max="14" width="21.140625" style="300" bestFit="1" customWidth="1"/>
    <col min="15" max="16384" width="9.140625" style="300"/>
  </cols>
  <sheetData>
    <row r="4" spans="1:14" s="13" customFormat="1" ht="45" x14ac:dyDescent="0.25">
      <c r="A4" s="371" t="s">
        <v>67</v>
      </c>
      <c r="B4" s="371" t="s">
        <v>68</v>
      </c>
      <c r="C4" s="371" t="s">
        <v>0</v>
      </c>
      <c r="D4" s="205" t="s">
        <v>24</v>
      </c>
      <c r="E4" s="371" t="s">
        <v>69</v>
      </c>
      <c r="F4" s="371" t="s">
        <v>70</v>
      </c>
      <c r="G4" s="371" t="s">
        <v>71</v>
      </c>
      <c r="H4" s="372" t="s">
        <v>78</v>
      </c>
      <c r="I4" s="373" t="s">
        <v>98</v>
      </c>
      <c r="J4" s="373" t="s">
        <v>99</v>
      </c>
      <c r="K4" s="374" t="s">
        <v>508</v>
      </c>
      <c r="L4" s="374" t="s">
        <v>499</v>
      </c>
      <c r="M4" s="371" t="s">
        <v>72</v>
      </c>
      <c r="N4" s="371" t="s">
        <v>4</v>
      </c>
    </row>
    <row r="5" spans="1:14" customFormat="1" ht="21.95" customHeight="1" x14ac:dyDescent="0.25">
      <c r="A5" s="375" t="s">
        <v>139</v>
      </c>
      <c r="B5" s="146" t="s">
        <v>51</v>
      </c>
      <c r="C5" s="146" t="s">
        <v>273</v>
      </c>
      <c r="D5" s="393" t="s">
        <v>6</v>
      </c>
      <c r="E5" s="390">
        <v>37591</v>
      </c>
      <c r="F5" s="376">
        <v>38560</v>
      </c>
      <c r="G5" s="376">
        <f t="shared" ref="G5:G28" si="0">F5-E5</f>
        <v>969</v>
      </c>
      <c r="H5" s="377">
        <f>SUM(I5+J5)</f>
        <v>526.18000000000006</v>
      </c>
      <c r="I5" s="377">
        <v>328.73</v>
      </c>
      <c r="J5" s="377">
        <v>197.45</v>
      </c>
      <c r="K5" s="378">
        <v>5</v>
      </c>
      <c r="L5" s="378">
        <v>157.11600000000001</v>
      </c>
      <c r="M5" s="613">
        <v>45292</v>
      </c>
      <c r="N5" s="379"/>
    </row>
    <row r="6" spans="1:14" customFormat="1" ht="21.95" customHeight="1" x14ac:dyDescent="0.25">
      <c r="A6" s="365" t="s">
        <v>1107</v>
      </c>
      <c r="B6" s="366" t="s">
        <v>51</v>
      </c>
      <c r="C6" s="366" t="s">
        <v>310</v>
      </c>
      <c r="D6" s="145" t="s">
        <v>6</v>
      </c>
      <c r="E6" s="367">
        <v>9625</v>
      </c>
      <c r="F6" s="367">
        <v>10649</v>
      </c>
      <c r="G6" s="367">
        <f t="shared" si="0"/>
        <v>1024</v>
      </c>
      <c r="H6" s="377">
        <f>SUM(I6+J6)</f>
        <v>440.53</v>
      </c>
      <c r="I6" s="368">
        <v>253.48</v>
      </c>
      <c r="J6" s="368">
        <v>187.05</v>
      </c>
      <c r="K6" s="369">
        <v>3</v>
      </c>
      <c r="L6" s="369">
        <v>74.16</v>
      </c>
      <c r="M6" s="613">
        <v>45292</v>
      </c>
      <c r="N6" s="370"/>
    </row>
    <row r="7" spans="1:14" customFormat="1" ht="21.95" customHeight="1" x14ac:dyDescent="0.25">
      <c r="A7" s="375" t="s">
        <v>139</v>
      </c>
      <c r="B7" s="146" t="s">
        <v>51</v>
      </c>
      <c r="C7" s="146" t="s">
        <v>273</v>
      </c>
      <c r="D7" s="145" t="s">
        <v>6</v>
      </c>
      <c r="E7" s="376">
        <v>38560</v>
      </c>
      <c r="F7" s="376">
        <v>39149</v>
      </c>
      <c r="G7" s="376">
        <f t="shared" si="0"/>
        <v>589</v>
      </c>
      <c r="H7" s="377">
        <f t="shared" ref="H7:H12" si="1">SUM(I7+J7)</f>
        <v>300.05</v>
      </c>
      <c r="I7" s="377">
        <v>123.62</v>
      </c>
      <c r="J7" s="377">
        <v>176.43</v>
      </c>
      <c r="K7" s="378">
        <v>3</v>
      </c>
      <c r="L7" s="378">
        <v>86.087999999999994</v>
      </c>
      <c r="M7" s="613">
        <v>45323</v>
      </c>
      <c r="N7" s="379"/>
    </row>
    <row r="8" spans="1:14" customFormat="1" ht="21.95" customHeight="1" x14ac:dyDescent="0.25">
      <c r="A8" s="365" t="s">
        <v>1107</v>
      </c>
      <c r="B8" s="366" t="s">
        <v>51</v>
      </c>
      <c r="C8" s="366" t="s">
        <v>310</v>
      </c>
      <c r="D8" s="145" t="s">
        <v>6</v>
      </c>
      <c r="E8" s="367">
        <v>10649</v>
      </c>
      <c r="F8" s="367">
        <v>11134</v>
      </c>
      <c r="G8" s="367">
        <f t="shared" si="0"/>
        <v>485</v>
      </c>
      <c r="H8" s="377">
        <f t="shared" si="1"/>
        <v>205.05</v>
      </c>
      <c r="I8" s="368">
        <v>205.05</v>
      </c>
      <c r="J8" s="368">
        <v>0</v>
      </c>
      <c r="K8" s="369">
        <v>1</v>
      </c>
      <c r="L8" s="369">
        <v>34.520000000000003</v>
      </c>
      <c r="M8" s="613">
        <v>45323</v>
      </c>
      <c r="N8" s="370"/>
    </row>
    <row r="9" spans="1:14" customFormat="1" ht="21.95" customHeight="1" x14ac:dyDescent="0.25">
      <c r="A9" s="375" t="s">
        <v>139</v>
      </c>
      <c r="B9" s="146" t="s">
        <v>51</v>
      </c>
      <c r="C9" s="146" t="s">
        <v>273</v>
      </c>
      <c r="D9" s="146" t="s">
        <v>6</v>
      </c>
      <c r="E9" s="376">
        <v>39149</v>
      </c>
      <c r="F9" s="376">
        <v>40265</v>
      </c>
      <c r="G9" s="376">
        <f t="shared" si="0"/>
        <v>1116</v>
      </c>
      <c r="H9" s="377">
        <f t="shared" si="1"/>
        <v>343.35</v>
      </c>
      <c r="I9" s="377">
        <v>343.35</v>
      </c>
      <c r="J9" s="377">
        <v>0</v>
      </c>
      <c r="K9" s="378">
        <v>3</v>
      </c>
      <c r="L9" s="378">
        <v>96.153000000000006</v>
      </c>
      <c r="M9" s="613">
        <v>45352</v>
      </c>
      <c r="N9" s="379"/>
    </row>
    <row r="10" spans="1:14" customFormat="1" ht="21.95" customHeight="1" x14ac:dyDescent="0.25">
      <c r="A10" s="365" t="s">
        <v>1107</v>
      </c>
      <c r="B10" s="366" t="s">
        <v>51</v>
      </c>
      <c r="C10" s="366" t="s">
        <v>310</v>
      </c>
      <c r="D10" s="366" t="s">
        <v>6</v>
      </c>
      <c r="E10" s="367">
        <v>11134</v>
      </c>
      <c r="F10" s="367">
        <v>12157</v>
      </c>
      <c r="G10" s="367">
        <f t="shared" si="0"/>
        <v>1023</v>
      </c>
      <c r="H10" s="368">
        <f t="shared" si="1"/>
        <v>611.94000000000005</v>
      </c>
      <c r="I10" s="368">
        <v>611.94000000000005</v>
      </c>
      <c r="J10" s="368">
        <v>0</v>
      </c>
      <c r="K10" s="369">
        <v>3</v>
      </c>
      <c r="L10" s="369">
        <v>103.02</v>
      </c>
      <c r="M10" s="688">
        <v>45352</v>
      </c>
      <c r="N10" s="370"/>
    </row>
    <row r="11" spans="1:14" customFormat="1" ht="21.95" customHeight="1" x14ac:dyDescent="0.25">
      <c r="A11" s="375" t="s">
        <v>139</v>
      </c>
      <c r="B11" s="146" t="s">
        <v>51</v>
      </c>
      <c r="C11" s="146" t="s">
        <v>273</v>
      </c>
      <c r="D11" s="146" t="s">
        <v>6</v>
      </c>
      <c r="E11" s="376">
        <v>40265</v>
      </c>
      <c r="F11" s="376">
        <v>41245</v>
      </c>
      <c r="G11" s="376">
        <f t="shared" si="0"/>
        <v>980</v>
      </c>
      <c r="H11" s="368">
        <f t="shared" si="1"/>
        <v>740.63</v>
      </c>
      <c r="I11" s="377">
        <v>265.12</v>
      </c>
      <c r="J11" s="377">
        <v>475.51</v>
      </c>
      <c r="K11" s="378">
        <v>5</v>
      </c>
      <c r="L11" s="378">
        <v>195.23</v>
      </c>
      <c r="M11" s="613">
        <v>45383</v>
      </c>
      <c r="N11" s="379"/>
    </row>
    <row r="12" spans="1:14" customFormat="1" ht="21.95" customHeight="1" x14ac:dyDescent="0.25">
      <c r="A12" s="365" t="s">
        <v>1107</v>
      </c>
      <c r="B12" s="366" t="s">
        <v>51</v>
      </c>
      <c r="C12" s="366" t="s">
        <v>310</v>
      </c>
      <c r="D12" s="366" t="s">
        <v>6</v>
      </c>
      <c r="E12" s="367">
        <v>12157</v>
      </c>
      <c r="F12" s="367">
        <v>13076</v>
      </c>
      <c r="G12" s="367">
        <f t="shared" si="0"/>
        <v>919</v>
      </c>
      <c r="H12" s="368">
        <f t="shared" si="1"/>
        <v>570.32000000000005</v>
      </c>
      <c r="I12" s="368">
        <v>208.02</v>
      </c>
      <c r="J12" s="368">
        <v>362.3</v>
      </c>
      <c r="K12" s="369">
        <v>3</v>
      </c>
      <c r="L12" s="369">
        <v>97.2</v>
      </c>
      <c r="M12" s="688">
        <v>45383</v>
      </c>
      <c r="N12" s="370"/>
    </row>
    <row r="13" spans="1:14" customFormat="1" ht="21.95" customHeight="1" x14ac:dyDescent="0.25">
      <c r="A13" s="375" t="s">
        <v>139</v>
      </c>
      <c r="B13" s="146" t="s">
        <v>51</v>
      </c>
      <c r="C13" s="146" t="s">
        <v>273</v>
      </c>
      <c r="D13" s="146" t="s">
        <v>6</v>
      </c>
      <c r="E13" s="376">
        <v>41245</v>
      </c>
      <c r="F13" s="390">
        <v>42242</v>
      </c>
      <c r="G13" s="376">
        <f t="shared" si="0"/>
        <v>997</v>
      </c>
      <c r="H13" s="377">
        <v>245.03</v>
      </c>
      <c r="I13" s="377">
        <v>96.31</v>
      </c>
      <c r="J13" s="377">
        <v>245.03</v>
      </c>
      <c r="K13" s="378">
        <v>3</v>
      </c>
      <c r="L13" s="378">
        <v>86.21</v>
      </c>
      <c r="M13" s="613">
        <v>45413</v>
      </c>
      <c r="N13" s="379"/>
    </row>
    <row r="14" spans="1:14" customFormat="1" ht="21.95" customHeight="1" x14ac:dyDescent="0.25">
      <c r="A14" s="365" t="s">
        <v>1107</v>
      </c>
      <c r="B14" s="366" t="s">
        <v>51</v>
      </c>
      <c r="C14" s="366" t="s">
        <v>310</v>
      </c>
      <c r="D14" s="366" t="s">
        <v>6</v>
      </c>
      <c r="E14" s="367">
        <v>13076</v>
      </c>
      <c r="F14" s="367">
        <v>13599</v>
      </c>
      <c r="G14" s="367">
        <f t="shared" si="0"/>
        <v>523</v>
      </c>
      <c r="H14" s="377">
        <v>185.09</v>
      </c>
      <c r="I14" s="368">
        <v>0</v>
      </c>
      <c r="J14" s="368">
        <v>185.09</v>
      </c>
      <c r="K14" s="369">
        <v>1</v>
      </c>
      <c r="L14" s="369">
        <v>34.340000000000003</v>
      </c>
      <c r="M14" s="688">
        <v>45413</v>
      </c>
      <c r="N14" s="370"/>
    </row>
    <row r="15" spans="1:14" customFormat="1" ht="21.95" customHeight="1" x14ac:dyDescent="0.25">
      <c r="A15" s="375" t="s">
        <v>139</v>
      </c>
      <c r="B15" s="146" t="s">
        <v>51</v>
      </c>
      <c r="C15" s="146" t="s">
        <v>273</v>
      </c>
      <c r="D15" s="146" t="s">
        <v>6</v>
      </c>
      <c r="E15" s="376">
        <v>42242</v>
      </c>
      <c r="F15" s="376">
        <v>42748</v>
      </c>
      <c r="G15" s="376">
        <f t="shared" si="0"/>
        <v>506</v>
      </c>
      <c r="H15" s="377">
        <v>174.54</v>
      </c>
      <c r="I15" s="377">
        <v>174.54</v>
      </c>
      <c r="J15" s="377">
        <v>0</v>
      </c>
      <c r="K15" s="378">
        <v>1</v>
      </c>
      <c r="L15" s="378">
        <v>44.87</v>
      </c>
      <c r="M15" s="613">
        <v>45444</v>
      </c>
      <c r="N15" s="379"/>
    </row>
    <row r="16" spans="1:14" customFormat="1" ht="21.95" customHeight="1" x14ac:dyDescent="0.25">
      <c r="A16" s="365" t="s">
        <v>1107</v>
      </c>
      <c r="B16" s="366" t="s">
        <v>51</v>
      </c>
      <c r="C16" s="366" t="s">
        <v>310</v>
      </c>
      <c r="D16" s="366" t="s">
        <v>6</v>
      </c>
      <c r="E16" s="367">
        <v>13599</v>
      </c>
      <c r="F16" s="367">
        <v>14148</v>
      </c>
      <c r="G16" s="367">
        <f t="shared" si="0"/>
        <v>549</v>
      </c>
      <c r="H16" s="368">
        <v>366.35</v>
      </c>
      <c r="I16" s="368">
        <v>200.02</v>
      </c>
      <c r="J16" s="368">
        <v>166.33</v>
      </c>
      <c r="K16" s="369">
        <v>2</v>
      </c>
      <c r="L16" s="369">
        <v>62.2</v>
      </c>
      <c r="M16" s="688">
        <v>45444</v>
      </c>
      <c r="N16" s="370"/>
    </row>
    <row r="17" spans="1:14" customFormat="1" ht="21.95" customHeight="1" x14ac:dyDescent="0.25">
      <c r="A17" s="375" t="s">
        <v>139</v>
      </c>
      <c r="B17" s="146" t="s">
        <v>51</v>
      </c>
      <c r="C17" s="146" t="s">
        <v>273</v>
      </c>
      <c r="D17" s="146" t="s">
        <v>6</v>
      </c>
      <c r="E17" s="376">
        <v>42748</v>
      </c>
      <c r="F17" s="376">
        <v>43921</v>
      </c>
      <c r="G17" s="376">
        <f t="shared" si="0"/>
        <v>1173</v>
      </c>
      <c r="H17" s="368">
        <v>788.13</v>
      </c>
      <c r="I17" s="377">
        <v>506.13</v>
      </c>
      <c r="J17" s="377">
        <v>282.02999999999997</v>
      </c>
      <c r="K17" s="378">
        <v>3</v>
      </c>
      <c r="L17" s="378">
        <v>196.64</v>
      </c>
      <c r="M17" s="613">
        <v>45474</v>
      </c>
      <c r="N17" s="379"/>
    </row>
    <row r="18" spans="1:14" customFormat="1" ht="21.95" customHeight="1" x14ac:dyDescent="0.25">
      <c r="A18" s="365" t="s">
        <v>1107</v>
      </c>
      <c r="B18" s="366" t="s">
        <v>51</v>
      </c>
      <c r="C18" s="366" t="s">
        <v>310</v>
      </c>
      <c r="D18" s="366" t="s">
        <v>6</v>
      </c>
      <c r="E18" s="367">
        <v>14148</v>
      </c>
      <c r="F18" s="367">
        <v>14608</v>
      </c>
      <c r="G18" s="367">
        <f t="shared" si="0"/>
        <v>460</v>
      </c>
      <c r="H18" s="368">
        <v>208.78</v>
      </c>
      <c r="I18" s="368">
        <v>208.78</v>
      </c>
      <c r="J18" s="368">
        <v>0</v>
      </c>
      <c r="K18" s="369">
        <v>1</v>
      </c>
      <c r="L18" s="369">
        <v>32.42</v>
      </c>
      <c r="M18" s="688">
        <v>45474</v>
      </c>
      <c r="N18" s="370"/>
    </row>
    <row r="19" spans="1:14" customFormat="1" ht="21.95" customHeight="1" x14ac:dyDescent="0.25">
      <c r="A19" s="375" t="s">
        <v>139</v>
      </c>
      <c r="B19" s="146" t="s">
        <v>51</v>
      </c>
      <c r="C19" s="146" t="s">
        <v>273</v>
      </c>
      <c r="D19" s="146" t="s">
        <v>6</v>
      </c>
      <c r="E19" s="376">
        <v>43921</v>
      </c>
      <c r="F19" s="376">
        <v>44891</v>
      </c>
      <c r="G19" s="376">
        <f t="shared" si="0"/>
        <v>970</v>
      </c>
      <c r="H19" s="377">
        <f t="shared" ref="H19:H46" si="2">SUM(I19+J19)</f>
        <v>527.19000000000005</v>
      </c>
      <c r="I19" s="377">
        <v>193.58</v>
      </c>
      <c r="J19" s="377">
        <v>333.61</v>
      </c>
      <c r="K19" s="378">
        <v>3</v>
      </c>
      <c r="L19" s="378">
        <v>125.82</v>
      </c>
      <c r="M19" s="613">
        <v>45505</v>
      </c>
      <c r="N19" s="379"/>
    </row>
    <row r="20" spans="1:14" customFormat="1" ht="21.95" customHeight="1" x14ac:dyDescent="0.25">
      <c r="A20" s="365" t="s">
        <v>1107</v>
      </c>
      <c r="B20" s="366" t="s">
        <v>51</v>
      </c>
      <c r="C20" s="366" t="s">
        <v>310</v>
      </c>
      <c r="D20" s="366" t="s">
        <v>6</v>
      </c>
      <c r="E20" s="367">
        <v>14608</v>
      </c>
      <c r="F20" s="367">
        <v>15444</v>
      </c>
      <c r="G20" s="367">
        <f t="shared" si="0"/>
        <v>836</v>
      </c>
      <c r="H20" s="368">
        <f t="shared" si="2"/>
        <v>389.47800000000001</v>
      </c>
      <c r="I20" s="368">
        <v>181.798</v>
      </c>
      <c r="J20" s="368">
        <v>207.68</v>
      </c>
      <c r="K20" s="369">
        <v>2</v>
      </c>
      <c r="L20" s="369">
        <v>69.650000000000006</v>
      </c>
      <c r="M20" s="688">
        <v>45505</v>
      </c>
      <c r="N20" s="370"/>
    </row>
    <row r="21" spans="1:14" customFormat="1" ht="21.95" customHeight="1" x14ac:dyDescent="0.25">
      <c r="A21" s="375" t="s">
        <v>139</v>
      </c>
      <c r="B21" s="146" t="s">
        <v>51</v>
      </c>
      <c r="C21" s="146" t="s">
        <v>273</v>
      </c>
      <c r="D21" s="146" t="s">
        <v>6</v>
      </c>
      <c r="E21" s="376">
        <v>44891</v>
      </c>
      <c r="F21" s="376">
        <v>45916</v>
      </c>
      <c r="G21" s="376">
        <f t="shared" si="0"/>
        <v>1025</v>
      </c>
      <c r="H21" s="368">
        <f t="shared" si="2"/>
        <v>541.6</v>
      </c>
      <c r="I21" s="377">
        <v>208.83</v>
      </c>
      <c r="J21" s="377">
        <v>332.77</v>
      </c>
      <c r="K21" s="378">
        <v>3</v>
      </c>
      <c r="L21" s="378">
        <v>129.06</v>
      </c>
      <c r="M21" s="613">
        <v>45536</v>
      </c>
      <c r="N21" s="379"/>
    </row>
    <row r="22" spans="1:14" customFormat="1" ht="21.95" customHeight="1" x14ac:dyDescent="0.25">
      <c r="A22" s="365" t="s">
        <v>1107</v>
      </c>
      <c r="B22" s="366" t="s">
        <v>51</v>
      </c>
      <c r="C22" s="366" t="s">
        <v>310</v>
      </c>
      <c r="D22" s="366" t="s">
        <v>6</v>
      </c>
      <c r="E22" s="367">
        <v>15444</v>
      </c>
      <c r="F22" s="367">
        <v>15549</v>
      </c>
      <c r="G22" s="367">
        <f t="shared" si="0"/>
        <v>105</v>
      </c>
      <c r="H22" s="368">
        <f t="shared" si="2"/>
        <v>0</v>
      </c>
      <c r="I22" s="368">
        <v>0</v>
      </c>
      <c r="J22" s="368">
        <v>0</v>
      </c>
      <c r="K22" s="369"/>
      <c r="L22" s="369"/>
      <c r="M22" s="688">
        <v>45536</v>
      </c>
      <c r="N22" s="370"/>
    </row>
    <row r="23" spans="1:14" customFormat="1" ht="21.95" customHeight="1" x14ac:dyDescent="0.25">
      <c r="A23" s="375" t="s">
        <v>139</v>
      </c>
      <c r="B23" s="146" t="s">
        <v>51</v>
      </c>
      <c r="C23" s="146" t="s">
        <v>273</v>
      </c>
      <c r="D23" s="146" t="s">
        <v>34</v>
      </c>
      <c r="E23" s="376">
        <v>45916</v>
      </c>
      <c r="F23" s="376">
        <v>46145</v>
      </c>
      <c r="G23" s="376">
        <f t="shared" si="0"/>
        <v>229</v>
      </c>
      <c r="H23" s="377">
        <f t="shared" si="2"/>
        <v>244.10000000000002</v>
      </c>
      <c r="I23" s="377">
        <v>89.2</v>
      </c>
      <c r="J23" s="377">
        <v>154.9</v>
      </c>
      <c r="K23" s="378">
        <v>2</v>
      </c>
      <c r="L23" s="378">
        <v>54.23</v>
      </c>
      <c r="M23" s="613">
        <v>45566</v>
      </c>
      <c r="N23" s="379"/>
    </row>
    <row r="24" spans="1:14" customFormat="1" ht="21.95" customHeight="1" x14ac:dyDescent="0.25">
      <c r="A24" s="365" t="s">
        <v>1107</v>
      </c>
      <c r="B24" s="366" t="s">
        <v>51</v>
      </c>
      <c r="C24" s="366" t="s">
        <v>310</v>
      </c>
      <c r="D24" s="366" t="s">
        <v>34</v>
      </c>
      <c r="E24" s="367">
        <v>15549</v>
      </c>
      <c r="F24" s="367">
        <v>16385</v>
      </c>
      <c r="G24" s="367">
        <f t="shared" si="0"/>
        <v>836</v>
      </c>
      <c r="H24" s="368">
        <f t="shared" si="2"/>
        <v>408.03999999999996</v>
      </c>
      <c r="I24" s="368">
        <v>225.14</v>
      </c>
      <c r="J24" s="368">
        <v>182.9</v>
      </c>
      <c r="K24" s="369">
        <v>2</v>
      </c>
      <c r="L24" s="369">
        <v>63.3</v>
      </c>
      <c r="M24" s="688">
        <v>45566</v>
      </c>
      <c r="N24" s="370"/>
    </row>
    <row r="25" spans="1:14" customFormat="1" ht="21.95" customHeight="1" x14ac:dyDescent="0.25">
      <c r="A25" s="375" t="s">
        <v>139</v>
      </c>
      <c r="B25" s="146" t="s">
        <v>51</v>
      </c>
      <c r="C25" s="146" t="s">
        <v>273</v>
      </c>
      <c r="D25" s="366" t="s">
        <v>34</v>
      </c>
      <c r="E25" s="376">
        <v>46145</v>
      </c>
      <c r="F25" s="376">
        <v>47241</v>
      </c>
      <c r="G25" s="376">
        <f t="shared" si="0"/>
        <v>1096</v>
      </c>
      <c r="H25" s="368">
        <f t="shared" si="2"/>
        <v>0</v>
      </c>
      <c r="I25" s="377"/>
      <c r="J25" s="377"/>
      <c r="K25" s="378"/>
      <c r="L25" s="378"/>
      <c r="M25" s="613">
        <v>45597</v>
      </c>
      <c r="N25" s="379"/>
    </row>
    <row r="26" spans="1:14" customFormat="1" ht="21.95" customHeight="1" x14ac:dyDescent="0.25">
      <c r="A26" s="365" t="s">
        <v>145</v>
      </c>
      <c r="B26" s="366" t="s">
        <v>51</v>
      </c>
      <c r="C26" s="366" t="s">
        <v>310</v>
      </c>
      <c r="D26" s="366" t="s">
        <v>34</v>
      </c>
      <c r="E26" s="367">
        <v>16619</v>
      </c>
      <c r="F26" s="367">
        <v>16978</v>
      </c>
      <c r="G26" s="367">
        <f t="shared" si="0"/>
        <v>359</v>
      </c>
      <c r="H26" s="368">
        <f t="shared" si="2"/>
        <v>0</v>
      </c>
      <c r="I26" s="368"/>
      <c r="J26" s="368"/>
      <c r="K26" s="369"/>
      <c r="L26" s="369"/>
      <c r="M26" s="688">
        <v>45597</v>
      </c>
      <c r="N26" s="370"/>
    </row>
    <row r="27" spans="1:14" customFormat="1" ht="21.95" customHeight="1" x14ac:dyDescent="0.25">
      <c r="A27" s="375" t="s">
        <v>139</v>
      </c>
      <c r="B27" s="146" t="s">
        <v>51</v>
      </c>
      <c r="C27" s="146" t="s">
        <v>273</v>
      </c>
      <c r="D27" s="366" t="s">
        <v>34</v>
      </c>
      <c r="E27" s="376">
        <v>47241</v>
      </c>
      <c r="F27" s="376">
        <v>47495</v>
      </c>
      <c r="G27" s="376">
        <f t="shared" si="0"/>
        <v>254</v>
      </c>
      <c r="H27" s="368">
        <f t="shared" si="2"/>
        <v>0</v>
      </c>
      <c r="I27" s="377"/>
      <c r="J27" s="377"/>
      <c r="K27" s="378"/>
      <c r="L27" s="378"/>
      <c r="M27" s="613">
        <v>45627</v>
      </c>
      <c r="N27" s="379"/>
    </row>
    <row r="28" spans="1:14" customFormat="1" ht="21.95" customHeight="1" x14ac:dyDescent="0.25">
      <c r="A28" s="365" t="s">
        <v>145</v>
      </c>
      <c r="B28" s="366" t="s">
        <v>51</v>
      </c>
      <c r="C28" s="366" t="s">
        <v>310</v>
      </c>
      <c r="D28" s="366" t="s">
        <v>34</v>
      </c>
      <c r="E28" s="367">
        <v>16978</v>
      </c>
      <c r="F28" s="367">
        <v>17538</v>
      </c>
      <c r="G28" s="367">
        <f t="shared" si="0"/>
        <v>560</v>
      </c>
      <c r="H28" s="368">
        <f t="shared" si="2"/>
        <v>0</v>
      </c>
      <c r="I28" s="368"/>
      <c r="J28" s="368"/>
      <c r="K28" s="369"/>
      <c r="L28" s="369"/>
      <c r="M28" s="688">
        <v>45627</v>
      </c>
      <c r="N28" s="370"/>
    </row>
    <row r="29" spans="1:14" x14ac:dyDescent="0.25">
      <c r="A29" s="375" t="s">
        <v>139</v>
      </c>
      <c r="B29" s="146" t="s">
        <v>51</v>
      </c>
      <c r="C29" s="146" t="s">
        <v>273</v>
      </c>
      <c r="D29" s="366" t="s">
        <v>34</v>
      </c>
      <c r="E29" s="376">
        <v>47495</v>
      </c>
      <c r="F29" s="376">
        <v>49140</v>
      </c>
      <c r="G29" s="376">
        <f t="shared" ref="G29:G30" si="3">F29-E29</f>
        <v>1645</v>
      </c>
      <c r="H29" s="368">
        <f t="shared" si="2"/>
        <v>0</v>
      </c>
      <c r="I29" s="377"/>
      <c r="J29" s="377"/>
      <c r="K29" s="378"/>
      <c r="L29" s="378"/>
      <c r="M29" s="613">
        <v>45658</v>
      </c>
      <c r="N29" s="379"/>
    </row>
    <row r="30" spans="1:14" x14ac:dyDescent="0.25">
      <c r="A30" s="365" t="s">
        <v>145</v>
      </c>
      <c r="B30" s="366" t="s">
        <v>51</v>
      </c>
      <c r="C30" s="366" t="s">
        <v>310</v>
      </c>
      <c r="D30" s="366" t="s">
        <v>34</v>
      </c>
      <c r="E30" s="367">
        <v>17538</v>
      </c>
      <c r="F30" s="367">
        <v>18450</v>
      </c>
      <c r="G30" s="367">
        <f t="shared" si="3"/>
        <v>912</v>
      </c>
      <c r="H30" s="368">
        <f t="shared" si="2"/>
        <v>0</v>
      </c>
      <c r="I30" s="368"/>
      <c r="J30" s="368"/>
      <c r="K30" s="369"/>
      <c r="L30" s="369"/>
      <c r="M30" s="613">
        <v>45658</v>
      </c>
      <c r="N30" s="370"/>
    </row>
    <row r="31" spans="1:14" x14ac:dyDescent="0.25">
      <c r="A31" s="375" t="s">
        <v>139</v>
      </c>
      <c r="B31" s="146" t="s">
        <v>51</v>
      </c>
      <c r="C31" s="146" t="s">
        <v>273</v>
      </c>
      <c r="D31" s="366" t="s">
        <v>34</v>
      </c>
      <c r="E31" s="376">
        <v>49140</v>
      </c>
      <c r="F31" s="376">
        <v>51085</v>
      </c>
      <c r="G31" s="376">
        <f t="shared" ref="G31:G35" si="4">F31-E31</f>
        <v>1945</v>
      </c>
      <c r="H31" s="368">
        <f t="shared" si="2"/>
        <v>0</v>
      </c>
      <c r="I31" s="377"/>
      <c r="J31" s="377"/>
      <c r="K31" s="378"/>
      <c r="L31" s="378"/>
      <c r="M31" s="613">
        <v>45689</v>
      </c>
      <c r="N31" s="379"/>
    </row>
    <row r="32" spans="1:14" x14ac:dyDescent="0.25">
      <c r="A32" s="365" t="s">
        <v>145</v>
      </c>
      <c r="B32" s="366" t="s">
        <v>51</v>
      </c>
      <c r="C32" s="366" t="s">
        <v>310</v>
      </c>
      <c r="D32" s="366" t="s">
        <v>34</v>
      </c>
      <c r="E32" s="367">
        <v>18450</v>
      </c>
      <c r="F32" s="367">
        <v>19107</v>
      </c>
      <c r="G32" s="367">
        <f t="shared" si="4"/>
        <v>657</v>
      </c>
      <c r="H32" s="368">
        <f t="shared" si="2"/>
        <v>209.04</v>
      </c>
      <c r="I32" s="368"/>
      <c r="J32" s="368">
        <v>209.04</v>
      </c>
      <c r="K32" s="369">
        <v>1</v>
      </c>
      <c r="L32" s="369"/>
      <c r="M32" s="613">
        <v>45689</v>
      </c>
      <c r="N32" s="370"/>
    </row>
    <row r="33" spans="1:14" x14ac:dyDescent="0.25">
      <c r="A33" s="375" t="s">
        <v>139</v>
      </c>
      <c r="B33" s="146" t="s">
        <v>51</v>
      </c>
      <c r="C33" s="146" t="s">
        <v>273</v>
      </c>
      <c r="D33" s="366" t="s">
        <v>34</v>
      </c>
      <c r="E33" s="376">
        <v>51085</v>
      </c>
      <c r="F33" s="376">
        <v>52713</v>
      </c>
      <c r="G33" s="376">
        <f t="shared" si="4"/>
        <v>1628</v>
      </c>
      <c r="H33" s="368">
        <f t="shared" si="2"/>
        <v>0</v>
      </c>
      <c r="I33" s="377"/>
      <c r="J33" s="377"/>
      <c r="K33" s="378"/>
      <c r="L33" s="378"/>
      <c r="M33" s="613">
        <v>45717</v>
      </c>
      <c r="N33" s="379"/>
    </row>
    <row r="34" spans="1:14" x14ac:dyDescent="0.25">
      <c r="A34" s="365" t="s">
        <v>145</v>
      </c>
      <c r="B34" s="366" t="s">
        <v>51</v>
      </c>
      <c r="C34" s="366" t="s">
        <v>310</v>
      </c>
      <c r="D34" s="366" t="s">
        <v>34</v>
      </c>
      <c r="E34" s="367">
        <v>19107</v>
      </c>
      <c r="F34" s="367">
        <v>20284</v>
      </c>
      <c r="G34" s="367">
        <f t="shared" si="4"/>
        <v>1177</v>
      </c>
      <c r="H34" s="368">
        <f t="shared" si="2"/>
        <v>218.2</v>
      </c>
      <c r="I34" s="368">
        <v>218.2</v>
      </c>
      <c r="J34" s="368"/>
      <c r="K34" s="369">
        <v>1</v>
      </c>
      <c r="L34" s="369"/>
      <c r="M34" s="613">
        <v>45717</v>
      </c>
      <c r="N34" s="370"/>
    </row>
    <row r="35" spans="1:14" x14ac:dyDescent="0.25">
      <c r="A35" s="375" t="s">
        <v>139</v>
      </c>
      <c r="B35" s="146" t="s">
        <v>51</v>
      </c>
      <c r="C35" s="146" t="s">
        <v>273</v>
      </c>
      <c r="D35" s="366" t="s">
        <v>34</v>
      </c>
      <c r="E35" s="376">
        <v>52713</v>
      </c>
      <c r="F35" s="376">
        <v>54306</v>
      </c>
      <c r="G35" s="376">
        <f t="shared" si="4"/>
        <v>1593</v>
      </c>
      <c r="H35" s="368">
        <f t="shared" si="2"/>
        <v>0</v>
      </c>
      <c r="I35" s="377"/>
      <c r="J35" s="377"/>
      <c r="K35" s="378"/>
      <c r="L35" s="378"/>
      <c r="M35" s="613">
        <v>45748</v>
      </c>
      <c r="N35" s="379"/>
    </row>
    <row r="36" spans="1:14" x14ac:dyDescent="0.25">
      <c r="A36" s="365" t="s">
        <v>145</v>
      </c>
      <c r="B36" s="366" t="s">
        <v>51</v>
      </c>
      <c r="C36" s="366" t="s">
        <v>310</v>
      </c>
      <c r="D36" s="366" t="s">
        <v>34</v>
      </c>
      <c r="E36" s="367">
        <v>20284</v>
      </c>
      <c r="F36" s="367">
        <v>21616</v>
      </c>
      <c r="G36" s="367">
        <f>F36-E36</f>
        <v>1332</v>
      </c>
      <c r="H36" s="368">
        <f t="shared" si="2"/>
        <v>0</v>
      </c>
      <c r="I36" s="368"/>
      <c r="J36" s="368"/>
      <c r="K36" s="369"/>
      <c r="L36" s="369"/>
      <c r="M36" s="613">
        <v>45748</v>
      </c>
      <c r="N36" s="370"/>
    </row>
    <row r="37" spans="1:14" x14ac:dyDescent="0.25">
      <c r="A37" s="375" t="s">
        <v>139</v>
      </c>
      <c r="B37" s="146" t="s">
        <v>51</v>
      </c>
      <c r="C37" s="146" t="s">
        <v>273</v>
      </c>
      <c r="D37" s="366" t="s">
        <v>34</v>
      </c>
      <c r="E37" s="376">
        <v>54306</v>
      </c>
      <c r="F37" s="376">
        <v>55449</v>
      </c>
      <c r="G37" s="367">
        <f t="shared" ref="G37:G46" si="5">F37-E37</f>
        <v>1143</v>
      </c>
      <c r="H37" s="368">
        <f t="shared" si="2"/>
        <v>598.48</v>
      </c>
      <c r="I37" s="377">
        <f>98.98</f>
        <v>98.98</v>
      </c>
      <c r="J37" s="377">
        <f>294.62+204.88</f>
        <v>499.5</v>
      </c>
      <c r="K37" s="378">
        <v>3</v>
      </c>
      <c r="L37" s="378"/>
      <c r="M37" s="613">
        <v>45778</v>
      </c>
      <c r="N37" s="379"/>
    </row>
    <row r="38" spans="1:14" x14ac:dyDescent="0.25">
      <c r="A38" s="365" t="s">
        <v>145</v>
      </c>
      <c r="B38" s="366" t="s">
        <v>51</v>
      </c>
      <c r="C38" s="366" t="s">
        <v>310</v>
      </c>
      <c r="D38" s="366" t="s">
        <v>34</v>
      </c>
      <c r="E38" s="367">
        <v>21616</v>
      </c>
      <c r="F38" s="367">
        <v>22476</v>
      </c>
      <c r="G38" s="367">
        <f t="shared" si="5"/>
        <v>860</v>
      </c>
      <c r="H38" s="368">
        <f t="shared" si="2"/>
        <v>427.36</v>
      </c>
      <c r="I38" s="368">
        <v>230.81</v>
      </c>
      <c r="J38" s="368">
        <v>196.55</v>
      </c>
      <c r="K38" s="369">
        <v>2</v>
      </c>
      <c r="L38" s="369"/>
      <c r="M38" s="613">
        <v>45778</v>
      </c>
      <c r="N38" s="370"/>
    </row>
    <row r="39" spans="1:14" x14ac:dyDescent="0.25">
      <c r="A39" s="375" t="s">
        <v>139</v>
      </c>
      <c r="B39" s="146" t="s">
        <v>51</v>
      </c>
      <c r="C39" s="146" t="s">
        <v>273</v>
      </c>
      <c r="D39" s="366" t="s">
        <v>34</v>
      </c>
      <c r="E39" s="376">
        <v>55449</v>
      </c>
      <c r="F39" s="376">
        <v>56104</v>
      </c>
      <c r="G39" s="367">
        <f t="shared" si="5"/>
        <v>655</v>
      </c>
      <c r="H39" s="368">
        <f t="shared" si="2"/>
        <v>361.16</v>
      </c>
      <c r="I39" s="377">
        <v>194.3</v>
      </c>
      <c r="J39" s="377">
        <v>166.86</v>
      </c>
      <c r="K39" s="378">
        <v>2</v>
      </c>
      <c r="L39" s="378"/>
      <c r="M39" s="613">
        <v>45809</v>
      </c>
      <c r="N39" s="379"/>
    </row>
    <row r="40" spans="1:14" x14ac:dyDescent="0.25">
      <c r="A40" s="365" t="s">
        <v>145</v>
      </c>
      <c r="B40" s="366" t="s">
        <v>51</v>
      </c>
      <c r="C40" s="366" t="s">
        <v>310</v>
      </c>
      <c r="D40" s="366" t="s">
        <v>34</v>
      </c>
      <c r="E40" s="367">
        <v>22476</v>
      </c>
      <c r="F40" s="367">
        <v>23135</v>
      </c>
      <c r="G40" s="367">
        <f t="shared" si="5"/>
        <v>659</v>
      </c>
      <c r="H40" s="368">
        <f t="shared" si="2"/>
        <v>450.83000000000004</v>
      </c>
      <c r="I40" s="368">
        <v>240.03</v>
      </c>
      <c r="J40" s="368">
        <v>210.8</v>
      </c>
      <c r="K40" s="369">
        <v>2</v>
      </c>
      <c r="L40" s="369"/>
      <c r="M40" s="613">
        <v>45809</v>
      </c>
      <c r="N40" s="370"/>
    </row>
    <row r="41" spans="1:14" x14ac:dyDescent="0.25">
      <c r="A41" s="375" t="s">
        <v>139</v>
      </c>
      <c r="B41" s="146" t="s">
        <v>51</v>
      </c>
      <c r="C41" s="146" t="s">
        <v>273</v>
      </c>
      <c r="D41" s="366" t="s">
        <v>34</v>
      </c>
      <c r="E41" s="376">
        <v>56104</v>
      </c>
      <c r="F41" s="376">
        <v>58673</v>
      </c>
      <c r="G41" s="367">
        <f t="shared" si="5"/>
        <v>2569</v>
      </c>
      <c r="H41" s="368">
        <f t="shared" si="2"/>
        <v>1531.19</v>
      </c>
      <c r="I41" s="377">
        <f>204.56+240+290.15+206.91</f>
        <v>941.62</v>
      </c>
      <c r="J41" s="614">
        <f>249.5+218.22+121.85</f>
        <v>589.57000000000005</v>
      </c>
      <c r="K41" s="378">
        <v>7</v>
      </c>
      <c r="L41" s="378">
        <f>33.812+40.067+47.18+34.2+41.24+36.07+20.14</f>
        <v>252.709</v>
      </c>
      <c r="M41" s="613">
        <v>45839</v>
      </c>
      <c r="N41" s="379"/>
    </row>
    <row r="42" spans="1:14" x14ac:dyDescent="0.25">
      <c r="A42" s="365" t="s">
        <v>145</v>
      </c>
      <c r="B42" s="366" t="s">
        <v>51</v>
      </c>
      <c r="C42" s="366" t="s">
        <v>310</v>
      </c>
      <c r="D42" s="366" t="s">
        <v>34</v>
      </c>
      <c r="E42" s="367">
        <v>23135</v>
      </c>
      <c r="F42" s="367">
        <v>23791</v>
      </c>
      <c r="G42" s="367">
        <f t="shared" si="5"/>
        <v>656</v>
      </c>
      <c r="H42" s="368">
        <f t="shared" si="2"/>
        <v>208.19</v>
      </c>
      <c r="I42" s="368"/>
      <c r="J42" s="368">
        <f>177.67+30.52</f>
        <v>208.19</v>
      </c>
      <c r="K42" s="369">
        <v>2</v>
      </c>
      <c r="L42" s="369"/>
      <c r="M42" s="613">
        <v>45839</v>
      </c>
      <c r="N42" s="370"/>
    </row>
    <row r="43" spans="1:14" x14ac:dyDescent="0.25">
      <c r="A43" s="375" t="s">
        <v>139</v>
      </c>
      <c r="B43" s="146" t="s">
        <v>51</v>
      </c>
      <c r="C43" s="146" t="s">
        <v>273</v>
      </c>
      <c r="D43" s="366" t="s">
        <v>34</v>
      </c>
      <c r="E43" s="376">
        <v>58673</v>
      </c>
      <c r="F43" s="376">
        <v>60157</v>
      </c>
      <c r="G43" s="367">
        <f t="shared" si="5"/>
        <v>1484</v>
      </c>
      <c r="H43" s="368">
        <f t="shared" si="2"/>
        <v>772.25</v>
      </c>
      <c r="I43" s="377">
        <v>266.58</v>
      </c>
      <c r="J43" s="377">
        <f>247.62+258.05</f>
        <v>505.67</v>
      </c>
      <c r="K43" s="378">
        <v>3</v>
      </c>
      <c r="L43" s="378">
        <v>131.86799999999999</v>
      </c>
      <c r="M43" s="613">
        <v>45870</v>
      </c>
      <c r="N43" s="379" t="s">
        <v>1759</v>
      </c>
    </row>
    <row r="44" spans="1:14" x14ac:dyDescent="0.25">
      <c r="A44" s="365" t="s">
        <v>145</v>
      </c>
      <c r="B44" s="366" t="s">
        <v>697</v>
      </c>
      <c r="C44" s="366" t="s">
        <v>1753</v>
      </c>
      <c r="D44" s="366" t="s">
        <v>34</v>
      </c>
      <c r="E44" s="367">
        <v>8</v>
      </c>
      <c r="F44" s="367">
        <v>940</v>
      </c>
      <c r="G44" s="367">
        <f t="shared" si="5"/>
        <v>932</v>
      </c>
      <c r="H44" s="368">
        <f t="shared" si="2"/>
        <v>472.74</v>
      </c>
      <c r="I44" s="368"/>
      <c r="J44" s="368">
        <f>222.42+250.32</f>
        <v>472.74</v>
      </c>
      <c r="K44" s="369">
        <v>2</v>
      </c>
      <c r="L44" s="369">
        <v>80.489999999999995</v>
      </c>
      <c r="M44" s="613">
        <v>45870</v>
      </c>
      <c r="N44" s="370"/>
    </row>
    <row r="45" spans="1:14" x14ac:dyDescent="0.25">
      <c r="A45" s="375" t="s">
        <v>139</v>
      </c>
      <c r="B45" s="146" t="s">
        <v>51</v>
      </c>
      <c r="C45" s="146" t="s">
        <v>273</v>
      </c>
      <c r="D45" s="366" t="s">
        <v>34</v>
      </c>
      <c r="E45" s="376">
        <v>60157</v>
      </c>
      <c r="F45" s="376">
        <v>62066</v>
      </c>
      <c r="G45" s="367">
        <f t="shared" si="5"/>
        <v>1909</v>
      </c>
      <c r="H45" s="368">
        <f t="shared" si="2"/>
        <v>1168.67</v>
      </c>
      <c r="I45" s="377">
        <f>229.56+238.61</f>
        <v>468.17</v>
      </c>
      <c r="J45" s="377">
        <f>287.86+176.49+236.15</f>
        <v>700.5</v>
      </c>
      <c r="K45" s="378">
        <v>5</v>
      </c>
      <c r="L45" s="378">
        <v>191.08699999999999</v>
      </c>
      <c r="M45" s="613">
        <v>45901</v>
      </c>
      <c r="N45" s="379"/>
    </row>
    <row r="46" spans="1:14" x14ac:dyDescent="0.25">
      <c r="A46" s="365" t="s">
        <v>145</v>
      </c>
      <c r="B46" s="366" t="s">
        <v>697</v>
      </c>
      <c r="C46" s="366" t="s">
        <v>1753</v>
      </c>
      <c r="D46" s="366" t="s">
        <v>34</v>
      </c>
      <c r="E46" s="376">
        <v>940</v>
      </c>
      <c r="F46" s="376">
        <v>2519</v>
      </c>
      <c r="G46" s="367">
        <f t="shared" si="5"/>
        <v>1579</v>
      </c>
      <c r="H46" s="368">
        <f t="shared" si="2"/>
        <v>924.19</v>
      </c>
      <c r="I46" s="377">
        <v>211.33</v>
      </c>
      <c r="J46" s="377">
        <f>188.61+261.01+263.24</f>
        <v>712.86</v>
      </c>
      <c r="K46" s="378">
        <v>4</v>
      </c>
      <c r="L46" s="378">
        <f>37.14 +28.84 +39.91+40.25</f>
        <v>146.13999999999999</v>
      </c>
      <c r="M46" s="613">
        <v>45901</v>
      </c>
      <c r="N46" s="379"/>
    </row>
    <row r="47" spans="1:14" x14ac:dyDescent="0.25">
      <c r="A47" s="375" t="s">
        <v>139</v>
      </c>
      <c r="B47" s="146" t="s">
        <v>51</v>
      </c>
      <c r="C47" s="146" t="s">
        <v>273</v>
      </c>
      <c r="D47" s="366" t="s">
        <v>34</v>
      </c>
      <c r="E47" s="376">
        <v>62066</v>
      </c>
      <c r="F47" s="376">
        <v>64436</v>
      </c>
      <c r="G47" s="367">
        <f t="shared" ref="G47:G54" si="6">F47-E47</f>
        <v>2370</v>
      </c>
      <c r="H47" s="368">
        <f t="shared" ref="H47:H54" si="7">SUM(I47+J47)</f>
        <v>1018.78</v>
      </c>
      <c r="I47" s="377">
        <f>258.77</f>
        <v>258.77</v>
      </c>
      <c r="J47" s="377">
        <f>234.42+271.25+254.34</f>
        <v>760.01</v>
      </c>
      <c r="K47" s="378">
        <v>4</v>
      </c>
      <c r="L47" s="378">
        <f>40.496+40.488+43.211+40.89</f>
        <v>165.08500000000001</v>
      </c>
      <c r="M47" s="613">
        <v>45931</v>
      </c>
      <c r="N47" s="379"/>
    </row>
    <row r="48" spans="1:14" x14ac:dyDescent="0.25">
      <c r="A48" s="365" t="s">
        <v>145</v>
      </c>
      <c r="B48" s="366" t="s">
        <v>697</v>
      </c>
      <c r="C48" s="366" t="s">
        <v>1753</v>
      </c>
      <c r="D48" s="366" t="s">
        <v>34</v>
      </c>
      <c r="E48" s="376">
        <v>2519</v>
      </c>
      <c r="F48" s="376">
        <v>4185</v>
      </c>
      <c r="G48" s="367">
        <f t="shared" si="6"/>
        <v>1666</v>
      </c>
      <c r="H48" s="368">
        <f t="shared" si="7"/>
        <v>530.31999999999994</v>
      </c>
      <c r="I48" s="377">
        <f>260.03</f>
        <v>260.02999999999997</v>
      </c>
      <c r="J48" s="377">
        <v>270.29000000000002</v>
      </c>
      <c r="K48" s="378">
        <v>2</v>
      </c>
      <c r="L48" s="378">
        <f>39.76+41.97</f>
        <v>81.72999999999999</v>
      </c>
      <c r="M48" s="613">
        <v>45931</v>
      </c>
      <c r="N48" s="379"/>
    </row>
    <row r="49" spans="1:14" x14ac:dyDescent="0.25">
      <c r="A49" s="375" t="s">
        <v>139</v>
      </c>
      <c r="B49" s="146" t="s">
        <v>51</v>
      </c>
      <c r="C49" s="146" t="s">
        <v>273</v>
      </c>
      <c r="D49" s="366" t="s">
        <v>34</v>
      </c>
      <c r="E49" s="376">
        <v>64436</v>
      </c>
      <c r="F49" s="376">
        <v>65137</v>
      </c>
      <c r="G49" s="367">
        <f t="shared" si="6"/>
        <v>701</v>
      </c>
      <c r="H49" s="368">
        <f t="shared" si="7"/>
        <v>0</v>
      </c>
      <c r="I49" s="377"/>
      <c r="J49" s="377"/>
      <c r="K49" s="378"/>
      <c r="L49" s="378"/>
      <c r="M49" s="613">
        <v>45962</v>
      </c>
      <c r="N49" s="379" t="s">
        <v>1847</v>
      </c>
    </row>
    <row r="50" spans="1:14" x14ac:dyDescent="0.25">
      <c r="A50" s="365" t="s">
        <v>145</v>
      </c>
      <c r="B50" s="366" t="s">
        <v>697</v>
      </c>
      <c r="C50" s="366" t="s">
        <v>1753</v>
      </c>
      <c r="D50" s="366" t="s">
        <v>34</v>
      </c>
      <c r="E50" s="376">
        <v>4185</v>
      </c>
      <c r="F50" s="376">
        <v>4991</v>
      </c>
      <c r="G50" s="367">
        <f t="shared" si="6"/>
        <v>806</v>
      </c>
      <c r="H50" s="368">
        <f t="shared" si="7"/>
        <v>249.81</v>
      </c>
      <c r="I50" s="377"/>
      <c r="J50" s="377">
        <v>249.81</v>
      </c>
      <c r="K50" s="378">
        <v>1</v>
      </c>
      <c r="L50" s="378">
        <v>38.79</v>
      </c>
      <c r="M50" s="613">
        <v>45962</v>
      </c>
      <c r="N50" s="379"/>
    </row>
    <row r="51" spans="1:14" x14ac:dyDescent="0.25">
      <c r="A51" s="375" t="s">
        <v>139</v>
      </c>
      <c r="B51" s="146" t="s">
        <v>51</v>
      </c>
      <c r="C51" s="146" t="s">
        <v>273</v>
      </c>
      <c r="D51" s="366" t="s">
        <v>34</v>
      </c>
      <c r="E51" s="376">
        <v>65137</v>
      </c>
      <c r="F51" s="376">
        <v>66637</v>
      </c>
      <c r="G51" s="367">
        <f t="shared" si="6"/>
        <v>1500</v>
      </c>
      <c r="H51" s="368">
        <f t="shared" si="7"/>
        <v>983.07999999999993</v>
      </c>
      <c r="I51" s="377">
        <f>297.14+186.98+205.51</f>
        <v>689.63</v>
      </c>
      <c r="J51" s="377">
        <f>293.45</f>
        <v>293.45</v>
      </c>
      <c r="K51" s="378">
        <v>4</v>
      </c>
      <c r="L51" s="378">
        <f>45.181+29.68+32.62+46.58</f>
        <v>154.06099999999998</v>
      </c>
      <c r="M51" s="613">
        <v>45992</v>
      </c>
      <c r="N51" s="379"/>
    </row>
    <row r="52" spans="1:14" x14ac:dyDescent="0.25">
      <c r="A52" s="365" t="s">
        <v>145</v>
      </c>
      <c r="B52" s="366" t="s">
        <v>697</v>
      </c>
      <c r="C52" s="366" t="s">
        <v>1753</v>
      </c>
      <c r="D52" s="366" t="s">
        <v>34</v>
      </c>
      <c r="E52" s="376">
        <v>4991</v>
      </c>
      <c r="F52" s="376">
        <v>6411</v>
      </c>
      <c r="G52" s="367">
        <f t="shared" si="6"/>
        <v>1420</v>
      </c>
      <c r="H52" s="368">
        <f t="shared" si="7"/>
        <v>931.76</v>
      </c>
      <c r="I52" s="377">
        <f>252.83+248.2</f>
        <v>501.03</v>
      </c>
      <c r="J52" s="377">
        <f>249.11+181.62</f>
        <v>430.73</v>
      </c>
      <c r="K52" s="378">
        <v>4</v>
      </c>
      <c r="L52" s="378">
        <f>39.26+38.54+38.09+27.77</f>
        <v>143.66</v>
      </c>
      <c r="M52" s="613">
        <v>45992</v>
      </c>
      <c r="N52" s="379"/>
    </row>
    <row r="53" spans="1:14" x14ac:dyDescent="0.25">
      <c r="A53" s="375" t="s">
        <v>139</v>
      </c>
      <c r="B53" s="146" t="s">
        <v>51</v>
      </c>
      <c r="C53" s="146" t="s">
        <v>273</v>
      </c>
      <c r="D53" s="366" t="s">
        <v>34</v>
      </c>
      <c r="E53" s="376">
        <v>66637</v>
      </c>
      <c r="F53" s="376">
        <v>69142</v>
      </c>
      <c r="G53" s="367">
        <f t="shared" si="6"/>
        <v>2505</v>
      </c>
      <c r="H53" s="368">
        <f t="shared" si="7"/>
        <v>0</v>
      </c>
      <c r="I53" s="377"/>
      <c r="J53" s="377"/>
      <c r="K53" s="378"/>
      <c r="L53" s="378"/>
      <c r="M53" s="613">
        <v>46023</v>
      </c>
      <c r="N53" s="379"/>
    </row>
    <row r="54" spans="1:14" x14ac:dyDescent="0.25">
      <c r="A54" s="365" t="s">
        <v>145</v>
      </c>
      <c r="B54" s="366" t="s">
        <v>697</v>
      </c>
      <c r="C54" s="366" t="s">
        <v>1753</v>
      </c>
      <c r="D54" s="366" t="s">
        <v>34</v>
      </c>
      <c r="E54" s="376">
        <v>6411</v>
      </c>
      <c r="F54" s="376">
        <v>8660</v>
      </c>
      <c r="G54" s="367">
        <f t="shared" si="6"/>
        <v>2249</v>
      </c>
      <c r="H54" s="368">
        <f t="shared" si="7"/>
        <v>0</v>
      </c>
      <c r="I54" s="377"/>
      <c r="J54" s="377"/>
      <c r="K54" s="378"/>
      <c r="L54" s="378"/>
      <c r="M54" s="613">
        <v>46023</v>
      </c>
      <c r="N54" s="379"/>
    </row>
    <row r="55" spans="1:14" x14ac:dyDescent="0.25">
      <c r="A55" s="375" t="s">
        <v>139</v>
      </c>
      <c r="B55" s="146" t="s">
        <v>51</v>
      </c>
      <c r="C55" s="146" t="s">
        <v>1882</v>
      </c>
      <c r="D55" s="366" t="s">
        <v>34</v>
      </c>
      <c r="E55" s="376">
        <v>69142</v>
      </c>
      <c r="F55" s="376">
        <v>70491</v>
      </c>
      <c r="G55" s="367">
        <f t="shared" ref="G55:G60" si="8">F55-E55</f>
        <v>1349</v>
      </c>
      <c r="H55" s="368">
        <f t="shared" ref="H55:H60" si="9">SUM(I55+J55)</f>
        <v>0</v>
      </c>
      <c r="I55" s="377"/>
      <c r="J55" s="377"/>
      <c r="K55" s="378"/>
      <c r="L55" s="378"/>
      <c r="M55" s="613">
        <v>46054</v>
      </c>
      <c r="N55" s="379"/>
    </row>
    <row r="56" spans="1:14" x14ac:dyDescent="0.25">
      <c r="A56" s="365" t="s">
        <v>145</v>
      </c>
      <c r="B56" s="366" t="s">
        <v>697</v>
      </c>
      <c r="C56" s="366" t="s">
        <v>1883</v>
      </c>
      <c r="D56" s="366" t="s">
        <v>34</v>
      </c>
      <c r="E56" s="376">
        <v>8660</v>
      </c>
      <c r="F56" s="376">
        <v>9937</v>
      </c>
      <c r="G56" s="367">
        <f t="shared" si="8"/>
        <v>1277</v>
      </c>
      <c r="H56" s="368">
        <f t="shared" si="9"/>
        <v>0</v>
      </c>
      <c r="I56" s="377"/>
      <c r="J56" s="377"/>
      <c r="K56" s="378"/>
      <c r="L56" s="378"/>
      <c r="M56" s="613">
        <v>46054</v>
      </c>
      <c r="N56" s="379"/>
    </row>
    <row r="57" spans="1:14" x14ac:dyDescent="0.25">
      <c r="A57" s="375" t="s">
        <v>139</v>
      </c>
      <c r="B57" s="146" t="s">
        <v>51</v>
      </c>
      <c r="C57" s="146" t="s">
        <v>1884</v>
      </c>
      <c r="D57" s="366" t="s">
        <v>34</v>
      </c>
      <c r="E57" s="376">
        <v>70491</v>
      </c>
      <c r="F57" s="376">
        <v>71736</v>
      </c>
      <c r="G57" s="367">
        <f t="shared" si="8"/>
        <v>1245</v>
      </c>
      <c r="H57" s="368">
        <f t="shared" si="9"/>
        <v>0</v>
      </c>
      <c r="I57" s="377"/>
      <c r="J57" s="377"/>
      <c r="K57" s="378"/>
      <c r="L57" s="378"/>
      <c r="M57" s="613">
        <v>46082</v>
      </c>
      <c r="N57" s="379" t="s">
        <v>1917</v>
      </c>
    </row>
    <row r="58" spans="1:14" x14ac:dyDescent="0.25">
      <c r="A58" s="365" t="s">
        <v>145</v>
      </c>
      <c r="B58" s="366" t="s">
        <v>697</v>
      </c>
      <c r="C58" s="366" t="s">
        <v>1885</v>
      </c>
      <c r="D58" s="366" t="s">
        <v>34</v>
      </c>
      <c r="E58" s="376">
        <v>9937</v>
      </c>
      <c r="F58" s="376">
        <v>12510</v>
      </c>
      <c r="G58" s="367">
        <f t="shared" si="8"/>
        <v>2573</v>
      </c>
      <c r="H58" s="368">
        <f t="shared" si="9"/>
        <v>0</v>
      </c>
      <c r="I58" s="377"/>
      <c r="J58" s="377"/>
      <c r="K58" s="378"/>
      <c r="L58" s="378"/>
      <c r="M58" s="613">
        <v>46082</v>
      </c>
      <c r="N58" s="379" t="s">
        <v>1916</v>
      </c>
    </row>
    <row r="59" spans="1:14" x14ac:dyDescent="0.25">
      <c r="A59" s="375" t="s">
        <v>139</v>
      </c>
      <c r="B59" s="146" t="s">
        <v>51</v>
      </c>
      <c r="C59" s="146" t="s">
        <v>1886</v>
      </c>
      <c r="D59" s="366" t="s">
        <v>34</v>
      </c>
      <c r="E59" s="376"/>
      <c r="F59" s="376"/>
      <c r="G59" s="367">
        <f t="shared" si="8"/>
        <v>0</v>
      </c>
      <c r="H59" s="368">
        <f t="shared" si="9"/>
        <v>0</v>
      </c>
      <c r="I59" s="377"/>
      <c r="J59" s="377"/>
      <c r="K59" s="378"/>
      <c r="L59" s="378"/>
      <c r="M59" s="613">
        <v>46113</v>
      </c>
      <c r="N59" s="379"/>
    </row>
    <row r="60" spans="1:14" x14ac:dyDescent="0.25">
      <c r="A60" s="365" t="s">
        <v>145</v>
      </c>
      <c r="B60" s="366" t="s">
        <v>697</v>
      </c>
      <c r="C60" s="366" t="s">
        <v>1887</v>
      </c>
      <c r="D60" s="366" t="s">
        <v>34</v>
      </c>
      <c r="E60" s="376"/>
      <c r="F60" s="376"/>
      <c r="G60" s="367">
        <f t="shared" si="8"/>
        <v>0</v>
      </c>
      <c r="H60" s="368">
        <f t="shared" si="9"/>
        <v>0</v>
      </c>
      <c r="I60" s="377"/>
      <c r="J60" s="377"/>
      <c r="K60" s="378"/>
      <c r="L60" s="378"/>
      <c r="M60" s="613">
        <v>46113</v>
      </c>
      <c r="N60" s="379"/>
    </row>
  </sheetData>
  <phoneticPr fontId="10" type="noConversion"/>
  <conditionalFormatting sqref="D5:D8">
    <cfRule type="cellIs" dxfId="8" priority="1" operator="equal">
      <formula>0</formula>
    </cfRule>
  </conditionalFormatting>
  <conditionalFormatting sqref="G5:G60">
    <cfRule type="cellIs" dxfId="7" priority="4" operator="equal">
      <formula>0</formula>
    </cfRule>
  </conditionalFormatting>
  <pageMargins left="0.511811024" right="0.511811024" top="0.78740157499999996" bottom="0.78740157499999996" header="0.31496062000000002" footer="0.31496062000000002"/>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4:N17"/>
  <sheetViews>
    <sheetView showGridLines="0" zoomScaleNormal="100" workbookViewId="0">
      <pane xSplit="3" ySplit="4" topLeftCell="D5" activePane="bottomRight" state="frozen"/>
      <selection pane="topRight" activeCell="D1" sqref="D1"/>
      <selection pane="bottomLeft" activeCell="A5" sqref="A5"/>
      <selection pane="bottomRight" activeCell="H18" sqref="H18"/>
    </sheetView>
  </sheetViews>
  <sheetFormatPr defaultRowHeight="15" x14ac:dyDescent="0.25"/>
  <cols>
    <col min="1" max="1" width="28" style="380" bestFit="1" customWidth="1"/>
    <col min="2" max="2" width="12.28515625" style="71" bestFit="1" customWidth="1"/>
    <col min="3" max="3" width="10.7109375" style="71" bestFit="1" customWidth="1"/>
    <col min="4" max="4" width="11.28515625" style="380" bestFit="1" customWidth="1"/>
    <col min="5" max="5" width="14.140625" style="5" bestFit="1" customWidth="1"/>
    <col min="6" max="6" width="13.140625" style="5" bestFit="1" customWidth="1"/>
    <col min="7" max="7" width="18.5703125" bestFit="1" customWidth="1"/>
    <col min="8" max="8" width="14" style="133" bestFit="1" customWidth="1"/>
    <col min="9" max="9" width="12.140625" style="8" customWidth="1"/>
    <col min="10" max="10" width="14" style="8" bestFit="1" customWidth="1"/>
    <col min="11" max="11" width="14.140625" style="137" customWidth="1"/>
    <col min="12" max="12" width="10.5703125" style="137" bestFit="1" customWidth="1"/>
    <col min="13" max="13" width="11.140625" style="71" bestFit="1" customWidth="1"/>
    <col min="14" max="14" width="15.7109375" bestFit="1" customWidth="1"/>
  </cols>
  <sheetData>
    <row r="4" spans="1:14" s="13" customFormat="1" ht="30" x14ac:dyDescent="0.25">
      <c r="A4" s="325" t="s">
        <v>67</v>
      </c>
      <c r="B4" s="326" t="s">
        <v>68</v>
      </c>
      <c r="C4" s="326" t="s">
        <v>0</v>
      </c>
      <c r="D4" s="205" t="s">
        <v>24</v>
      </c>
      <c r="E4" s="326" t="s">
        <v>69</v>
      </c>
      <c r="F4" s="326" t="s">
        <v>70</v>
      </c>
      <c r="G4" s="326" t="s">
        <v>71</v>
      </c>
      <c r="H4" s="327" t="s">
        <v>78</v>
      </c>
      <c r="I4" s="328" t="s">
        <v>98</v>
      </c>
      <c r="J4" s="328" t="s">
        <v>99</v>
      </c>
      <c r="K4" s="329" t="s">
        <v>508</v>
      </c>
      <c r="L4" s="329" t="s">
        <v>499</v>
      </c>
      <c r="M4" s="326" t="s">
        <v>72</v>
      </c>
      <c r="N4" s="330" t="s">
        <v>4</v>
      </c>
    </row>
    <row r="5" spans="1:14" ht="21.95" customHeight="1" x14ac:dyDescent="0.25">
      <c r="A5" s="360" t="s">
        <v>404</v>
      </c>
      <c r="B5" s="340" t="s">
        <v>14</v>
      </c>
      <c r="C5" s="313" t="s">
        <v>852</v>
      </c>
      <c r="D5" s="418" t="s">
        <v>6</v>
      </c>
      <c r="E5" s="331">
        <v>17852</v>
      </c>
      <c r="F5" s="331">
        <v>19998</v>
      </c>
      <c r="G5" s="331">
        <f t="shared" ref="G5:G17" si="0">F5-E5</f>
        <v>2146</v>
      </c>
      <c r="H5" s="334">
        <f t="shared" ref="H5:H13" si="1">SUM(I5+J5)</f>
        <v>1200</v>
      </c>
      <c r="I5" s="332">
        <v>400</v>
      </c>
      <c r="J5" s="332">
        <v>800</v>
      </c>
      <c r="K5" s="335">
        <v>4</v>
      </c>
      <c r="L5" s="335">
        <v>180.69</v>
      </c>
      <c r="M5" s="313" t="s">
        <v>1050</v>
      </c>
      <c r="N5" s="333"/>
    </row>
    <row r="6" spans="1:14" ht="21.95" customHeight="1" x14ac:dyDescent="0.25">
      <c r="A6" s="361" t="s">
        <v>206</v>
      </c>
      <c r="B6" s="312" t="s">
        <v>5</v>
      </c>
      <c r="C6" s="312" t="s">
        <v>1119</v>
      </c>
      <c r="D6" s="419" t="s">
        <v>6</v>
      </c>
      <c r="E6" s="318">
        <v>20562</v>
      </c>
      <c r="F6" s="318">
        <v>22638</v>
      </c>
      <c r="G6" s="318">
        <f t="shared" si="0"/>
        <v>2076</v>
      </c>
      <c r="H6" s="334">
        <f t="shared" si="1"/>
        <v>600</v>
      </c>
      <c r="I6" s="334">
        <v>600</v>
      </c>
      <c r="J6" s="334"/>
      <c r="K6" s="336">
        <v>2</v>
      </c>
      <c r="L6" s="336">
        <v>72.599999999999994</v>
      </c>
      <c r="M6" s="312" t="s">
        <v>1050</v>
      </c>
      <c r="N6" s="324" t="s">
        <v>503</v>
      </c>
    </row>
    <row r="7" spans="1:14" ht="21.95" customHeight="1" x14ac:dyDescent="0.25">
      <c r="A7" s="361" t="s">
        <v>206</v>
      </c>
      <c r="B7" s="340" t="s">
        <v>14</v>
      </c>
      <c r="C7" s="340" t="s">
        <v>852</v>
      </c>
      <c r="D7" s="417" t="s">
        <v>6</v>
      </c>
      <c r="E7" s="337">
        <v>19998</v>
      </c>
      <c r="F7" s="337">
        <v>22766</v>
      </c>
      <c r="G7" s="337">
        <f t="shared" si="0"/>
        <v>2768</v>
      </c>
      <c r="H7" s="334">
        <f t="shared" si="1"/>
        <v>1200.01</v>
      </c>
      <c r="I7" s="338">
        <v>450</v>
      </c>
      <c r="J7" s="338">
        <v>750.01</v>
      </c>
      <c r="K7" s="339">
        <v>5</v>
      </c>
      <c r="L7" s="339">
        <v>206.27</v>
      </c>
      <c r="M7" s="313" t="s">
        <v>80</v>
      </c>
      <c r="N7" s="341"/>
    </row>
    <row r="8" spans="1:14" ht="21.95" customHeight="1" x14ac:dyDescent="0.25">
      <c r="A8" s="361" t="s">
        <v>206</v>
      </c>
      <c r="B8" s="340" t="s">
        <v>14</v>
      </c>
      <c r="C8" s="340" t="s">
        <v>852</v>
      </c>
      <c r="D8" s="417" t="s">
        <v>6</v>
      </c>
      <c r="E8" s="337">
        <v>22766</v>
      </c>
      <c r="F8" s="337">
        <v>25421</v>
      </c>
      <c r="G8" s="337">
        <f t="shared" si="0"/>
        <v>2655</v>
      </c>
      <c r="H8" s="334">
        <f t="shared" si="1"/>
        <v>1250</v>
      </c>
      <c r="I8" s="338">
        <v>650</v>
      </c>
      <c r="J8" s="338">
        <v>600</v>
      </c>
      <c r="K8" s="339">
        <v>6</v>
      </c>
      <c r="L8" s="339">
        <v>221.01</v>
      </c>
      <c r="M8" s="313" t="s">
        <v>81</v>
      </c>
      <c r="N8" s="341"/>
    </row>
    <row r="9" spans="1:14" ht="21.95" customHeight="1" x14ac:dyDescent="0.25">
      <c r="A9" s="361" t="s">
        <v>206</v>
      </c>
      <c r="B9" s="340" t="s">
        <v>14</v>
      </c>
      <c r="C9" s="340" t="s">
        <v>852</v>
      </c>
      <c r="D9" s="417" t="s">
        <v>6</v>
      </c>
      <c r="E9" s="337">
        <v>25421</v>
      </c>
      <c r="F9" s="337">
        <v>27148</v>
      </c>
      <c r="G9" s="337">
        <f t="shared" si="0"/>
        <v>1727</v>
      </c>
      <c r="H9" s="338">
        <f t="shared" si="1"/>
        <v>950</v>
      </c>
      <c r="I9" s="338">
        <v>250</v>
      </c>
      <c r="J9" s="338">
        <v>700</v>
      </c>
      <c r="K9" s="339">
        <v>4</v>
      </c>
      <c r="L9" s="339">
        <v>159.6</v>
      </c>
      <c r="M9" s="313" t="s">
        <v>82</v>
      </c>
      <c r="N9" s="341"/>
    </row>
    <row r="10" spans="1:14" ht="21.95" customHeight="1" x14ac:dyDescent="0.25">
      <c r="A10" s="361" t="s">
        <v>206</v>
      </c>
      <c r="B10" s="340" t="s">
        <v>14</v>
      </c>
      <c r="C10" s="340" t="s">
        <v>852</v>
      </c>
      <c r="D10" s="417" t="s">
        <v>6</v>
      </c>
      <c r="E10" s="337">
        <v>27148</v>
      </c>
      <c r="F10" s="337">
        <v>29283</v>
      </c>
      <c r="G10" s="337">
        <f t="shared" si="0"/>
        <v>2135</v>
      </c>
      <c r="H10" s="338">
        <f t="shared" si="1"/>
        <v>1000</v>
      </c>
      <c r="I10" s="338">
        <v>550</v>
      </c>
      <c r="J10" s="338">
        <v>450</v>
      </c>
      <c r="K10" s="339">
        <v>3</v>
      </c>
      <c r="L10" s="339">
        <v>177.73</v>
      </c>
      <c r="M10" s="313" t="s">
        <v>83</v>
      </c>
      <c r="N10" s="341"/>
    </row>
    <row r="11" spans="1:14" ht="21.95" customHeight="1" x14ac:dyDescent="0.25">
      <c r="A11" s="361" t="s">
        <v>206</v>
      </c>
      <c r="B11" s="340" t="s">
        <v>14</v>
      </c>
      <c r="C11" s="340" t="s">
        <v>852</v>
      </c>
      <c r="D11" s="417" t="s">
        <v>6</v>
      </c>
      <c r="E11" s="337">
        <v>29283</v>
      </c>
      <c r="F11" s="337">
        <v>31115</v>
      </c>
      <c r="G11" s="337">
        <f t="shared" si="0"/>
        <v>1832</v>
      </c>
      <c r="H11" s="338">
        <f t="shared" si="1"/>
        <v>1000</v>
      </c>
      <c r="I11" s="338">
        <v>500</v>
      </c>
      <c r="J11" s="338">
        <v>500</v>
      </c>
      <c r="K11" s="339">
        <v>4</v>
      </c>
      <c r="L11" s="339">
        <v>184.84</v>
      </c>
      <c r="M11" s="313" t="s">
        <v>84</v>
      </c>
      <c r="N11" s="341"/>
    </row>
    <row r="12" spans="1:14" ht="21.95" customHeight="1" x14ac:dyDescent="0.25">
      <c r="A12" s="361" t="s">
        <v>206</v>
      </c>
      <c r="B12" s="340" t="s">
        <v>14</v>
      </c>
      <c r="C12" s="340" t="s">
        <v>852</v>
      </c>
      <c r="D12" s="417" t="s">
        <v>6</v>
      </c>
      <c r="E12" s="337">
        <v>31115</v>
      </c>
      <c r="F12" s="337">
        <v>33098</v>
      </c>
      <c r="G12" s="337">
        <f t="shared" si="0"/>
        <v>1983</v>
      </c>
      <c r="H12" s="338">
        <f t="shared" si="1"/>
        <v>1080.0999999999999</v>
      </c>
      <c r="I12" s="338">
        <v>530.01</v>
      </c>
      <c r="J12" s="338">
        <v>550.09</v>
      </c>
      <c r="K12" s="339">
        <v>5</v>
      </c>
      <c r="L12" s="339">
        <v>187.48</v>
      </c>
      <c r="M12" s="313" t="s">
        <v>73</v>
      </c>
      <c r="N12" s="341"/>
    </row>
    <row r="13" spans="1:14" ht="21.95" customHeight="1" x14ac:dyDescent="0.25">
      <c r="A13" s="361" t="s">
        <v>206</v>
      </c>
      <c r="B13" s="340" t="s">
        <v>14</v>
      </c>
      <c r="C13" s="340" t="s">
        <v>852</v>
      </c>
      <c r="D13" s="417" t="s">
        <v>6</v>
      </c>
      <c r="E13" s="337">
        <v>33110</v>
      </c>
      <c r="F13" s="337">
        <v>34627</v>
      </c>
      <c r="G13" s="337">
        <f t="shared" si="0"/>
        <v>1517</v>
      </c>
      <c r="H13" s="338">
        <f t="shared" si="1"/>
        <v>700</v>
      </c>
      <c r="I13" s="338">
        <v>450</v>
      </c>
      <c r="J13" s="338">
        <v>250</v>
      </c>
      <c r="K13" s="339">
        <v>2</v>
      </c>
      <c r="L13" s="339">
        <v>125.21</v>
      </c>
      <c r="M13" s="313" t="s">
        <v>74</v>
      </c>
      <c r="N13" s="341"/>
    </row>
    <row r="14" spans="1:14" ht="21.95" customHeight="1" x14ac:dyDescent="0.25">
      <c r="A14" s="361" t="s">
        <v>206</v>
      </c>
      <c r="B14" s="340" t="s">
        <v>5</v>
      </c>
      <c r="C14" s="340" t="s">
        <v>1475</v>
      </c>
      <c r="D14" s="417" t="s">
        <v>6</v>
      </c>
      <c r="E14" s="337">
        <v>19159</v>
      </c>
      <c r="F14" s="337">
        <v>19807</v>
      </c>
      <c r="G14" s="337">
        <f t="shared" si="0"/>
        <v>648</v>
      </c>
      <c r="H14" s="338">
        <v>150</v>
      </c>
      <c r="I14" s="338">
        <v>450</v>
      </c>
      <c r="J14" s="338">
        <v>250</v>
      </c>
      <c r="K14" s="339">
        <v>3</v>
      </c>
      <c r="L14" s="339">
        <v>125.7</v>
      </c>
      <c r="M14" s="313" t="s">
        <v>75</v>
      </c>
      <c r="N14" s="341"/>
    </row>
    <row r="15" spans="1:14" ht="21.95" customHeight="1" x14ac:dyDescent="0.25">
      <c r="A15" s="361" t="s">
        <v>206</v>
      </c>
      <c r="B15" s="340" t="s">
        <v>5</v>
      </c>
      <c r="C15" s="340" t="s">
        <v>1475</v>
      </c>
      <c r="D15" s="417" t="s">
        <v>6</v>
      </c>
      <c r="E15" s="337">
        <v>19807</v>
      </c>
      <c r="F15" s="337">
        <v>20958</v>
      </c>
      <c r="G15" s="337">
        <f t="shared" si="0"/>
        <v>1151</v>
      </c>
      <c r="H15" s="338">
        <v>150</v>
      </c>
      <c r="I15" s="338">
        <v>450</v>
      </c>
      <c r="J15" s="338">
        <v>250</v>
      </c>
      <c r="K15" s="339">
        <v>3</v>
      </c>
      <c r="L15" s="339">
        <v>125.7</v>
      </c>
      <c r="M15" s="313" t="s">
        <v>75</v>
      </c>
      <c r="N15" s="341"/>
    </row>
    <row r="16" spans="1:14" ht="21.95" customHeight="1" x14ac:dyDescent="0.25">
      <c r="A16" s="361" t="s">
        <v>206</v>
      </c>
      <c r="B16" s="340" t="s">
        <v>5</v>
      </c>
      <c r="C16" s="340" t="s">
        <v>1475</v>
      </c>
      <c r="D16" s="417" t="s">
        <v>6</v>
      </c>
      <c r="E16" s="337">
        <v>21124</v>
      </c>
      <c r="F16" s="337">
        <v>22394</v>
      </c>
      <c r="G16" s="337">
        <f t="shared" si="0"/>
        <v>1270</v>
      </c>
      <c r="H16" s="338">
        <v>300</v>
      </c>
      <c r="I16" s="338">
        <v>0</v>
      </c>
      <c r="J16" s="338">
        <v>300</v>
      </c>
      <c r="K16" s="339">
        <v>1</v>
      </c>
      <c r="L16" s="339">
        <v>53.95</v>
      </c>
      <c r="M16" s="313" t="s">
        <v>85</v>
      </c>
      <c r="N16" s="341"/>
    </row>
    <row r="17" spans="1:14" ht="21.95" customHeight="1" x14ac:dyDescent="0.25">
      <c r="A17" s="361" t="s">
        <v>206</v>
      </c>
      <c r="B17" s="340" t="s">
        <v>5</v>
      </c>
      <c r="C17" s="340" t="s">
        <v>1475</v>
      </c>
      <c r="D17" s="417" t="s">
        <v>6</v>
      </c>
      <c r="E17" s="337">
        <v>22394</v>
      </c>
      <c r="F17" s="337">
        <v>22576</v>
      </c>
      <c r="G17" s="337">
        <f t="shared" si="0"/>
        <v>182</v>
      </c>
      <c r="H17" s="338">
        <v>426.05</v>
      </c>
      <c r="I17" s="338">
        <v>426.05</v>
      </c>
      <c r="J17" s="338">
        <v>0</v>
      </c>
      <c r="K17" s="339">
        <v>2</v>
      </c>
      <c r="L17" s="339">
        <v>76.5</v>
      </c>
      <c r="M17" s="313" t="s">
        <v>77</v>
      </c>
      <c r="N17" s="341"/>
    </row>
  </sheetData>
  <autoFilter ref="A4:M4" xr:uid="{00000000-0009-0000-0000-00000C000000}"/>
  <phoneticPr fontId="10" type="noConversion"/>
  <conditionalFormatting sqref="D5:D6">
    <cfRule type="cellIs" dxfId="6" priority="1" operator="equal">
      <formula>0</formula>
    </cfRule>
  </conditionalFormatting>
  <conditionalFormatting sqref="G5:G17">
    <cfRule type="cellIs" dxfId="5" priority="2" operator="equal">
      <formula>0</formula>
    </cfRule>
  </conditionalFormatting>
  <pageMargins left="0.511811024" right="0.511811024" top="0.78740157499999996" bottom="0.78740157499999996" header="0.31496062000000002" footer="0.31496062000000002"/>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N28"/>
  <sheetViews>
    <sheetView showGridLines="0" zoomScaleNormal="100" workbookViewId="0">
      <pane xSplit="3" ySplit="4" topLeftCell="D14" activePane="bottomRight" state="frozen"/>
      <selection pane="topRight" activeCell="D1" sqref="D1"/>
      <selection pane="bottomLeft" activeCell="A5" sqref="A5"/>
      <selection pane="bottomRight" activeCell="K13" sqref="K13"/>
    </sheetView>
  </sheetViews>
  <sheetFormatPr defaultRowHeight="15" x14ac:dyDescent="0.25"/>
  <cols>
    <col min="1" max="1" width="20.140625" style="13" bestFit="1" customWidth="1"/>
    <col min="2" max="2" width="12.28515625" style="71" bestFit="1" customWidth="1"/>
    <col min="3" max="3" width="10.7109375" style="71" bestFit="1" customWidth="1"/>
    <col min="4" max="4" width="12.7109375" style="13" customWidth="1"/>
    <col min="5" max="5" width="14.140625" bestFit="1" customWidth="1"/>
    <col min="6" max="6" width="13.140625" bestFit="1" customWidth="1"/>
    <col min="7" max="7" width="18.5703125" bestFit="1" customWidth="1"/>
    <col min="8" max="8" width="14" style="310" bestFit="1" customWidth="1"/>
    <col min="9" max="9" width="12.28515625" customWidth="1"/>
    <col min="10" max="10" width="13.140625" customWidth="1"/>
    <col min="11" max="11" width="15.85546875" customWidth="1"/>
    <col min="13" max="13" width="10.5703125" bestFit="1" customWidth="1"/>
  </cols>
  <sheetData>
    <row r="3" spans="1:14" x14ac:dyDescent="0.25">
      <c r="A3" s="358"/>
      <c r="B3" s="359"/>
      <c r="C3" s="359"/>
      <c r="D3" s="358"/>
      <c r="E3" s="135"/>
      <c r="F3" s="135"/>
      <c r="G3" s="135"/>
      <c r="H3" s="385"/>
      <c r="I3" s="135"/>
      <c r="J3" s="135"/>
    </row>
    <row r="4" spans="1:14" s="13" customFormat="1" ht="30" x14ac:dyDescent="0.25">
      <c r="A4" s="325" t="s">
        <v>67</v>
      </c>
      <c r="B4" s="326" t="s">
        <v>68</v>
      </c>
      <c r="C4" s="326" t="s">
        <v>0</v>
      </c>
      <c r="D4" s="205" t="s">
        <v>24</v>
      </c>
      <c r="E4" s="326" t="s">
        <v>69</v>
      </c>
      <c r="F4" s="326" t="s">
        <v>70</v>
      </c>
      <c r="G4" s="326" t="s">
        <v>71</v>
      </c>
      <c r="H4" s="386" t="s">
        <v>78</v>
      </c>
      <c r="I4" s="328" t="s">
        <v>1106</v>
      </c>
      <c r="J4" s="328" t="s">
        <v>1105</v>
      </c>
      <c r="K4" s="329" t="s">
        <v>508</v>
      </c>
      <c r="L4" s="329" t="s">
        <v>499</v>
      </c>
      <c r="M4" s="326" t="s">
        <v>72</v>
      </c>
      <c r="N4" s="330" t="s">
        <v>4</v>
      </c>
    </row>
    <row r="5" spans="1:14" ht="21.95" customHeight="1" x14ac:dyDescent="0.25">
      <c r="A5" s="360" t="s">
        <v>522</v>
      </c>
      <c r="B5" s="313" t="s">
        <v>51</v>
      </c>
      <c r="C5" s="313" t="s">
        <v>1129</v>
      </c>
      <c r="D5" s="393" t="s">
        <v>6</v>
      </c>
      <c r="E5" s="331">
        <v>8168</v>
      </c>
      <c r="F5" s="331">
        <v>10563</v>
      </c>
      <c r="G5" s="331">
        <f t="shared" ref="G5:G28" si="0">F5-E5</f>
        <v>2395</v>
      </c>
      <c r="H5" s="335">
        <v>949.74</v>
      </c>
      <c r="I5" s="332"/>
      <c r="J5" s="332"/>
      <c r="K5" s="335"/>
      <c r="L5" s="335">
        <v>147.68</v>
      </c>
      <c r="M5" s="313" t="s">
        <v>1050</v>
      </c>
      <c r="N5" s="333"/>
    </row>
    <row r="6" spans="1:14" ht="21.95" customHeight="1" x14ac:dyDescent="0.25">
      <c r="A6" s="361" t="s">
        <v>527</v>
      </c>
      <c r="B6" s="312" t="s">
        <v>91</v>
      </c>
      <c r="C6" s="312" t="s">
        <v>1108</v>
      </c>
      <c r="D6" s="145" t="s">
        <v>6</v>
      </c>
      <c r="E6" s="318">
        <v>10274</v>
      </c>
      <c r="F6" s="318">
        <v>10461</v>
      </c>
      <c r="G6" s="318">
        <f t="shared" si="0"/>
        <v>187</v>
      </c>
      <c r="H6" s="336">
        <v>85.84</v>
      </c>
      <c r="I6" s="334"/>
      <c r="J6" s="334"/>
      <c r="K6" s="336"/>
      <c r="L6" s="336">
        <v>22.709</v>
      </c>
      <c r="M6" s="312" t="s">
        <v>1050</v>
      </c>
      <c r="N6" s="324"/>
    </row>
    <row r="7" spans="1:14" ht="21.95" customHeight="1" x14ac:dyDescent="0.25">
      <c r="A7" s="360" t="s">
        <v>522</v>
      </c>
      <c r="B7" s="312" t="s">
        <v>91</v>
      </c>
      <c r="C7" s="313" t="s">
        <v>1181</v>
      </c>
      <c r="D7" s="145"/>
      <c r="E7" s="331">
        <v>27052</v>
      </c>
      <c r="F7" s="331">
        <v>29537</v>
      </c>
      <c r="G7" s="331">
        <f t="shared" si="0"/>
        <v>2485</v>
      </c>
      <c r="H7" s="331">
        <v>1037.74</v>
      </c>
      <c r="I7" s="332"/>
      <c r="J7" s="332"/>
      <c r="K7" s="335">
        <v>4</v>
      </c>
      <c r="L7" s="335">
        <v>196.20099999999999</v>
      </c>
      <c r="M7" s="313" t="s">
        <v>80</v>
      </c>
      <c r="N7" s="333"/>
    </row>
    <row r="8" spans="1:14" ht="21.95" customHeight="1" x14ac:dyDescent="0.25">
      <c r="A8" s="361" t="s">
        <v>527</v>
      </c>
      <c r="B8" s="312" t="s">
        <v>12</v>
      </c>
      <c r="C8" s="312" t="s">
        <v>1178</v>
      </c>
      <c r="D8" s="145" t="s">
        <v>6</v>
      </c>
      <c r="E8" s="428">
        <v>50454</v>
      </c>
      <c r="F8" s="428">
        <v>50632</v>
      </c>
      <c r="G8" s="318">
        <f t="shared" si="0"/>
        <v>178</v>
      </c>
      <c r="H8" s="388"/>
      <c r="I8" s="334"/>
      <c r="J8" s="334"/>
      <c r="K8" s="336"/>
      <c r="L8" s="336"/>
      <c r="M8" s="312" t="s">
        <v>80</v>
      </c>
      <c r="N8" s="324"/>
    </row>
    <row r="9" spans="1:14" ht="21.95" customHeight="1" x14ac:dyDescent="0.25">
      <c r="A9" s="360" t="s">
        <v>522</v>
      </c>
      <c r="B9" s="313"/>
      <c r="C9" s="313"/>
      <c r="D9" s="415"/>
      <c r="E9" s="331"/>
      <c r="F9" s="331"/>
      <c r="G9" s="331">
        <f t="shared" si="0"/>
        <v>0</v>
      </c>
      <c r="H9" s="387"/>
      <c r="I9" s="332"/>
      <c r="J9" s="332"/>
      <c r="K9" s="335"/>
      <c r="L9" s="335"/>
      <c r="M9" s="313" t="s">
        <v>81</v>
      </c>
      <c r="N9" s="333"/>
    </row>
    <row r="10" spans="1:14" ht="21.95" customHeight="1" x14ac:dyDescent="0.25">
      <c r="A10" s="361" t="s">
        <v>527</v>
      </c>
      <c r="B10" s="312"/>
      <c r="C10" s="312"/>
      <c r="D10" s="416"/>
      <c r="E10" s="318"/>
      <c r="F10" s="318"/>
      <c r="G10" s="318">
        <f t="shared" si="0"/>
        <v>0</v>
      </c>
      <c r="H10" s="388"/>
      <c r="I10" s="334"/>
      <c r="J10" s="334"/>
      <c r="K10" s="336"/>
      <c r="L10" s="336"/>
      <c r="M10" s="312" t="s">
        <v>81</v>
      </c>
      <c r="N10" s="324"/>
    </row>
    <row r="11" spans="1:14" ht="21.95" customHeight="1" x14ac:dyDescent="0.25">
      <c r="A11" s="360" t="s">
        <v>522</v>
      </c>
      <c r="B11" s="313"/>
      <c r="C11" s="313"/>
      <c r="D11" s="415"/>
      <c r="E11" s="331"/>
      <c r="F11" s="331"/>
      <c r="G11" s="331">
        <f t="shared" si="0"/>
        <v>0</v>
      </c>
      <c r="H11" s="387"/>
      <c r="I11" s="332"/>
      <c r="J11" s="332"/>
      <c r="K11" s="335"/>
      <c r="L11" s="335"/>
      <c r="M11" s="313" t="s">
        <v>82</v>
      </c>
      <c r="N11" s="333"/>
    </row>
    <row r="12" spans="1:14" ht="21.95" customHeight="1" x14ac:dyDescent="0.25">
      <c r="A12" s="361" t="s">
        <v>527</v>
      </c>
      <c r="B12" s="312"/>
      <c r="C12" s="312"/>
      <c r="D12" s="416"/>
      <c r="E12" s="318"/>
      <c r="F12" s="318"/>
      <c r="G12" s="318">
        <f t="shared" si="0"/>
        <v>0</v>
      </c>
      <c r="H12" s="388"/>
      <c r="I12" s="334"/>
      <c r="J12" s="334"/>
      <c r="K12" s="336"/>
      <c r="L12" s="438" t="e">
        <f ca="1">'20017_DNIT'!H8('20017_DNIT'!H7:H8)</f>
        <v>#REF!</v>
      </c>
      <c r="M12" s="312" t="s">
        <v>82</v>
      </c>
      <c r="N12" s="324"/>
    </row>
    <row r="13" spans="1:14" ht="21.95" customHeight="1" x14ac:dyDescent="0.25">
      <c r="A13" s="360" t="s">
        <v>522</v>
      </c>
      <c r="B13" s="313"/>
      <c r="C13" s="313"/>
      <c r="D13" s="415"/>
      <c r="E13" s="331"/>
      <c r="F13" s="331"/>
      <c r="G13" s="331">
        <f t="shared" si="0"/>
        <v>0</v>
      </c>
      <c r="H13" s="387"/>
      <c r="I13" s="332"/>
      <c r="J13" s="332"/>
      <c r="K13" s="335"/>
      <c r="L13" s="335"/>
      <c r="M13" s="313" t="s">
        <v>83</v>
      </c>
      <c r="N13" s="333"/>
    </row>
    <row r="14" spans="1:14" ht="21.95" customHeight="1" x14ac:dyDescent="0.25">
      <c r="A14" s="361" t="s">
        <v>527</v>
      </c>
      <c r="B14" s="312"/>
      <c r="C14" s="312"/>
      <c r="D14" s="416"/>
      <c r="E14" s="318"/>
      <c r="F14" s="318"/>
      <c r="G14" s="318">
        <f t="shared" si="0"/>
        <v>0</v>
      </c>
      <c r="H14" s="388"/>
      <c r="I14" s="334"/>
      <c r="J14" s="334"/>
      <c r="K14" s="336"/>
      <c r="L14" s="336"/>
      <c r="M14" s="312" t="s">
        <v>83</v>
      </c>
      <c r="N14" s="324"/>
    </row>
    <row r="15" spans="1:14" ht="21.95" customHeight="1" x14ac:dyDescent="0.25">
      <c r="A15" s="360" t="s">
        <v>522</v>
      </c>
      <c r="B15" s="313"/>
      <c r="C15" s="313"/>
      <c r="D15" s="415"/>
      <c r="E15" s="331"/>
      <c r="F15" s="331"/>
      <c r="G15" s="331">
        <f t="shared" si="0"/>
        <v>0</v>
      </c>
      <c r="H15" s="387"/>
      <c r="I15" s="332"/>
      <c r="J15" s="332"/>
      <c r="K15" s="335"/>
      <c r="L15" s="335"/>
      <c r="M15" s="313" t="s">
        <v>84</v>
      </c>
      <c r="N15" s="333"/>
    </row>
    <row r="16" spans="1:14" ht="21.95" customHeight="1" x14ac:dyDescent="0.25">
      <c r="A16" s="361" t="s">
        <v>527</v>
      </c>
      <c r="B16" s="312"/>
      <c r="C16" s="312"/>
      <c r="D16" s="416"/>
      <c r="E16" s="318"/>
      <c r="F16" s="318"/>
      <c r="G16" s="318">
        <f t="shared" si="0"/>
        <v>0</v>
      </c>
      <c r="H16" s="388"/>
      <c r="I16" s="334"/>
      <c r="J16" s="334"/>
      <c r="K16" s="336"/>
      <c r="L16" s="336"/>
      <c r="M16" s="312" t="s">
        <v>84</v>
      </c>
      <c r="N16" s="324"/>
    </row>
    <row r="17" spans="1:14" ht="21.95" customHeight="1" x14ac:dyDescent="0.25">
      <c r="A17" s="360" t="s">
        <v>522</v>
      </c>
      <c r="B17" s="313"/>
      <c r="C17" s="313"/>
      <c r="D17" s="415"/>
      <c r="E17" s="331"/>
      <c r="F17" s="331"/>
      <c r="G17" s="331">
        <f t="shared" si="0"/>
        <v>0</v>
      </c>
      <c r="H17" s="387"/>
      <c r="I17" s="332"/>
      <c r="J17" s="332"/>
      <c r="K17" s="335"/>
      <c r="L17" s="335"/>
      <c r="M17" s="313" t="s">
        <v>73</v>
      </c>
      <c r="N17" s="333"/>
    </row>
    <row r="18" spans="1:14" ht="21.95" customHeight="1" x14ac:dyDescent="0.25">
      <c r="A18" s="361" t="s">
        <v>527</v>
      </c>
      <c r="B18" s="312"/>
      <c r="C18" s="312"/>
      <c r="D18" s="416"/>
      <c r="E18" s="318"/>
      <c r="F18" s="318"/>
      <c r="G18" s="318">
        <f t="shared" si="0"/>
        <v>0</v>
      </c>
      <c r="H18" s="388"/>
      <c r="I18" s="334"/>
      <c r="J18" s="334"/>
      <c r="K18" s="336"/>
      <c r="L18" s="336"/>
      <c r="M18" s="312" t="s">
        <v>73</v>
      </c>
      <c r="N18" s="324"/>
    </row>
    <row r="19" spans="1:14" ht="21.95" customHeight="1" x14ac:dyDescent="0.25">
      <c r="A19" s="360" t="s">
        <v>522</v>
      </c>
      <c r="B19" s="313"/>
      <c r="C19" s="313"/>
      <c r="D19" s="415"/>
      <c r="E19" s="331"/>
      <c r="F19" s="331"/>
      <c r="G19" s="331">
        <f t="shared" si="0"/>
        <v>0</v>
      </c>
      <c r="H19" s="387"/>
      <c r="I19" s="332"/>
      <c r="J19" s="332"/>
      <c r="K19" s="335"/>
      <c r="L19" s="335"/>
      <c r="M19" s="313" t="s">
        <v>74</v>
      </c>
      <c r="N19" s="333"/>
    </row>
    <row r="20" spans="1:14" ht="21.95" customHeight="1" x14ac:dyDescent="0.25">
      <c r="A20" s="361" t="s">
        <v>527</v>
      </c>
      <c r="B20" s="312"/>
      <c r="C20" s="312"/>
      <c r="D20" s="416"/>
      <c r="E20" s="318"/>
      <c r="F20" s="318"/>
      <c r="G20" s="318">
        <f t="shared" si="0"/>
        <v>0</v>
      </c>
      <c r="H20" s="388"/>
      <c r="I20" s="334"/>
      <c r="J20" s="334"/>
      <c r="K20" s="336"/>
      <c r="L20" s="336"/>
      <c r="M20" s="312" t="s">
        <v>74</v>
      </c>
      <c r="N20" s="324"/>
    </row>
    <row r="21" spans="1:14" ht="21.95" customHeight="1" x14ac:dyDescent="0.25">
      <c r="A21" s="360" t="s">
        <v>522</v>
      </c>
      <c r="B21" s="313"/>
      <c r="C21" s="313"/>
      <c r="D21" s="415"/>
      <c r="E21" s="331"/>
      <c r="F21" s="331"/>
      <c r="G21" s="331">
        <f t="shared" si="0"/>
        <v>0</v>
      </c>
      <c r="H21" s="387"/>
      <c r="I21" s="332"/>
      <c r="J21" s="332"/>
      <c r="K21" s="335"/>
      <c r="L21" s="335"/>
      <c r="M21" s="313" t="s">
        <v>75</v>
      </c>
      <c r="N21" s="333"/>
    </row>
    <row r="22" spans="1:14" ht="21.95" customHeight="1" x14ac:dyDescent="0.25">
      <c r="A22" s="361" t="s">
        <v>527</v>
      </c>
      <c r="B22" s="312"/>
      <c r="C22" s="312"/>
      <c r="D22" s="416"/>
      <c r="E22" s="318"/>
      <c r="F22" s="318"/>
      <c r="G22" s="318">
        <f t="shared" si="0"/>
        <v>0</v>
      </c>
      <c r="H22" s="388"/>
      <c r="I22" s="334"/>
      <c r="J22" s="334"/>
      <c r="K22" s="336"/>
      <c r="L22" s="336"/>
      <c r="M22" s="312" t="s">
        <v>75</v>
      </c>
      <c r="N22" s="324"/>
    </row>
    <row r="23" spans="1:14" ht="21.95" customHeight="1" x14ac:dyDescent="0.25">
      <c r="A23" s="360" t="s">
        <v>522</v>
      </c>
      <c r="B23" s="313"/>
      <c r="C23" s="313"/>
      <c r="D23" s="415"/>
      <c r="E23" s="331"/>
      <c r="F23" s="331"/>
      <c r="G23" s="331">
        <f t="shared" si="0"/>
        <v>0</v>
      </c>
      <c r="H23" s="387"/>
      <c r="I23" s="332"/>
      <c r="J23" s="332"/>
      <c r="K23" s="335"/>
      <c r="L23" s="335"/>
      <c r="M23" s="313" t="s">
        <v>76</v>
      </c>
      <c r="N23" s="333"/>
    </row>
    <row r="24" spans="1:14" ht="21.95" customHeight="1" x14ac:dyDescent="0.25">
      <c r="A24" s="361" t="s">
        <v>527</v>
      </c>
      <c r="B24" s="312"/>
      <c r="C24" s="312"/>
      <c r="D24" s="416"/>
      <c r="E24" s="318"/>
      <c r="F24" s="318"/>
      <c r="G24" s="318">
        <f t="shared" si="0"/>
        <v>0</v>
      </c>
      <c r="H24" s="388"/>
      <c r="I24" s="334"/>
      <c r="J24" s="334"/>
      <c r="K24" s="336"/>
      <c r="L24" s="336"/>
      <c r="M24" s="312" t="s">
        <v>76</v>
      </c>
      <c r="N24" s="324"/>
    </row>
    <row r="25" spans="1:14" ht="21.95" customHeight="1" x14ac:dyDescent="0.25">
      <c r="A25" s="360" t="s">
        <v>522</v>
      </c>
      <c r="B25" s="313"/>
      <c r="C25" s="313"/>
      <c r="D25" s="415"/>
      <c r="E25" s="331"/>
      <c r="F25" s="331"/>
      <c r="G25" s="331">
        <f t="shared" si="0"/>
        <v>0</v>
      </c>
      <c r="H25" s="387"/>
      <c r="I25" s="332"/>
      <c r="J25" s="332"/>
      <c r="K25" s="335"/>
      <c r="L25" s="335"/>
      <c r="M25" s="313" t="s">
        <v>85</v>
      </c>
      <c r="N25" s="333"/>
    </row>
    <row r="26" spans="1:14" ht="21.95" customHeight="1" x14ac:dyDescent="0.25">
      <c r="A26" s="361" t="s">
        <v>527</v>
      </c>
      <c r="B26" s="312"/>
      <c r="C26" s="312"/>
      <c r="D26" s="416"/>
      <c r="E26" s="318"/>
      <c r="F26" s="318"/>
      <c r="G26" s="318">
        <f t="shared" si="0"/>
        <v>0</v>
      </c>
      <c r="H26" s="388"/>
      <c r="I26" s="334"/>
      <c r="J26" s="334"/>
      <c r="K26" s="336"/>
      <c r="L26" s="336"/>
      <c r="M26" s="312" t="s">
        <v>85</v>
      </c>
      <c r="N26" s="324"/>
    </row>
    <row r="27" spans="1:14" ht="21.95" customHeight="1" x14ac:dyDescent="0.25">
      <c r="A27" s="360" t="s">
        <v>522</v>
      </c>
      <c r="B27" s="313"/>
      <c r="C27" s="313"/>
      <c r="D27" s="415"/>
      <c r="E27" s="331"/>
      <c r="F27" s="331"/>
      <c r="G27" s="331">
        <f t="shared" si="0"/>
        <v>0</v>
      </c>
      <c r="H27" s="387"/>
      <c r="I27" s="332"/>
      <c r="J27" s="332"/>
      <c r="K27" s="335"/>
      <c r="L27" s="335"/>
      <c r="M27" s="313" t="s">
        <v>77</v>
      </c>
      <c r="N27" s="333"/>
    </row>
    <row r="28" spans="1:14" ht="21.95" customHeight="1" x14ac:dyDescent="0.25">
      <c r="A28" s="361" t="s">
        <v>527</v>
      </c>
      <c r="B28" s="312"/>
      <c r="C28" s="312"/>
      <c r="D28" s="416"/>
      <c r="E28" s="318"/>
      <c r="F28" s="318"/>
      <c r="G28" s="318">
        <f t="shared" si="0"/>
        <v>0</v>
      </c>
      <c r="H28" s="388"/>
      <c r="I28" s="334"/>
      <c r="J28" s="334"/>
      <c r="K28" s="336"/>
      <c r="L28" s="336"/>
      <c r="M28" s="312" t="s">
        <v>77</v>
      </c>
      <c r="N28" s="324"/>
    </row>
  </sheetData>
  <phoneticPr fontId="10" type="noConversion"/>
  <conditionalFormatting sqref="D5:D8">
    <cfRule type="cellIs" dxfId="4" priority="1" operator="equal">
      <formula>0</formula>
    </cfRule>
  </conditionalFormatting>
  <conditionalFormatting sqref="G5:G28">
    <cfRule type="cellIs" dxfId="3" priority="4" operator="equal">
      <formula>0</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C33"/>
  <sheetViews>
    <sheetView showGridLines="0" view="pageBreakPreview" zoomScale="70" zoomScaleNormal="70" zoomScaleSheetLayoutView="70" workbookViewId="0">
      <pane xSplit="3" ySplit="2" topLeftCell="D3" activePane="bottomRight" state="frozen"/>
      <selection pane="topRight" activeCell="D1" sqref="D1"/>
      <selection pane="bottomLeft" activeCell="A3" sqref="A3"/>
      <selection pane="bottomRight" activeCell="H3" sqref="H3"/>
    </sheetView>
  </sheetViews>
  <sheetFormatPr defaultRowHeight="15" x14ac:dyDescent="0.25"/>
  <cols>
    <col min="1" max="1" width="36.5703125" customWidth="1"/>
    <col min="2" max="2" width="13.140625" bestFit="1" customWidth="1"/>
    <col min="3" max="3" width="11.28515625" bestFit="1" customWidth="1"/>
    <col min="4" max="4" width="17.85546875" customWidth="1"/>
    <col min="5" max="6" width="13.140625" customWidth="1"/>
    <col min="7" max="7" width="17.85546875" style="311" customWidth="1"/>
    <col min="8" max="9" width="13.140625" customWidth="1"/>
    <col min="10" max="10" width="11.5703125" customWidth="1"/>
    <col min="11" max="12" width="13.140625" customWidth="1"/>
    <col min="13" max="13" width="13.42578125" style="134" customWidth="1"/>
    <col min="14" max="14" width="11.5703125" style="220" customWidth="1"/>
    <col min="15" max="15" width="17.28515625" customWidth="1"/>
    <col min="16" max="16" width="12.7109375" customWidth="1"/>
    <col min="17" max="17" width="11.5703125" style="220" customWidth="1"/>
    <col min="18" max="18" width="17.85546875" customWidth="1"/>
    <col min="19" max="19" width="11.5703125" style="133" customWidth="1"/>
    <col min="20" max="20" width="11.5703125" style="220" customWidth="1"/>
    <col min="21" max="21" width="17.85546875" customWidth="1"/>
    <col min="22" max="22" width="11.5703125" style="133" customWidth="1"/>
    <col min="23" max="23" width="11.5703125" style="220" customWidth="1"/>
    <col min="24" max="24" width="16" bestFit="1" customWidth="1"/>
    <col min="25" max="25" width="11.85546875" style="133" customWidth="1"/>
    <col min="26" max="26" width="11.5703125" style="220" customWidth="1"/>
    <col min="27" max="27" width="17.85546875" customWidth="1"/>
    <col min="28" max="28" width="11.5703125" style="133" customWidth="1"/>
    <col min="29" max="29" width="11.5703125" style="220" customWidth="1"/>
    <col min="30" max="30" width="17.85546875" customWidth="1"/>
    <col min="31" max="31" width="11.5703125" style="133" customWidth="1"/>
    <col min="32" max="32" width="10.28515625" customWidth="1"/>
    <col min="33" max="33" width="17.85546875" customWidth="1"/>
    <col min="34" max="34" width="11.5703125" style="133" customWidth="1"/>
    <col min="35" max="35" width="11.5703125" style="220" customWidth="1"/>
    <col min="36" max="36" width="17.85546875" customWidth="1"/>
    <col min="37" max="37" width="11.85546875" style="133" customWidth="1"/>
    <col min="38" max="38" width="11.5703125" style="220" customWidth="1"/>
    <col min="39" max="39" width="17.85546875" customWidth="1"/>
    <col min="40" max="40" width="11.5703125" style="133" customWidth="1"/>
    <col min="41" max="41" width="11.5703125" style="220" customWidth="1"/>
    <col min="42" max="42" width="17.85546875" customWidth="1"/>
    <col min="43" max="43" width="11" style="133" customWidth="1"/>
    <col min="44" max="44" width="11.5703125" style="220" customWidth="1"/>
    <col min="45" max="45" width="17.85546875" customWidth="1"/>
    <col min="46" max="46" width="11.85546875" style="133" customWidth="1"/>
    <col min="47" max="47" width="11.5703125" style="220" customWidth="1"/>
    <col min="48" max="48" width="17.85546875" customWidth="1"/>
    <col min="49" max="49" width="11.85546875" style="133" customWidth="1"/>
    <col min="50" max="50" width="11.5703125" style="220" customWidth="1"/>
    <col min="51" max="51" width="17.85546875" customWidth="1"/>
    <col min="52" max="52" width="11.85546875" style="133" customWidth="1"/>
    <col min="53" max="53" width="11.5703125" style="220" customWidth="1"/>
    <col min="54" max="54" width="17.85546875" customWidth="1"/>
    <col min="55" max="55" width="11.85546875" style="133" customWidth="1"/>
    <col min="56" max="56" width="11.5703125" style="220" customWidth="1"/>
    <col min="57" max="57" width="17.85546875" customWidth="1"/>
    <col min="58" max="58" width="11.85546875" style="133" customWidth="1"/>
    <col min="59" max="59" width="11.5703125" style="220" customWidth="1"/>
    <col min="60" max="60" width="17.85546875" customWidth="1"/>
    <col min="61" max="61" width="11.85546875" style="133" customWidth="1"/>
    <col min="62" max="62" width="11.5703125" style="220" customWidth="1"/>
    <col min="63" max="63" width="17.85546875" customWidth="1"/>
    <col min="64" max="64" width="11.85546875" style="133" customWidth="1"/>
    <col min="65" max="65" width="11.5703125" style="220" customWidth="1"/>
    <col min="66" max="66" width="17.85546875" customWidth="1"/>
    <col min="67" max="67" width="11.85546875" style="133" customWidth="1"/>
    <col min="68" max="68" width="11.5703125" customWidth="1"/>
    <col min="69" max="69" width="17.85546875" customWidth="1"/>
    <col min="70" max="70" width="11.85546875" style="133" customWidth="1"/>
    <col min="71" max="71" width="11.5703125" style="220" customWidth="1"/>
    <col min="72" max="72" width="17.85546875" customWidth="1"/>
    <col min="73" max="73" width="11.85546875" style="133" customWidth="1"/>
    <col min="74" max="74" width="11.5703125" style="220" customWidth="1"/>
    <col min="75" max="75" width="17.85546875" customWidth="1"/>
    <col min="76" max="76" width="11.85546875" style="133" customWidth="1"/>
    <col min="77" max="77" width="11.5703125" style="220" customWidth="1"/>
    <col min="78" max="78" width="17.85546875" customWidth="1"/>
    <col min="79" max="79" width="11.85546875" style="133" customWidth="1"/>
    <col min="80" max="80" width="11.5703125" style="220" customWidth="1"/>
    <col min="81" max="81" width="17.85546875" customWidth="1"/>
    <col min="82" max="82" width="11.5703125" style="133" customWidth="1"/>
    <col min="83" max="83" width="11.5703125" style="220" customWidth="1"/>
    <col min="84" max="84" width="17.85546875" customWidth="1"/>
    <col min="85" max="85" width="11.85546875" style="133" customWidth="1"/>
    <col min="86" max="86" width="11.5703125" style="220" customWidth="1"/>
    <col min="87" max="87" width="17.85546875" customWidth="1"/>
    <col min="88" max="88" width="11.85546875" style="133" customWidth="1"/>
    <col min="89" max="89" width="11.5703125" style="220" customWidth="1"/>
    <col min="90" max="90" width="16" customWidth="1"/>
    <col min="91" max="91" width="11.28515625" style="133" customWidth="1"/>
    <col min="92" max="92" width="11.5703125" style="220" customWidth="1"/>
    <col min="93" max="93" width="15.42578125" customWidth="1"/>
    <col min="94" max="94" width="11.85546875" style="133" customWidth="1"/>
    <col min="95" max="95" width="11.5703125" style="220" customWidth="1"/>
    <col min="96" max="96" width="17.85546875" customWidth="1"/>
    <col min="97" max="97" width="11.85546875" style="133" customWidth="1"/>
    <col min="98" max="98" width="11.5703125" style="220" customWidth="1"/>
    <col min="99" max="99" width="17.85546875" customWidth="1"/>
    <col min="100" max="100" width="11.5703125" style="133" customWidth="1"/>
    <col min="101" max="101" width="11.5703125" style="220" customWidth="1"/>
    <col min="102" max="102" width="17.85546875" customWidth="1"/>
    <col min="103" max="103" width="10.5703125" style="133" customWidth="1"/>
    <col min="104" max="104" width="11.5703125" style="220" customWidth="1"/>
    <col min="105" max="105" width="17.85546875" customWidth="1"/>
    <col min="106" max="106" width="32.7109375" customWidth="1"/>
    <col min="107" max="107" width="71.42578125" style="172" customWidth="1"/>
  </cols>
  <sheetData>
    <row r="1" spans="1:107" ht="35.25" customHeight="1" x14ac:dyDescent="0.25">
      <c r="A1" s="238" t="s">
        <v>505</v>
      </c>
      <c r="B1" s="239">
        <f>COUNTIF(D3:D33,"ATIVO")</f>
        <v>0</v>
      </c>
      <c r="C1" s="755" t="s">
        <v>1142</v>
      </c>
      <c r="D1" s="755"/>
      <c r="E1" s="755"/>
      <c r="F1" s="755"/>
      <c r="G1" s="755"/>
      <c r="H1" s="755"/>
      <c r="I1" s="755"/>
      <c r="J1" s="755"/>
      <c r="K1" s="755"/>
      <c r="L1" s="756"/>
      <c r="M1" s="751" t="s">
        <v>500</v>
      </c>
      <c r="N1" s="752"/>
      <c r="O1" s="752"/>
      <c r="P1" s="752" t="s">
        <v>500</v>
      </c>
      <c r="Q1" s="752"/>
      <c r="R1" s="752"/>
      <c r="S1" s="752" t="s">
        <v>500</v>
      </c>
      <c r="T1" s="752"/>
      <c r="U1" s="752"/>
      <c r="V1" s="752" t="s">
        <v>500</v>
      </c>
      <c r="W1" s="752"/>
      <c r="X1" s="752"/>
      <c r="Y1" s="752" t="s">
        <v>500</v>
      </c>
      <c r="Z1" s="752"/>
      <c r="AA1" s="752"/>
      <c r="AB1" s="752" t="s">
        <v>500</v>
      </c>
      <c r="AC1" s="752"/>
      <c r="AD1" s="752"/>
      <c r="AE1" s="752" t="s">
        <v>500</v>
      </c>
      <c r="AF1" s="752"/>
      <c r="AG1" s="752"/>
      <c r="AH1" s="752" t="s">
        <v>500</v>
      </c>
      <c r="AI1" s="752"/>
      <c r="AJ1" s="752"/>
      <c r="AK1" s="752" t="s">
        <v>500</v>
      </c>
      <c r="AL1" s="752"/>
      <c r="AM1" s="752"/>
      <c r="AN1" s="752" t="s">
        <v>500</v>
      </c>
      <c r="AO1" s="752"/>
      <c r="AP1" s="752"/>
      <c r="AQ1" s="752" t="s">
        <v>500</v>
      </c>
      <c r="AR1" s="752"/>
      <c r="AS1" s="752"/>
      <c r="AT1" s="752" t="s">
        <v>500</v>
      </c>
      <c r="AU1" s="752"/>
      <c r="AV1" s="752"/>
      <c r="AW1" s="752" t="s">
        <v>500</v>
      </c>
      <c r="AX1" s="752"/>
      <c r="AY1" s="752"/>
      <c r="AZ1" s="752" t="s">
        <v>500</v>
      </c>
      <c r="BA1" s="752"/>
      <c r="BB1" s="752"/>
      <c r="BC1" s="752" t="s">
        <v>500</v>
      </c>
      <c r="BD1" s="752"/>
      <c r="BE1" s="752"/>
      <c r="BF1" s="752" t="s">
        <v>500</v>
      </c>
      <c r="BG1" s="752"/>
      <c r="BH1" s="752"/>
      <c r="BI1" s="752" t="s">
        <v>500</v>
      </c>
      <c r="BJ1" s="752"/>
      <c r="BK1" s="752"/>
      <c r="BL1" s="752" t="s">
        <v>500</v>
      </c>
      <c r="BM1" s="752"/>
      <c r="BN1" s="752"/>
      <c r="BO1" s="752" t="s">
        <v>500</v>
      </c>
      <c r="BP1" s="760"/>
      <c r="BQ1" s="752"/>
      <c r="BR1" s="752" t="s">
        <v>500</v>
      </c>
      <c r="BS1" s="752"/>
      <c r="BT1" s="752"/>
      <c r="BU1" s="752" t="s">
        <v>500</v>
      </c>
      <c r="BV1" s="752"/>
      <c r="BW1" s="752"/>
      <c r="BX1" s="752" t="s">
        <v>500</v>
      </c>
      <c r="BY1" s="752"/>
      <c r="BZ1" s="752"/>
      <c r="CA1" s="752" t="s">
        <v>500</v>
      </c>
      <c r="CB1" s="752"/>
      <c r="CC1" s="752"/>
      <c r="CD1" s="752" t="s">
        <v>500</v>
      </c>
      <c r="CE1" s="752"/>
      <c r="CF1" s="752"/>
      <c r="CG1" s="752" t="s">
        <v>500</v>
      </c>
      <c r="CH1" s="752"/>
      <c r="CI1" s="752"/>
      <c r="CJ1" s="752" t="s">
        <v>500</v>
      </c>
      <c r="CK1" s="752"/>
      <c r="CL1" s="752"/>
      <c r="CM1" s="752" t="s">
        <v>500</v>
      </c>
      <c r="CN1" s="752"/>
      <c r="CO1" s="752"/>
      <c r="CP1" s="752" t="s">
        <v>500</v>
      </c>
      <c r="CQ1" s="752"/>
      <c r="CR1" s="752"/>
      <c r="CS1" s="752" t="s">
        <v>500</v>
      </c>
      <c r="CT1" s="752"/>
      <c r="CU1" s="752"/>
      <c r="CV1" s="752" t="s">
        <v>500</v>
      </c>
      <c r="CW1" s="752"/>
      <c r="CX1" s="752"/>
      <c r="CY1" s="752" t="s">
        <v>500</v>
      </c>
      <c r="CZ1" s="752"/>
      <c r="DA1" s="757"/>
      <c r="DB1" s="758" t="s">
        <v>4</v>
      </c>
      <c r="DC1" s="753" t="s">
        <v>87</v>
      </c>
    </row>
    <row r="2" spans="1:107" ht="37.5" customHeight="1" thickBot="1" x14ac:dyDescent="0.3">
      <c r="A2" s="345" t="s">
        <v>67</v>
      </c>
      <c r="B2" s="346" t="s">
        <v>68</v>
      </c>
      <c r="C2" s="346" t="s">
        <v>0</v>
      </c>
      <c r="D2" s="346" t="s">
        <v>24</v>
      </c>
      <c r="E2" s="346" t="s">
        <v>69</v>
      </c>
      <c r="F2" s="346" t="s">
        <v>70</v>
      </c>
      <c r="G2" s="346" t="s">
        <v>71</v>
      </c>
      <c r="H2" s="346" t="s">
        <v>100</v>
      </c>
      <c r="I2" s="346" t="s">
        <v>508</v>
      </c>
      <c r="J2" s="346" t="s">
        <v>517</v>
      </c>
      <c r="K2" s="346" t="s">
        <v>511</v>
      </c>
      <c r="L2" s="347" t="s">
        <v>72</v>
      </c>
      <c r="M2" s="348" t="s">
        <v>468</v>
      </c>
      <c r="N2" s="349" t="s">
        <v>499</v>
      </c>
      <c r="O2" s="350" t="s">
        <v>466</v>
      </c>
      <c r="P2" s="350" t="s">
        <v>469</v>
      </c>
      <c r="Q2" s="349" t="s">
        <v>499</v>
      </c>
      <c r="R2" s="350" t="s">
        <v>466</v>
      </c>
      <c r="S2" s="350" t="s">
        <v>470</v>
      </c>
      <c r="T2" s="349" t="s">
        <v>499</v>
      </c>
      <c r="U2" s="350" t="s">
        <v>466</v>
      </c>
      <c r="V2" s="350" t="s">
        <v>471</v>
      </c>
      <c r="W2" s="349" t="s">
        <v>499</v>
      </c>
      <c r="X2" s="350" t="s">
        <v>466</v>
      </c>
      <c r="Y2" s="350" t="s">
        <v>472</v>
      </c>
      <c r="Z2" s="349" t="s">
        <v>499</v>
      </c>
      <c r="AA2" s="350" t="s">
        <v>466</v>
      </c>
      <c r="AB2" s="350" t="s">
        <v>473</v>
      </c>
      <c r="AC2" s="349" t="s">
        <v>499</v>
      </c>
      <c r="AD2" s="350" t="s">
        <v>466</v>
      </c>
      <c r="AE2" s="350" t="s">
        <v>474</v>
      </c>
      <c r="AF2" s="350" t="s">
        <v>499</v>
      </c>
      <c r="AG2" s="350" t="s">
        <v>466</v>
      </c>
      <c r="AH2" s="350" t="s">
        <v>475</v>
      </c>
      <c r="AI2" s="349" t="s">
        <v>499</v>
      </c>
      <c r="AJ2" s="350" t="s">
        <v>466</v>
      </c>
      <c r="AK2" s="350" t="s">
        <v>476</v>
      </c>
      <c r="AL2" s="349" t="s">
        <v>499</v>
      </c>
      <c r="AM2" s="350" t="s">
        <v>466</v>
      </c>
      <c r="AN2" s="350" t="s">
        <v>477</v>
      </c>
      <c r="AO2" s="349" t="s">
        <v>499</v>
      </c>
      <c r="AP2" s="350" t="s">
        <v>466</v>
      </c>
      <c r="AQ2" s="350" t="s">
        <v>478</v>
      </c>
      <c r="AR2" s="349" t="s">
        <v>499</v>
      </c>
      <c r="AS2" s="350" t="s">
        <v>466</v>
      </c>
      <c r="AT2" s="350" t="s">
        <v>479</v>
      </c>
      <c r="AU2" s="349" t="s">
        <v>499</v>
      </c>
      <c r="AV2" s="350" t="s">
        <v>466</v>
      </c>
      <c r="AW2" s="350" t="s">
        <v>480</v>
      </c>
      <c r="AX2" s="349" t="s">
        <v>499</v>
      </c>
      <c r="AY2" s="350" t="s">
        <v>466</v>
      </c>
      <c r="AZ2" s="350" t="s">
        <v>481</v>
      </c>
      <c r="BA2" s="349" t="s">
        <v>499</v>
      </c>
      <c r="BB2" s="350" t="s">
        <v>466</v>
      </c>
      <c r="BC2" s="350" t="s">
        <v>482</v>
      </c>
      <c r="BD2" s="349" t="s">
        <v>499</v>
      </c>
      <c r="BE2" s="350" t="s">
        <v>466</v>
      </c>
      <c r="BF2" s="350" t="s">
        <v>483</v>
      </c>
      <c r="BG2" s="349" t="s">
        <v>499</v>
      </c>
      <c r="BH2" s="350" t="s">
        <v>466</v>
      </c>
      <c r="BI2" s="350" t="s">
        <v>484</v>
      </c>
      <c r="BJ2" s="349" t="s">
        <v>499</v>
      </c>
      <c r="BK2" s="350" t="s">
        <v>466</v>
      </c>
      <c r="BL2" s="350" t="s">
        <v>485</v>
      </c>
      <c r="BM2" s="349" t="s">
        <v>499</v>
      </c>
      <c r="BN2" s="350" t="s">
        <v>466</v>
      </c>
      <c r="BO2" s="350" t="s">
        <v>486</v>
      </c>
      <c r="BP2" s="351" t="s">
        <v>499</v>
      </c>
      <c r="BQ2" s="350" t="s">
        <v>466</v>
      </c>
      <c r="BR2" s="350" t="s">
        <v>487</v>
      </c>
      <c r="BS2" s="349" t="s">
        <v>499</v>
      </c>
      <c r="BT2" s="350" t="s">
        <v>466</v>
      </c>
      <c r="BU2" s="350" t="s">
        <v>488</v>
      </c>
      <c r="BV2" s="349" t="s">
        <v>499</v>
      </c>
      <c r="BW2" s="350" t="s">
        <v>466</v>
      </c>
      <c r="BX2" s="350" t="s">
        <v>489</v>
      </c>
      <c r="BY2" s="349" t="s">
        <v>499</v>
      </c>
      <c r="BZ2" s="350" t="s">
        <v>466</v>
      </c>
      <c r="CA2" s="350" t="s">
        <v>490</v>
      </c>
      <c r="CB2" s="349" t="s">
        <v>499</v>
      </c>
      <c r="CC2" s="350" t="s">
        <v>466</v>
      </c>
      <c r="CD2" s="350" t="s">
        <v>491</v>
      </c>
      <c r="CE2" s="349" t="s">
        <v>499</v>
      </c>
      <c r="CF2" s="350" t="s">
        <v>466</v>
      </c>
      <c r="CG2" s="350" t="s">
        <v>492</v>
      </c>
      <c r="CH2" s="349" t="s">
        <v>499</v>
      </c>
      <c r="CI2" s="350" t="s">
        <v>466</v>
      </c>
      <c r="CJ2" s="350" t="s">
        <v>493</v>
      </c>
      <c r="CK2" s="349" t="s">
        <v>499</v>
      </c>
      <c r="CL2" s="350" t="s">
        <v>466</v>
      </c>
      <c r="CM2" s="350" t="s">
        <v>494</v>
      </c>
      <c r="CN2" s="349" t="s">
        <v>499</v>
      </c>
      <c r="CO2" s="350" t="s">
        <v>466</v>
      </c>
      <c r="CP2" s="350" t="s">
        <v>495</v>
      </c>
      <c r="CQ2" s="349" t="s">
        <v>499</v>
      </c>
      <c r="CR2" s="350" t="s">
        <v>466</v>
      </c>
      <c r="CS2" s="350" t="s">
        <v>496</v>
      </c>
      <c r="CT2" s="349" t="s">
        <v>499</v>
      </c>
      <c r="CU2" s="350" t="s">
        <v>466</v>
      </c>
      <c r="CV2" s="350" t="s">
        <v>497</v>
      </c>
      <c r="CW2" s="349" t="s">
        <v>499</v>
      </c>
      <c r="CX2" s="350" t="s">
        <v>466</v>
      </c>
      <c r="CY2" s="350" t="s">
        <v>498</v>
      </c>
      <c r="CZ2" s="349" t="s">
        <v>499</v>
      </c>
      <c r="DA2" s="352" t="s">
        <v>466</v>
      </c>
      <c r="DB2" s="759"/>
      <c r="DC2" s="754"/>
    </row>
    <row r="3" spans="1:107" s="4" customFormat="1" ht="21.95" customHeight="1" thickBot="1" x14ac:dyDescent="0.25">
      <c r="A3" s="168" t="s">
        <v>1138</v>
      </c>
      <c r="B3" s="158" t="s">
        <v>61</v>
      </c>
      <c r="C3" s="158" t="s">
        <v>1139</v>
      </c>
      <c r="D3" s="353" t="s">
        <v>6</v>
      </c>
      <c r="E3" s="169">
        <v>4907</v>
      </c>
      <c r="F3" s="169">
        <v>7062</v>
      </c>
      <c r="G3" s="158">
        <f t="shared" ref="G3:G25" si="0">F3-E3</f>
        <v>2155</v>
      </c>
      <c r="H3" s="354">
        <f t="shared" ref="H3:H24" si="1">SUM(M3+P3+S3+V3+Y3+AB3+AE3+AH3+AK3+AN3+AQ3+AT3+AW3+AZ3+BC3+BF3+BI3+BL3+BO3+BR3+BU3+BX3+CA3+CD3+CG3+CJ3+CM3+CP3+CS3+CV3+CY3)</f>
        <v>1141.6500000000001</v>
      </c>
      <c r="I3" s="157">
        <f>COUNTA(N3,Q3,T3,W3,Z3,AC3,AF3,AI3,AL3,AO3,AR3,AU3,AX3,BA3,BD3,BG3,BJ3,BM3,BP3,BS3,BV3,BY3,CB3,CE3,CH3,CK3,CN3,CQ3,CT3,CW3,CZ3)</f>
        <v>4</v>
      </c>
      <c r="J3" s="157">
        <f t="shared" ref="J3:J24" si="2">COUNTIF(M3:DC3,"POSTO S. RITA")</f>
        <v>0</v>
      </c>
      <c r="K3" s="157">
        <f>COUNTIF(M3:DD3,"POSTO VIP")</f>
        <v>0</v>
      </c>
      <c r="L3" s="158" t="s">
        <v>80</v>
      </c>
      <c r="M3" s="156"/>
      <c r="N3" s="219"/>
      <c r="O3" s="211"/>
      <c r="P3" s="156"/>
      <c r="Q3" s="219"/>
      <c r="R3" s="211"/>
      <c r="S3" s="156"/>
      <c r="T3" s="219"/>
      <c r="U3" s="211"/>
      <c r="V3" s="156"/>
      <c r="W3" s="219"/>
      <c r="X3" s="211"/>
      <c r="Y3" s="156"/>
      <c r="Z3" s="219"/>
      <c r="AA3" s="211"/>
      <c r="AB3" s="156">
        <v>306.44</v>
      </c>
      <c r="AC3" s="219">
        <v>52.116999999999997</v>
      </c>
      <c r="AD3" s="211" t="s">
        <v>1200</v>
      </c>
      <c r="AE3" s="156"/>
      <c r="AF3" s="157"/>
      <c r="AG3" s="211"/>
      <c r="AH3" s="156"/>
      <c r="AI3" s="219"/>
      <c r="AJ3" s="211"/>
      <c r="AK3" s="156"/>
      <c r="AL3" s="219"/>
      <c r="AM3" s="211"/>
      <c r="AN3" s="156"/>
      <c r="AO3" s="219"/>
      <c r="AP3" s="211"/>
      <c r="AQ3" s="156"/>
      <c r="AR3" s="219"/>
      <c r="AS3" s="211"/>
      <c r="AT3" s="156"/>
      <c r="AU3" s="219"/>
      <c r="AV3" s="211"/>
      <c r="AW3" s="156"/>
      <c r="AX3" s="219"/>
      <c r="AY3" s="211"/>
      <c r="AZ3" s="156"/>
      <c r="BA3" s="219"/>
      <c r="BB3" s="211"/>
      <c r="BC3" s="156">
        <v>266.55</v>
      </c>
      <c r="BD3" s="219">
        <v>43.847999999999999</v>
      </c>
      <c r="BE3" s="211" t="s">
        <v>1200</v>
      </c>
      <c r="BF3" s="156"/>
      <c r="BG3" s="219"/>
      <c r="BH3" s="211"/>
      <c r="BI3" s="156"/>
      <c r="BJ3" s="219"/>
      <c r="BK3" s="211"/>
      <c r="BL3" s="156"/>
      <c r="BM3" s="219"/>
      <c r="BN3" s="211"/>
      <c r="BO3" s="156"/>
      <c r="BP3" s="219"/>
      <c r="BQ3" s="211"/>
      <c r="BR3" s="156"/>
      <c r="BS3" s="219"/>
      <c r="BT3" s="211"/>
      <c r="BU3" s="156"/>
      <c r="BV3" s="219"/>
      <c r="BW3" s="211"/>
      <c r="BX3" s="156">
        <v>269.86</v>
      </c>
      <c r="BY3" s="219">
        <v>44.023000000000003</v>
      </c>
      <c r="BZ3" s="211" t="s">
        <v>1200</v>
      </c>
      <c r="CA3" s="156"/>
      <c r="CB3" s="219"/>
      <c r="CC3" s="211"/>
      <c r="CD3" s="156"/>
      <c r="CE3" s="219"/>
      <c r="CF3" s="211"/>
      <c r="CG3" s="156"/>
      <c r="CH3" s="219"/>
      <c r="CI3" s="211"/>
      <c r="CJ3" s="156"/>
      <c r="CK3" s="219"/>
      <c r="CL3" s="211"/>
      <c r="CM3" s="156"/>
      <c r="CN3" s="219"/>
      <c r="CO3" s="211"/>
      <c r="CP3" s="156">
        <v>298.8</v>
      </c>
      <c r="CQ3" s="219">
        <v>48.744999999999997</v>
      </c>
      <c r="CR3" s="211" t="s">
        <v>1200</v>
      </c>
      <c r="CS3" s="156"/>
      <c r="CT3" s="219"/>
      <c r="CU3" s="211"/>
      <c r="CV3" s="156"/>
      <c r="CW3" s="219"/>
      <c r="CX3" s="211"/>
      <c r="CY3" s="156"/>
      <c r="CZ3" s="219"/>
      <c r="DA3" s="211"/>
      <c r="DB3" s="157"/>
      <c r="DC3" s="175"/>
    </row>
    <row r="4" spans="1:107" s="12" customFormat="1" ht="21.95" customHeight="1" x14ac:dyDescent="0.2">
      <c r="A4" s="168" t="s">
        <v>1138</v>
      </c>
      <c r="B4" s="158" t="s">
        <v>61</v>
      </c>
      <c r="C4" s="158" t="s">
        <v>1139</v>
      </c>
      <c r="D4" s="353" t="s">
        <v>6</v>
      </c>
      <c r="E4" s="169">
        <v>7062</v>
      </c>
      <c r="F4" s="169">
        <v>9100</v>
      </c>
      <c r="G4" s="158">
        <f t="shared" si="0"/>
        <v>2038</v>
      </c>
      <c r="H4" s="354">
        <f t="shared" si="1"/>
        <v>987.56000000000006</v>
      </c>
      <c r="I4" s="157">
        <f t="shared" ref="I4:I22" si="3">COUNTA(N4,Q4,T4,W4,Z4,AC4,AF4,AI4,AL4,AO4,AR4,AU4,AX4,BA4,BD4,BG4,BJ4,BM4,BP4,BS4,BV4,BY4,CB4,CE4,CH4,CK4,CN4,CQ4,CT4,CW4,CZ4)</f>
        <v>4</v>
      </c>
      <c r="J4" s="157">
        <f t="shared" si="2"/>
        <v>0</v>
      </c>
      <c r="K4" s="157">
        <f t="shared" ref="K4:K25" si="4">COUNTIF(N4:DD4,"POSTO VIP")</f>
        <v>0</v>
      </c>
      <c r="L4" s="158" t="s">
        <v>81</v>
      </c>
      <c r="M4" s="156"/>
      <c r="N4" s="219"/>
      <c r="O4" s="211"/>
      <c r="P4" s="156"/>
      <c r="Q4" s="219"/>
      <c r="R4" s="211"/>
      <c r="S4" s="156"/>
      <c r="T4" s="219"/>
      <c r="U4" s="211"/>
      <c r="V4" s="156"/>
      <c r="W4" s="219"/>
      <c r="X4" s="211"/>
      <c r="Y4" s="156"/>
      <c r="Z4" s="219"/>
      <c r="AA4" s="211"/>
      <c r="AB4" s="156"/>
      <c r="AC4" s="219"/>
      <c r="AD4" s="211"/>
      <c r="AE4" s="156">
        <v>290.62</v>
      </c>
      <c r="AF4" s="157">
        <v>47.41</v>
      </c>
      <c r="AG4" s="211" t="s">
        <v>1200</v>
      </c>
      <c r="AH4" s="156"/>
      <c r="AI4" s="219"/>
      <c r="AJ4" s="211"/>
      <c r="AK4" s="156"/>
      <c r="AL4" s="219"/>
      <c r="AM4" s="211"/>
      <c r="AN4" s="156"/>
      <c r="AO4" s="219"/>
      <c r="AP4" s="211"/>
      <c r="AQ4" s="156"/>
      <c r="AR4" s="219"/>
      <c r="AS4" s="211"/>
      <c r="AT4" s="156"/>
      <c r="AU4" s="219"/>
      <c r="AV4" s="211"/>
      <c r="AW4" s="156"/>
      <c r="AX4" s="219"/>
      <c r="AY4" s="211"/>
      <c r="AZ4" s="156">
        <v>298.60000000000002</v>
      </c>
      <c r="BA4" s="219">
        <v>48.386000000000003</v>
      </c>
      <c r="BB4" s="211" t="s">
        <v>1200</v>
      </c>
      <c r="BC4" s="156"/>
      <c r="BD4" s="219"/>
      <c r="BE4" s="211"/>
      <c r="BF4" s="156"/>
      <c r="BG4" s="219"/>
      <c r="BH4" s="211"/>
      <c r="BI4" s="156"/>
      <c r="BJ4" s="219"/>
      <c r="BK4" s="211"/>
      <c r="BL4" s="156"/>
      <c r="BM4" s="219"/>
      <c r="BN4" s="211"/>
      <c r="BO4" s="156"/>
      <c r="BP4" s="219"/>
      <c r="BQ4" s="211"/>
      <c r="BR4" s="156"/>
      <c r="BS4" s="219"/>
      <c r="BT4" s="211"/>
      <c r="BU4" s="156">
        <v>224.21</v>
      </c>
      <c r="BV4" s="219">
        <v>36.576999999999998</v>
      </c>
      <c r="BW4" s="211" t="s">
        <v>1200</v>
      </c>
      <c r="BX4" s="156"/>
      <c r="BY4" s="219"/>
      <c r="BZ4" s="211"/>
      <c r="CA4" s="156"/>
      <c r="CB4" s="219"/>
      <c r="CC4" s="211"/>
      <c r="CD4" s="156"/>
      <c r="CE4" s="219"/>
      <c r="CF4" s="211"/>
      <c r="CG4" s="156"/>
      <c r="CH4" s="219"/>
      <c r="CI4" s="211"/>
      <c r="CJ4" s="156">
        <v>174.13</v>
      </c>
      <c r="CK4" s="219">
        <v>28.407</v>
      </c>
      <c r="CL4" s="211" t="s">
        <v>1200</v>
      </c>
      <c r="CM4" s="156"/>
      <c r="CN4" s="219"/>
      <c r="CO4" s="211"/>
      <c r="CP4" s="156"/>
      <c r="CQ4" s="219"/>
      <c r="CR4" s="211"/>
      <c r="CS4" s="156"/>
      <c r="CT4" s="219"/>
      <c r="CU4" s="211"/>
      <c r="CV4" s="156"/>
      <c r="CW4" s="219"/>
      <c r="CX4" s="211"/>
      <c r="CY4" s="156"/>
      <c r="CZ4" s="219"/>
      <c r="DA4" s="211"/>
      <c r="DB4" s="157"/>
      <c r="DC4" s="175"/>
    </row>
    <row r="5" spans="1:107" s="12" customFormat="1" ht="21.95" customHeight="1" x14ac:dyDescent="0.2">
      <c r="A5" s="165"/>
      <c r="B5" s="159"/>
      <c r="C5" s="159"/>
      <c r="D5" s="159" t="s">
        <v>6</v>
      </c>
      <c r="E5" s="162"/>
      <c r="F5" s="162"/>
      <c r="G5" s="159">
        <f t="shared" si="0"/>
        <v>0</v>
      </c>
      <c r="H5" s="161">
        <f t="shared" si="1"/>
        <v>0</v>
      </c>
      <c r="I5" s="138">
        <f t="shared" si="3"/>
        <v>0</v>
      </c>
      <c r="J5" s="138">
        <f t="shared" si="2"/>
        <v>0</v>
      </c>
      <c r="K5" s="138">
        <f t="shared" si="4"/>
        <v>0</v>
      </c>
      <c r="L5" s="159" t="s">
        <v>81</v>
      </c>
      <c r="M5" s="163"/>
      <c r="N5" s="216"/>
      <c r="O5" s="206"/>
      <c r="P5" s="163"/>
      <c r="Q5" s="216"/>
      <c r="R5" s="206"/>
      <c r="S5" s="163"/>
      <c r="T5" s="216"/>
      <c r="U5" s="206"/>
      <c r="V5" s="163"/>
      <c r="W5" s="216"/>
      <c r="X5" s="206"/>
      <c r="Y5" s="163"/>
      <c r="Z5" s="216"/>
      <c r="AA5" s="206"/>
      <c r="AB5" s="163"/>
      <c r="AC5" s="216"/>
      <c r="AD5" s="206"/>
      <c r="AE5" s="163"/>
      <c r="AF5" s="162"/>
      <c r="AG5" s="206"/>
      <c r="AH5" s="163"/>
      <c r="AI5" s="216"/>
      <c r="AJ5" s="207"/>
      <c r="AK5" s="163"/>
      <c r="AL5" s="216"/>
      <c r="AM5" s="206"/>
      <c r="AN5" s="163"/>
      <c r="AO5" s="216"/>
      <c r="AP5" s="206"/>
      <c r="AQ5" s="163"/>
      <c r="AR5" s="216"/>
      <c r="AS5" s="206"/>
      <c r="AT5" s="163"/>
      <c r="AU5" s="216"/>
      <c r="AV5" s="206"/>
      <c r="AW5" s="163"/>
      <c r="AX5" s="216"/>
      <c r="AY5" s="206"/>
      <c r="AZ5" s="163"/>
      <c r="BA5" s="216"/>
      <c r="BB5" s="206"/>
      <c r="BC5" s="163"/>
      <c r="BD5" s="216"/>
      <c r="BE5" s="206"/>
      <c r="BF5" s="163"/>
      <c r="BG5" s="216"/>
      <c r="BH5" s="206"/>
      <c r="BI5" s="163"/>
      <c r="BJ5" s="216"/>
      <c r="BK5" s="206"/>
      <c r="BL5" s="163"/>
      <c r="BM5" s="216"/>
      <c r="BN5" s="206"/>
      <c r="BO5" s="163"/>
      <c r="BP5" s="216"/>
      <c r="BQ5" s="206"/>
      <c r="BR5" s="163"/>
      <c r="BS5" s="216"/>
      <c r="BT5" s="206"/>
      <c r="BU5" s="163"/>
      <c r="BV5" s="216"/>
      <c r="BW5" s="206"/>
      <c r="BX5" s="163"/>
      <c r="BY5" s="216"/>
      <c r="BZ5" s="206"/>
      <c r="CA5" s="163"/>
      <c r="CB5" s="216"/>
      <c r="CC5" s="206"/>
      <c r="CD5" s="163"/>
      <c r="CE5" s="216"/>
      <c r="CF5" s="206"/>
      <c r="CG5" s="163"/>
      <c r="CH5" s="216"/>
      <c r="CI5" s="206"/>
      <c r="CJ5" s="163"/>
      <c r="CK5" s="216"/>
      <c r="CL5" s="206"/>
      <c r="CM5" s="163"/>
      <c r="CN5" s="216"/>
      <c r="CO5" s="206"/>
      <c r="CP5" s="163"/>
      <c r="CQ5" s="216"/>
      <c r="CR5" s="206"/>
      <c r="CS5" s="163"/>
      <c r="CT5" s="216"/>
      <c r="CU5" s="206"/>
      <c r="CV5" s="163"/>
      <c r="CW5" s="216"/>
      <c r="CX5" s="206"/>
      <c r="CY5" s="163"/>
      <c r="CZ5" s="216"/>
      <c r="DA5" s="206"/>
      <c r="DB5" s="162"/>
      <c r="DC5" s="176"/>
    </row>
    <row r="6" spans="1:107" s="12" customFormat="1" ht="21.95" customHeight="1" thickBot="1" x14ac:dyDescent="0.25">
      <c r="A6" s="167"/>
      <c r="B6" s="160"/>
      <c r="C6" s="160"/>
      <c r="D6" s="160" t="s">
        <v>6</v>
      </c>
      <c r="E6" s="171"/>
      <c r="F6" s="171"/>
      <c r="G6" s="160">
        <f t="shared" si="0"/>
        <v>0</v>
      </c>
      <c r="H6" s="164">
        <f t="shared" si="1"/>
        <v>0</v>
      </c>
      <c r="I6" s="141">
        <f t="shared" si="3"/>
        <v>0</v>
      </c>
      <c r="J6" s="141">
        <f t="shared" si="2"/>
        <v>0</v>
      </c>
      <c r="K6" s="141">
        <f t="shared" si="4"/>
        <v>0</v>
      </c>
      <c r="L6" s="160" t="s">
        <v>81</v>
      </c>
      <c r="M6" s="140"/>
      <c r="N6" s="218"/>
      <c r="O6" s="226"/>
      <c r="P6" s="140"/>
      <c r="Q6" s="218"/>
      <c r="R6" s="296"/>
      <c r="S6" s="140"/>
      <c r="T6" s="218"/>
      <c r="U6" s="296"/>
      <c r="V6" s="140"/>
      <c r="W6" s="218"/>
      <c r="X6" s="226"/>
      <c r="Y6" s="140"/>
      <c r="Z6" s="218"/>
      <c r="AA6" s="296"/>
      <c r="AB6" s="140"/>
      <c r="AC6" s="218"/>
      <c r="AD6" s="296"/>
      <c r="AE6" s="140"/>
      <c r="AF6" s="141"/>
      <c r="AG6" s="226"/>
      <c r="AH6" s="140"/>
      <c r="AI6" s="218"/>
      <c r="AJ6" s="226"/>
      <c r="AK6" s="140"/>
      <c r="AL6" s="218"/>
      <c r="AM6" s="226"/>
      <c r="AN6" s="140"/>
      <c r="AO6" s="218"/>
      <c r="AP6" s="226"/>
      <c r="AQ6" s="140"/>
      <c r="AR6" s="218"/>
      <c r="AS6" s="226"/>
      <c r="AT6" s="140"/>
      <c r="AU6" s="218"/>
      <c r="AV6" s="226"/>
      <c r="AW6" s="140"/>
      <c r="AX6" s="218"/>
      <c r="AY6" s="296"/>
      <c r="AZ6" s="140"/>
      <c r="BA6" s="218"/>
      <c r="BB6" s="226"/>
      <c r="BC6" s="140"/>
      <c r="BD6" s="218"/>
      <c r="BE6" s="226"/>
      <c r="BF6" s="140"/>
      <c r="BG6" s="218"/>
      <c r="BH6" s="226"/>
      <c r="BI6" s="140"/>
      <c r="BJ6" s="218"/>
      <c r="BK6" s="226"/>
      <c r="BL6" s="140"/>
      <c r="BM6" s="218"/>
      <c r="BN6" s="226"/>
      <c r="BO6" s="140"/>
      <c r="BP6" s="218"/>
      <c r="BQ6" s="226"/>
      <c r="BR6" s="140"/>
      <c r="BS6" s="218"/>
      <c r="BT6" s="226"/>
      <c r="BU6" s="140"/>
      <c r="BV6" s="218"/>
      <c r="BW6" s="296"/>
      <c r="BX6" s="140"/>
      <c r="BY6" s="218"/>
      <c r="BZ6" s="226"/>
      <c r="CA6" s="140"/>
      <c r="CB6" s="218"/>
      <c r="CC6" s="226"/>
      <c r="CD6" s="140"/>
      <c r="CE6" s="218"/>
      <c r="CF6" s="226"/>
      <c r="CG6" s="140"/>
      <c r="CH6" s="218"/>
      <c r="CI6" s="226"/>
      <c r="CJ6" s="140"/>
      <c r="CK6" s="218"/>
      <c r="CL6" s="226"/>
      <c r="CM6" s="140"/>
      <c r="CN6" s="218"/>
      <c r="CO6" s="226"/>
      <c r="CP6" s="140"/>
      <c r="CQ6" s="218"/>
      <c r="CR6" s="226"/>
      <c r="CS6" s="140"/>
      <c r="CT6" s="218"/>
      <c r="CU6" s="226"/>
      <c r="CV6" s="140"/>
      <c r="CW6" s="218"/>
      <c r="CX6" s="226"/>
      <c r="CY6" s="140"/>
      <c r="CZ6" s="218"/>
      <c r="DA6" s="226"/>
      <c r="DB6" s="141"/>
      <c r="DC6" s="210"/>
    </row>
    <row r="7" spans="1:107" s="12" customFormat="1" ht="21.95" customHeight="1" x14ac:dyDescent="0.2">
      <c r="A7" s="168"/>
      <c r="B7" s="158"/>
      <c r="C7" s="158"/>
      <c r="D7" s="353" t="s">
        <v>6</v>
      </c>
      <c r="E7" s="169"/>
      <c r="F7" s="169"/>
      <c r="G7" s="158">
        <f t="shared" si="0"/>
        <v>0</v>
      </c>
      <c r="H7" s="354">
        <f t="shared" si="1"/>
        <v>0</v>
      </c>
      <c r="I7" s="157">
        <f>COUNTA(N7,Q7,T7,W7,Z7,AC7,AF7,AI7,AL7,AO7,AR7,AU7,AX7,BA7,BD7,BG7,BJ7,BM7,BP7,BS7,BV7,BY7,CB7,CE7,CH7,CK7,CN7,CQ7,CT7,CW7,CZ7)</f>
        <v>0</v>
      </c>
      <c r="J7" s="157">
        <f t="shared" si="2"/>
        <v>0</v>
      </c>
      <c r="K7" s="157">
        <f t="shared" si="4"/>
        <v>0</v>
      </c>
      <c r="L7" s="158" t="s">
        <v>82</v>
      </c>
      <c r="M7" s="156"/>
      <c r="N7" s="219"/>
      <c r="O7" s="211"/>
      <c r="P7" s="156"/>
      <c r="Q7" s="219"/>
      <c r="R7" s="211"/>
      <c r="S7" s="156"/>
      <c r="T7" s="219"/>
      <c r="U7" s="211"/>
      <c r="V7" s="156"/>
      <c r="W7" s="219"/>
      <c r="X7" s="211"/>
      <c r="Y7" s="156"/>
      <c r="Z7" s="219"/>
      <c r="AA7" s="211"/>
      <c r="AB7" s="156"/>
      <c r="AC7" s="219"/>
      <c r="AD7" s="211"/>
      <c r="AE7" s="156"/>
      <c r="AF7" s="157"/>
      <c r="AG7" s="211"/>
      <c r="AH7" s="156"/>
      <c r="AI7" s="219"/>
      <c r="AJ7" s="211"/>
      <c r="AK7" s="156"/>
      <c r="AL7" s="219"/>
      <c r="AM7" s="211"/>
      <c r="AN7" s="156"/>
      <c r="AO7" s="219"/>
      <c r="AP7" s="211"/>
      <c r="AQ7" s="156"/>
      <c r="AR7" s="219"/>
      <c r="AS7" s="211"/>
      <c r="AT7" s="156"/>
      <c r="AU7" s="219"/>
      <c r="AV7" s="211"/>
      <c r="AW7" s="156"/>
      <c r="AX7" s="219"/>
      <c r="AY7" s="211"/>
      <c r="AZ7" s="156"/>
      <c r="BA7" s="219"/>
      <c r="BB7" s="211"/>
      <c r="BC7" s="156"/>
      <c r="BD7" s="219"/>
      <c r="BE7" s="211"/>
      <c r="BF7" s="156"/>
      <c r="BG7" s="219"/>
      <c r="BH7" s="211"/>
      <c r="BI7" s="156"/>
      <c r="BJ7" s="219"/>
      <c r="BK7" s="211"/>
      <c r="BL7" s="156"/>
      <c r="BM7" s="219"/>
      <c r="BN7" s="211"/>
      <c r="BO7" s="156"/>
      <c r="BP7" s="219"/>
      <c r="BQ7" s="211"/>
      <c r="BR7" s="156"/>
      <c r="BS7" s="219"/>
      <c r="BT7" s="211"/>
      <c r="BU7" s="156"/>
      <c r="BV7" s="219"/>
      <c r="BW7" s="211"/>
      <c r="BX7" s="156"/>
      <c r="BY7" s="219"/>
      <c r="BZ7" s="211"/>
      <c r="CA7" s="156"/>
      <c r="CB7" s="219"/>
      <c r="CC7" s="211"/>
      <c r="CD7" s="156"/>
      <c r="CE7" s="219"/>
      <c r="CF7" s="211"/>
      <c r="CG7" s="156"/>
      <c r="CH7" s="219"/>
      <c r="CI7" s="211"/>
      <c r="CJ7" s="156"/>
      <c r="CK7" s="219"/>
      <c r="CL7" s="211"/>
      <c r="CM7" s="156"/>
      <c r="CN7" s="219"/>
      <c r="CO7" s="211"/>
      <c r="CP7" s="156"/>
      <c r="CQ7" s="219"/>
      <c r="CR7" s="211"/>
      <c r="CS7" s="156"/>
      <c r="CT7" s="219"/>
      <c r="CU7" s="211"/>
      <c r="CV7" s="156"/>
      <c r="CW7" s="219"/>
      <c r="CX7" s="211"/>
      <c r="CY7" s="156"/>
      <c r="CZ7" s="219"/>
      <c r="DA7" s="211"/>
      <c r="DB7" s="157"/>
      <c r="DC7" s="175"/>
    </row>
    <row r="8" spans="1:107" s="12" customFormat="1" ht="21.95" customHeight="1" x14ac:dyDescent="0.2">
      <c r="A8" s="165"/>
      <c r="B8" s="159"/>
      <c r="C8" s="159"/>
      <c r="D8" s="159" t="s">
        <v>6</v>
      </c>
      <c r="E8" s="162"/>
      <c r="F8" s="162"/>
      <c r="G8" s="159">
        <f t="shared" si="0"/>
        <v>0</v>
      </c>
      <c r="H8" s="161">
        <f t="shared" si="1"/>
        <v>0</v>
      </c>
      <c r="I8" s="138">
        <f t="shared" si="3"/>
        <v>0</v>
      </c>
      <c r="J8" s="138">
        <f t="shared" si="2"/>
        <v>0</v>
      </c>
      <c r="K8" s="138">
        <f t="shared" si="4"/>
        <v>0</v>
      </c>
      <c r="L8" s="159" t="s">
        <v>82</v>
      </c>
      <c r="M8" s="163"/>
      <c r="N8" s="216"/>
      <c r="O8" s="206"/>
      <c r="P8" s="163"/>
      <c r="Q8" s="216"/>
      <c r="R8" s="206"/>
      <c r="S8" s="163"/>
      <c r="T8" s="216"/>
      <c r="U8" s="206"/>
      <c r="V8" s="163"/>
      <c r="W8" s="216"/>
      <c r="X8" s="206"/>
      <c r="Y8" s="163"/>
      <c r="Z8" s="216"/>
      <c r="AA8" s="206"/>
      <c r="AB8" s="163"/>
      <c r="AC8" s="216"/>
      <c r="AD8" s="206"/>
      <c r="AE8" s="163"/>
      <c r="AF8" s="162"/>
      <c r="AG8" s="206"/>
      <c r="AH8" s="163"/>
      <c r="AI8" s="216"/>
      <c r="AJ8" s="207"/>
      <c r="AK8" s="163"/>
      <c r="AL8" s="216"/>
      <c r="AM8" s="206"/>
      <c r="AN8" s="163"/>
      <c r="AO8" s="216"/>
      <c r="AP8" s="206"/>
      <c r="AQ8" s="163"/>
      <c r="AR8" s="216"/>
      <c r="AS8" s="206"/>
      <c r="AT8" s="163"/>
      <c r="AU8" s="216"/>
      <c r="AV8" s="206"/>
      <c r="AW8" s="163"/>
      <c r="AX8" s="216"/>
      <c r="AY8" s="206"/>
      <c r="AZ8" s="163"/>
      <c r="BA8" s="216"/>
      <c r="BB8" s="206"/>
      <c r="BC8" s="163"/>
      <c r="BD8" s="216"/>
      <c r="BE8" s="206"/>
      <c r="BF8" s="163"/>
      <c r="BG8" s="216"/>
      <c r="BH8" s="206"/>
      <c r="BI8" s="163"/>
      <c r="BJ8" s="216"/>
      <c r="BK8" s="206"/>
      <c r="BL8" s="163"/>
      <c r="BM8" s="216"/>
      <c r="BN8" s="206"/>
      <c r="BO8" s="163"/>
      <c r="BP8" s="216"/>
      <c r="BQ8" s="206"/>
      <c r="BR8" s="163"/>
      <c r="BS8" s="216"/>
      <c r="BT8" s="206"/>
      <c r="BU8" s="163"/>
      <c r="BV8" s="216"/>
      <c r="BW8" s="206"/>
      <c r="BX8" s="163"/>
      <c r="BY8" s="216"/>
      <c r="BZ8" s="206"/>
      <c r="CA8" s="163"/>
      <c r="CB8" s="216"/>
      <c r="CC8" s="206"/>
      <c r="CD8" s="163"/>
      <c r="CE8" s="216"/>
      <c r="CF8" s="206"/>
      <c r="CG8" s="163"/>
      <c r="CH8" s="216"/>
      <c r="CI8" s="206"/>
      <c r="CJ8" s="163"/>
      <c r="CK8" s="216"/>
      <c r="CL8" s="206"/>
      <c r="CM8" s="163"/>
      <c r="CN8" s="216"/>
      <c r="CO8" s="206"/>
      <c r="CP8" s="163"/>
      <c r="CQ8" s="216"/>
      <c r="CR8" s="206"/>
      <c r="CS8" s="163"/>
      <c r="CT8" s="216"/>
      <c r="CU8" s="206"/>
      <c r="CV8" s="163"/>
      <c r="CW8" s="216"/>
      <c r="CX8" s="206"/>
      <c r="CY8" s="163"/>
      <c r="CZ8" s="216"/>
      <c r="DA8" s="206"/>
      <c r="DB8" s="162"/>
      <c r="DC8" s="176"/>
    </row>
    <row r="9" spans="1:107" s="12" customFormat="1" ht="21.95" customHeight="1" thickBot="1" x14ac:dyDescent="0.25">
      <c r="A9" s="167"/>
      <c r="B9" s="160"/>
      <c r="C9" s="160"/>
      <c r="D9" s="160" t="s">
        <v>6</v>
      </c>
      <c r="E9" s="171"/>
      <c r="F9" s="171"/>
      <c r="G9" s="160">
        <f t="shared" si="0"/>
        <v>0</v>
      </c>
      <c r="H9" s="164">
        <f t="shared" si="1"/>
        <v>0</v>
      </c>
      <c r="I9" s="141">
        <f t="shared" si="3"/>
        <v>0</v>
      </c>
      <c r="J9" s="141">
        <f t="shared" si="2"/>
        <v>0</v>
      </c>
      <c r="K9" s="141">
        <f t="shared" si="4"/>
        <v>0</v>
      </c>
      <c r="L9" s="160" t="s">
        <v>82</v>
      </c>
      <c r="M9" s="140"/>
      <c r="N9" s="218"/>
      <c r="O9" s="226"/>
      <c r="P9" s="140"/>
      <c r="Q9" s="218"/>
      <c r="R9" s="296"/>
      <c r="S9" s="140"/>
      <c r="T9" s="218"/>
      <c r="U9" s="296"/>
      <c r="V9" s="140"/>
      <c r="W9" s="218"/>
      <c r="X9" s="226"/>
      <c r="Y9" s="140"/>
      <c r="Z9" s="218"/>
      <c r="AA9" s="296"/>
      <c r="AB9" s="140"/>
      <c r="AC9" s="218"/>
      <c r="AD9" s="296"/>
      <c r="AE9" s="140"/>
      <c r="AF9" s="141"/>
      <c r="AG9" s="226"/>
      <c r="AH9" s="140"/>
      <c r="AI9" s="218"/>
      <c r="AJ9" s="226"/>
      <c r="AK9" s="140"/>
      <c r="AL9" s="218"/>
      <c r="AM9" s="226"/>
      <c r="AN9" s="140"/>
      <c r="AO9" s="218"/>
      <c r="AP9" s="226"/>
      <c r="AQ9" s="140"/>
      <c r="AR9" s="218"/>
      <c r="AS9" s="226"/>
      <c r="AT9" s="140"/>
      <c r="AU9" s="218"/>
      <c r="AV9" s="226"/>
      <c r="AW9" s="140"/>
      <c r="AX9" s="218"/>
      <c r="AY9" s="296"/>
      <c r="AZ9" s="140"/>
      <c r="BA9" s="218"/>
      <c r="BB9" s="226"/>
      <c r="BC9" s="140"/>
      <c r="BD9" s="218"/>
      <c r="BE9" s="226"/>
      <c r="BF9" s="140"/>
      <c r="BG9" s="218"/>
      <c r="BH9" s="226"/>
      <c r="BI9" s="140"/>
      <c r="BJ9" s="218"/>
      <c r="BK9" s="226"/>
      <c r="BL9" s="140"/>
      <c r="BM9" s="218"/>
      <c r="BN9" s="226"/>
      <c r="BO9" s="140"/>
      <c r="BP9" s="218"/>
      <c r="BQ9" s="226"/>
      <c r="BR9" s="140"/>
      <c r="BS9" s="218"/>
      <c r="BT9" s="226"/>
      <c r="BU9" s="140"/>
      <c r="BV9" s="218"/>
      <c r="BW9" s="296"/>
      <c r="BX9" s="140"/>
      <c r="BY9" s="218"/>
      <c r="BZ9" s="226"/>
      <c r="CA9" s="140"/>
      <c r="CB9" s="218"/>
      <c r="CC9" s="226"/>
      <c r="CD9" s="140"/>
      <c r="CE9" s="218"/>
      <c r="CF9" s="226"/>
      <c r="CG9" s="140"/>
      <c r="CH9" s="218"/>
      <c r="CI9" s="226"/>
      <c r="CJ9" s="140"/>
      <c r="CK9" s="218"/>
      <c r="CL9" s="226"/>
      <c r="CM9" s="140"/>
      <c r="CN9" s="218"/>
      <c r="CO9" s="226"/>
      <c r="CP9" s="140"/>
      <c r="CQ9" s="218"/>
      <c r="CR9" s="226"/>
      <c r="CS9" s="140"/>
      <c r="CT9" s="218"/>
      <c r="CU9" s="226"/>
      <c r="CV9" s="140"/>
      <c r="CW9" s="218"/>
      <c r="CX9" s="226"/>
      <c r="CY9" s="140"/>
      <c r="CZ9" s="218"/>
      <c r="DA9" s="226"/>
      <c r="DB9" s="141"/>
      <c r="DC9" s="210"/>
    </row>
    <row r="10" spans="1:107" s="12" customFormat="1" ht="21.95" customHeight="1" x14ac:dyDescent="0.2">
      <c r="A10" s="168"/>
      <c r="B10" s="158"/>
      <c r="C10" s="158"/>
      <c r="D10" s="353" t="s">
        <v>6</v>
      </c>
      <c r="E10" s="169"/>
      <c r="F10" s="169"/>
      <c r="G10" s="158">
        <f t="shared" si="0"/>
        <v>0</v>
      </c>
      <c r="H10" s="354">
        <f t="shared" si="1"/>
        <v>0</v>
      </c>
      <c r="I10" s="157">
        <f t="shared" si="3"/>
        <v>0</v>
      </c>
      <c r="J10" s="157">
        <f t="shared" si="2"/>
        <v>0</v>
      </c>
      <c r="K10" s="157">
        <f t="shared" si="4"/>
        <v>0</v>
      </c>
      <c r="L10" s="158" t="s">
        <v>83</v>
      </c>
      <c r="M10" s="156"/>
      <c r="N10" s="219"/>
      <c r="O10" s="211"/>
      <c r="P10" s="156"/>
      <c r="Q10" s="219"/>
      <c r="R10" s="211"/>
      <c r="S10" s="156"/>
      <c r="T10" s="219"/>
      <c r="U10" s="211"/>
      <c r="V10" s="156"/>
      <c r="W10" s="219"/>
      <c r="X10" s="211"/>
      <c r="Y10" s="156"/>
      <c r="Z10" s="219"/>
      <c r="AA10" s="211"/>
      <c r="AB10" s="156"/>
      <c r="AC10" s="219"/>
      <c r="AD10" s="211"/>
      <c r="AE10" s="156"/>
      <c r="AF10" s="157"/>
      <c r="AG10" s="211"/>
      <c r="AH10" s="156"/>
      <c r="AI10" s="219"/>
      <c r="AJ10" s="211"/>
      <c r="AK10" s="156"/>
      <c r="AL10" s="219"/>
      <c r="AM10" s="211"/>
      <c r="AN10" s="156"/>
      <c r="AO10" s="219"/>
      <c r="AP10" s="211"/>
      <c r="AQ10" s="156"/>
      <c r="AR10" s="219"/>
      <c r="AS10" s="211"/>
      <c r="AT10" s="156"/>
      <c r="AU10" s="219"/>
      <c r="AV10" s="211"/>
      <c r="AW10" s="156"/>
      <c r="AX10" s="219"/>
      <c r="AY10" s="211"/>
      <c r="AZ10" s="156"/>
      <c r="BA10" s="219"/>
      <c r="BB10" s="211"/>
      <c r="BC10" s="156"/>
      <c r="BD10" s="219"/>
      <c r="BE10" s="211"/>
      <c r="BF10" s="156"/>
      <c r="BG10" s="219"/>
      <c r="BH10" s="211"/>
      <c r="BI10" s="156"/>
      <c r="BJ10" s="219"/>
      <c r="BK10" s="211"/>
      <c r="BL10" s="156"/>
      <c r="BM10" s="219"/>
      <c r="BN10" s="211"/>
      <c r="BO10" s="156"/>
      <c r="BP10" s="219"/>
      <c r="BQ10" s="211"/>
      <c r="BR10" s="156"/>
      <c r="BS10" s="219"/>
      <c r="BT10" s="211"/>
      <c r="BU10" s="156"/>
      <c r="BV10" s="219"/>
      <c r="BW10" s="211"/>
      <c r="BX10" s="156"/>
      <c r="BY10" s="219"/>
      <c r="BZ10" s="211"/>
      <c r="CA10" s="156"/>
      <c r="CB10" s="219"/>
      <c r="CC10" s="211"/>
      <c r="CD10" s="156"/>
      <c r="CE10" s="219"/>
      <c r="CF10" s="211"/>
      <c r="CG10" s="156"/>
      <c r="CH10" s="219"/>
      <c r="CI10" s="211"/>
      <c r="CJ10" s="156"/>
      <c r="CK10" s="219"/>
      <c r="CL10" s="211"/>
      <c r="CM10" s="156"/>
      <c r="CN10" s="219"/>
      <c r="CO10" s="211"/>
      <c r="CP10" s="156"/>
      <c r="CQ10" s="219"/>
      <c r="CR10" s="211"/>
      <c r="CS10" s="156"/>
      <c r="CT10" s="219"/>
      <c r="CU10" s="211"/>
      <c r="CV10" s="156"/>
      <c r="CW10" s="219"/>
      <c r="CX10" s="211"/>
      <c r="CY10" s="156"/>
      <c r="CZ10" s="219"/>
      <c r="DA10" s="211"/>
      <c r="DB10" s="157"/>
      <c r="DC10" s="175"/>
    </row>
    <row r="11" spans="1:107" s="12" customFormat="1" ht="21.95" customHeight="1" x14ac:dyDescent="0.2">
      <c r="A11" s="165"/>
      <c r="B11" s="159"/>
      <c r="C11" s="159"/>
      <c r="D11" s="159" t="s">
        <v>6</v>
      </c>
      <c r="E11" s="162"/>
      <c r="F11" s="162"/>
      <c r="G11" s="159">
        <f t="shared" si="0"/>
        <v>0</v>
      </c>
      <c r="H11" s="161">
        <f t="shared" si="1"/>
        <v>0</v>
      </c>
      <c r="I11" s="138">
        <f t="shared" si="3"/>
        <v>0</v>
      </c>
      <c r="J11" s="138">
        <f t="shared" si="2"/>
        <v>0</v>
      </c>
      <c r="K11" s="138">
        <f t="shared" si="4"/>
        <v>0</v>
      </c>
      <c r="L11" s="159" t="s">
        <v>83</v>
      </c>
      <c r="M11" s="139"/>
      <c r="N11" s="217"/>
      <c r="O11" s="207"/>
      <c r="P11" s="139"/>
      <c r="Q11" s="217"/>
      <c r="R11" s="207"/>
      <c r="S11" s="139"/>
      <c r="T11" s="217"/>
      <c r="U11" s="207"/>
      <c r="V11" s="139"/>
      <c r="W11" s="217"/>
      <c r="X11" s="207"/>
      <c r="Y11" s="139"/>
      <c r="Z11" s="217"/>
      <c r="AA11" s="207"/>
      <c r="AB11" s="139"/>
      <c r="AC11" s="217"/>
      <c r="AD11" s="207"/>
      <c r="AE11" s="139"/>
      <c r="AF11" s="138"/>
      <c r="AG11" s="207"/>
      <c r="AH11" s="139"/>
      <c r="AI11" s="217"/>
      <c r="AJ11" s="207"/>
      <c r="AK11" s="139"/>
      <c r="AL11" s="217"/>
      <c r="AM11" s="207"/>
      <c r="AN11" s="139"/>
      <c r="AO11" s="217"/>
      <c r="AP11" s="207"/>
      <c r="AQ11" s="139"/>
      <c r="AR11" s="217"/>
      <c r="AS11" s="207"/>
      <c r="AT11" s="139"/>
      <c r="AU11" s="217"/>
      <c r="AV11" s="207"/>
      <c r="AW11" s="139"/>
      <c r="AX11" s="217"/>
      <c r="AY11" s="207"/>
      <c r="AZ11" s="139"/>
      <c r="BA11" s="217"/>
      <c r="BB11" s="207"/>
      <c r="BC11" s="139"/>
      <c r="BD11" s="217"/>
      <c r="BE11" s="207"/>
      <c r="BF11" s="139"/>
      <c r="BG11" s="217"/>
      <c r="BH11" s="207"/>
      <c r="BI11" s="139"/>
      <c r="BJ11" s="217"/>
      <c r="BK11" s="207"/>
      <c r="BL11" s="139"/>
      <c r="BM11" s="217"/>
      <c r="BN11" s="207"/>
      <c r="BO11" s="139"/>
      <c r="BP11" s="217"/>
      <c r="BQ11" s="207"/>
      <c r="BR11" s="139"/>
      <c r="BS11" s="217"/>
      <c r="BT11" s="207"/>
      <c r="BU11" s="139"/>
      <c r="BV11" s="217"/>
      <c r="BW11" s="207"/>
      <c r="BX11" s="139"/>
      <c r="BY11" s="217"/>
      <c r="BZ11" s="207"/>
      <c r="CA11" s="139"/>
      <c r="CB11" s="217"/>
      <c r="CC11" s="207"/>
      <c r="CD11" s="139"/>
      <c r="CE11" s="217"/>
      <c r="CF11" s="207"/>
      <c r="CG11" s="139"/>
      <c r="CH11" s="217"/>
      <c r="CI11" s="207"/>
      <c r="CJ11" s="139"/>
      <c r="CK11" s="217"/>
      <c r="CL11" s="207"/>
      <c r="CM11" s="139"/>
      <c r="CN11" s="217"/>
      <c r="CO11" s="207"/>
      <c r="CP11" s="139"/>
      <c r="CQ11" s="217"/>
      <c r="CR11" s="206"/>
      <c r="CS11" s="139"/>
      <c r="CT11" s="217"/>
      <c r="CU11" s="207"/>
      <c r="CV11" s="139"/>
      <c r="CW11" s="217"/>
      <c r="CX11" s="207"/>
      <c r="CY11" s="139"/>
      <c r="CZ11" s="217"/>
      <c r="DA11" s="207"/>
      <c r="DB11" s="138"/>
      <c r="DC11" s="176"/>
    </row>
    <row r="12" spans="1:107" s="12" customFormat="1" ht="21.95" customHeight="1" thickBot="1" x14ac:dyDescent="0.25">
      <c r="A12" s="167"/>
      <c r="B12" s="160"/>
      <c r="C12" s="160"/>
      <c r="D12" s="160" t="s">
        <v>6</v>
      </c>
      <c r="E12" s="171"/>
      <c r="F12" s="171"/>
      <c r="G12" s="160">
        <f t="shared" si="0"/>
        <v>0</v>
      </c>
      <c r="H12" s="164">
        <f t="shared" si="1"/>
        <v>0</v>
      </c>
      <c r="I12" s="141">
        <f t="shared" si="3"/>
        <v>0</v>
      </c>
      <c r="J12" s="141">
        <f t="shared" si="2"/>
        <v>0</v>
      </c>
      <c r="K12" s="141">
        <f t="shared" si="4"/>
        <v>0</v>
      </c>
      <c r="L12" s="160" t="s">
        <v>83</v>
      </c>
      <c r="M12" s="140"/>
      <c r="N12" s="218"/>
      <c r="O12" s="226"/>
      <c r="P12" s="140"/>
      <c r="Q12" s="218"/>
      <c r="R12" s="296"/>
      <c r="S12" s="140"/>
      <c r="T12" s="218"/>
      <c r="U12" s="296"/>
      <c r="V12" s="140"/>
      <c r="W12" s="218"/>
      <c r="X12" s="226"/>
      <c r="Y12" s="140"/>
      <c r="Z12" s="218"/>
      <c r="AA12" s="296"/>
      <c r="AB12" s="140"/>
      <c r="AC12" s="218"/>
      <c r="AD12" s="296"/>
      <c r="AE12" s="140"/>
      <c r="AF12" s="141"/>
      <c r="AG12" s="226"/>
      <c r="AH12" s="140"/>
      <c r="AI12" s="218"/>
      <c r="AJ12" s="226"/>
      <c r="AK12" s="140"/>
      <c r="AL12" s="218"/>
      <c r="AM12" s="226"/>
      <c r="AN12" s="140"/>
      <c r="AO12" s="218"/>
      <c r="AP12" s="226"/>
      <c r="AQ12" s="140"/>
      <c r="AR12" s="218"/>
      <c r="AS12" s="226"/>
      <c r="AT12" s="140"/>
      <c r="AU12" s="218"/>
      <c r="AV12" s="226"/>
      <c r="AW12" s="140"/>
      <c r="AX12" s="218"/>
      <c r="AY12" s="296"/>
      <c r="AZ12" s="140"/>
      <c r="BA12" s="218"/>
      <c r="BB12" s="226"/>
      <c r="BC12" s="140"/>
      <c r="BD12" s="218"/>
      <c r="BE12" s="226"/>
      <c r="BF12" s="140"/>
      <c r="BG12" s="218"/>
      <c r="BH12" s="226"/>
      <c r="BI12" s="140"/>
      <c r="BJ12" s="218"/>
      <c r="BK12" s="226"/>
      <c r="BL12" s="140"/>
      <c r="BM12" s="218"/>
      <c r="BN12" s="226"/>
      <c r="BO12" s="140"/>
      <c r="BP12" s="218"/>
      <c r="BQ12" s="226"/>
      <c r="BR12" s="140"/>
      <c r="BS12" s="218"/>
      <c r="BT12" s="226"/>
      <c r="BU12" s="140"/>
      <c r="BV12" s="218"/>
      <c r="BW12" s="296"/>
      <c r="BX12" s="140"/>
      <c r="BY12" s="218"/>
      <c r="BZ12" s="226"/>
      <c r="CA12" s="140"/>
      <c r="CB12" s="218"/>
      <c r="CC12" s="226"/>
      <c r="CD12" s="140"/>
      <c r="CE12" s="218"/>
      <c r="CF12" s="226"/>
      <c r="CG12" s="140"/>
      <c r="CH12" s="218"/>
      <c r="CI12" s="226"/>
      <c r="CJ12" s="140"/>
      <c r="CK12" s="218"/>
      <c r="CL12" s="226"/>
      <c r="CM12" s="140"/>
      <c r="CN12" s="218"/>
      <c r="CO12" s="226"/>
      <c r="CP12" s="140"/>
      <c r="CQ12" s="218"/>
      <c r="CR12" s="226"/>
      <c r="CS12" s="140"/>
      <c r="CT12" s="218"/>
      <c r="CU12" s="226"/>
      <c r="CV12" s="140"/>
      <c r="CW12" s="218"/>
      <c r="CX12" s="226"/>
      <c r="CY12" s="140"/>
      <c r="CZ12" s="218"/>
      <c r="DA12" s="226"/>
      <c r="DB12" s="141"/>
      <c r="DC12" s="210"/>
    </row>
    <row r="13" spans="1:107" s="12" customFormat="1" ht="21.95" customHeight="1" x14ac:dyDescent="0.2">
      <c r="A13" s="168"/>
      <c r="B13" s="158"/>
      <c r="C13" s="158"/>
      <c r="D13" s="353" t="s">
        <v>6</v>
      </c>
      <c r="E13" s="169"/>
      <c r="F13" s="169"/>
      <c r="G13" s="158">
        <f t="shared" si="0"/>
        <v>0</v>
      </c>
      <c r="H13" s="354">
        <f t="shared" si="1"/>
        <v>0</v>
      </c>
      <c r="I13" s="157">
        <f t="shared" si="3"/>
        <v>0</v>
      </c>
      <c r="J13" s="157">
        <f t="shared" si="2"/>
        <v>0</v>
      </c>
      <c r="K13" s="157">
        <f t="shared" si="4"/>
        <v>0</v>
      </c>
      <c r="L13" s="158" t="s">
        <v>84</v>
      </c>
      <c r="M13" s="156"/>
      <c r="N13" s="219"/>
      <c r="O13" s="211"/>
      <c r="P13" s="156"/>
      <c r="Q13" s="219"/>
      <c r="R13" s="211"/>
      <c r="S13" s="156"/>
      <c r="T13" s="219"/>
      <c r="U13" s="211"/>
      <c r="V13" s="156"/>
      <c r="W13" s="219"/>
      <c r="X13" s="211"/>
      <c r="Y13" s="156"/>
      <c r="Z13" s="219"/>
      <c r="AA13" s="211"/>
      <c r="AB13" s="156"/>
      <c r="AC13" s="219"/>
      <c r="AD13" s="211"/>
      <c r="AE13" s="156"/>
      <c r="AF13" s="157"/>
      <c r="AG13" s="211"/>
      <c r="AH13" s="156"/>
      <c r="AI13" s="219"/>
      <c r="AJ13" s="211"/>
      <c r="AK13" s="156"/>
      <c r="AL13" s="219"/>
      <c r="AM13" s="211"/>
      <c r="AN13" s="156"/>
      <c r="AO13" s="219"/>
      <c r="AP13" s="211"/>
      <c r="AQ13" s="156"/>
      <c r="AR13" s="219"/>
      <c r="AS13" s="211"/>
      <c r="AT13" s="156"/>
      <c r="AU13" s="219"/>
      <c r="AV13" s="211"/>
      <c r="AW13" s="156"/>
      <c r="AX13" s="219"/>
      <c r="AY13" s="211"/>
      <c r="AZ13" s="156"/>
      <c r="BA13" s="219"/>
      <c r="BB13" s="211"/>
      <c r="BC13" s="156"/>
      <c r="BD13" s="219"/>
      <c r="BE13" s="211"/>
      <c r="BF13" s="156"/>
      <c r="BG13" s="219"/>
      <c r="BH13" s="211"/>
      <c r="BI13" s="156"/>
      <c r="BJ13" s="219"/>
      <c r="BK13" s="211"/>
      <c r="BL13" s="156"/>
      <c r="BM13" s="219"/>
      <c r="BN13" s="211"/>
      <c r="BO13" s="156"/>
      <c r="BP13" s="219"/>
      <c r="BQ13" s="211"/>
      <c r="BR13" s="156"/>
      <c r="BS13" s="219"/>
      <c r="BT13" s="211"/>
      <c r="BU13" s="156"/>
      <c r="BV13" s="219"/>
      <c r="BW13" s="211"/>
      <c r="BX13" s="156"/>
      <c r="BY13" s="219"/>
      <c r="BZ13" s="211"/>
      <c r="CA13" s="156"/>
      <c r="CB13" s="219"/>
      <c r="CC13" s="211"/>
      <c r="CD13" s="156"/>
      <c r="CE13" s="219"/>
      <c r="CF13" s="211"/>
      <c r="CG13" s="156"/>
      <c r="CH13" s="219"/>
      <c r="CI13" s="211"/>
      <c r="CJ13" s="156"/>
      <c r="CK13" s="219"/>
      <c r="CL13" s="211"/>
      <c r="CM13" s="156"/>
      <c r="CN13" s="219"/>
      <c r="CO13" s="211"/>
      <c r="CP13" s="156"/>
      <c r="CQ13" s="219"/>
      <c r="CR13" s="211"/>
      <c r="CS13" s="156"/>
      <c r="CT13" s="219"/>
      <c r="CU13" s="211"/>
      <c r="CV13" s="156"/>
      <c r="CW13" s="219"/>
      <c r="CX13" s="211"/>
      <c r="CY13" s="156"/>
      <c r="CZ13" s="219"/>
      <c r="DA13" s="211"/>
      <c r="DB13" s="157"/>
      <c r="DC13" s="175"/>
    </row>
    <row r="14" spans="1:107" s="12" customFormat="1" ht="21.95" customHeight="1" x14ac:dyDescent="0.2">
      <c r="A14" s="165"/>
      <c r="B14" s="159"/>
      <c r="C14" s="159"/>
      <c r="D14" s="159" t="s">
        <v>6</v>
      </c>
      <c r="E14" s="162"/>
      <c r="F14" s="162"/>
      <c r="G14" s="159">
        <f t="shared" si="0"/>
        <v>0</v>
      </c>
      <c r="H14" s="161">
        <f t="shared" si="1"/>
        <v>0</v>
      </c>
      <c r="I14" s="138">
        <f t="shared" si="3"/>
        <v>0</v>
      </c>
      <c r="J14" s="138">
        <f t="shared" si="2"/>
        <v>0</v>
      </c>
      <c r="K14" s="138">
        <f t="shared" si="4"/>
        <v>0</v>
      </c>
      <c r="L14" s="159" t="s">
        <v>84</v>
      </c>
      <c r="M14" s="139"/>
      <c r="N14" s="217"/>
      <c r="O14" s="207"/>
      <c r="P14" s="139"/>
      <c r="Q14" s="217"/>
      <c r="R14" s="207"/>
      <c r="S14" s="139"/>
      <c r="T14" s="217"/>
      <c r="U14" s="207"/>
      <c r="V14" s="139"/>
      <c r="W14" s="217"/>
      <c r="X14" s="207"/>
      <c r="Y14" s="139"/>
      <c r="Z14" s="217"/>
      <c r="AA14" s="207"/>
      <c r="AB14" s="139"/>
      <c r="AC14" s="217"/>
      <c r="AD14" s="207"/>
      <c r="AE14" s="139"/>
      <c r="AF14" s="138"/>
      <c r="AG14" s="207"/>
      <c r="AH14" s="139"/>
      <c r="AI14" s="217"/>
      <c r="AJ14" s="207"/>
      <c r="AK14" s="139"/>
      <c r="AL14" s="217"/>
      <c r="AM14" s="207"/>
      <c r="AN14" s="139"/>
      <c r="AO14" s="217"/>
      <c r="AP14" s="207"/>
      <c r="AQ14" s="139"/>
      <c r="AR14" s="217"/>
      <c r="AS14" s="207"/>
      <c r="AT14" s="139"/>
      <c r="AU14" s="217"/>
      <c r="AV14" s="207"/>
      <c r="AW14" s="139"/>
      <c r="AX14" s="217"/>
      <c r="AY14" s="207"/>
      <c r="AZ14" s="139"/>
      <c r="BA14" s="217"/>
      <c r="BB14" s="207"/>
      <c r="BC14" s="139"/>
      <c r="BD14" s="217"/>
      <c r="BE14" s="207"/>
      <c r="BF14" s="139"/>
      <c r="BG14" s="217"/>
      <c r="BH14" s="207"/>
      <c r="BI14" s="139"/>
      <c r="BJ14" s="217"/>
      <c r="BK14" s="207"/>
      <c r="BL14" s="139"/>
      <c r="BM14" s="217"/>
      <c r="BN14" s="207"/>
      <c r="BO14" s="139"/>
      <c r="BP14" s="217"/>
      <c r="BQ14" s="207"/>
      <c r="BR14" s="139"/>
      <c r="BS14" s="217"/>
      <c r="BT14" s="207"/>
      <c r="BU14" s="139"/>
      <c r="BV14" s="217"/>
      <c r="BW14" s="207"/>
      <c r="BX14" s="139"/>
      <c r="BY14" s="217"/>
      <c r="BZ14" s="207"/>
      <c r="CA14" s="139"/>
      <c r="CB14" s="217"/>
      <c r="CC14" s="207"/>
      <c r="CD14" s="139"/>
      <c r="CE14" s="217"/>
      <c r="CF14" s="207"/>
      <c r="CG14" s="139"/>
      <c r="CH14" s="217"/>
      <c r="CI14" s="207"/>
      <c r="CJ14" s="139"/>
      <c r="CK14" s="217"/>
      <c r="CL14" s="207"/>
      <c r="CM14" s="139"/>
      <c r="CN14" s="217"/>
      <c r="CO14" s="207"/>
      <c r="CP14" s="139"/>
      <c r="CQ14" s="217"/>
      <c r="CR14" s="206"/>
      <c r="CS14" s="139"/>
      <c r="CT14" s="217"/>
      <c r="CU14" s="207"/>
      <c r="CV14" s="139"/>
      <c r="CW14" s="217"/>
      <c r="CX14" s="207"/>
      <c r="CY14" s="139"/>
      <c r="CZ14" s="217"/>
      <c r="DA14" s="207"/>
      <c r="DB14" s="138"/>
      <c r="DC14" s="176"/>
    </row>
    <row r="15" spans="1:107" s="12" customFormat="1" ht="21.95" customHeight="1" thickBot="1" x14ac:dyDescent="0.25">
      <c r="A15" s="167"/>
      <c r="B15" s="160"/>
      <c r="C15" s="160"/>
      <c r="D15" s="160" t="s">
        <v>6</v>
      </c>
      <c r="E15" s="171"/>
      <c r="F15" s="171"/>
      <c r="G15" s="160">
        <f t="shared" si="0"/>
        <v>0</v>
      </c>
      <c r="H15" s="164">
        <f t="shared" si="1"/>
        <v>0</v>
      </c>
      <c r="I15" s="141">
        <f t="shared" si="3"/>
        <v>0</v>
      </c>
      <c r="J15" s="141">
        <f t="shared" si="2"/>
        <v>0</v>
      </c>
      <c r="K15" s="141">
        <f t="shared" si="4"/>
        <v>0</v>
      </c>
      <c r="L15" s="160" t="s">
        <v>84</v>
      </c>
      <c r="M15" s="140"/>
      <c r="N15" s="218"/>
      <c r="O15" s="226"/>
      <c r="P15" s="140"/>
      <c r="Q15" s="218"/>
      <c r="R15" s="296"/>
      <c r="S15" s="140"/>
      <c r="T15" s="218"/>
      <c r="U15" s="296"/>
      <c r="V15" s="140"/>
      <c r="W15" s="218"/>
      <c r="X15" s="226"/>
      <c r="Y15" s="140"/>
      <c r="Z15" s="218"/>
      <c r="AA15" s="296"/>
      <c r="AB15" s="140"/>
      <c r="AC15" s="218"/>
      <c r="AD15" s="296"/>
      <c r="AE15" s="140"/>
      <c r="AF15" s="141"/>
      <c r="AG15" s="226"/>
      <c r="AH15" s="140"/>
      <c r="AI15" s="218"/>
      <c r="AJ15" s="226"/>
      <c r="AK15" s="140"/>
      <c r="AL15" s="218"/>
      <c r="AM15" s="226"/>
      <c r="AN15" s="140"/>
      <c r="AO15" s="218"/>
      <c r="AP15" s="226"/>
      <c r="AQ15" s="140"/>
      <c r="AR15" s="218"/>
      <c r="AS15" s="226"/>
      <c r="AT15" s="140"/>
      <c r="AU15" s="218"/>
      <c r="AV15" s="226"/>
      <c r="AW15" s="140"/>
      <c r="AX15" s="218"/>
      <c r="AY15" s="296"/>
      <c r="AZ15" s="140"/>
      <c r="BA15" s="218"/>
      <c r="BB15" s="226"/>
      <c r="BC15" s="140"/>
      <c r="BD15" s="218"/>
      <c r="BE15" s="226"/>
      <c r="BF15" s="140"/>
      <c r="BG15" s="218"/>
      <c r="BH15" s="226"/>
      <c r="BI15" s="140"/>
      <c r="BJ15" s="218"/>
      <c r="BK15" s="226"/>
      <c r="BL15" s="140"/>
      <c r="BM15" s="218"/>
      <c r="BN15" s="226"/>
      <c r="BO15" s="140"/>
      <c r="BP15" s="218"/>
      <c r="BQ15" s="226"/>
      <c r="BR15" s="140"/>
      <c r="BS15" s="218"/>
      <c r="BT15" s="226"/>
      <c r="BU15" s="140"/>
      <c r="BV15" s="218"/>
      <c r="BW15" s="296"/>
      <c r="BX15" s="140"/>
      <c r="BY15" s="218"/>
      <c r="BZ15" s="226"/>
      <c r="CA15" s="140"/>
      <c r="CB15" s="218"/>
      <c r="CC15" s="226"/>
      <c r="CD15" s="140"/>
      <c r="CE15" s="218"/>
      <c r="CF15" s="226"/>
      <c r="CG15" s="140"/>
      <c r="CH15" s="218"/>
      <c r="CI15" s="226"/>
      <c r="CJ15" s="140"/>
      <c r="CK15" s="218"/>
      <c r="CL15" s="226"/>
      <c r="CM15" s="140"/>
      <c r="CN15" s="218"/>
      <c r="CO15" s="226"/>
      <c r="CP15" s="140"/>
      <c r="CQ15" s="218"/>
      <c r="CR15" s="226"/>
      <c r="CS15" s="140"/>
      <c r="CT15" s="218"/>
      <c r="CU15" s="226"/>
      <c r="CV15" s="140"/>
      <c r="CW15" s="218"/>
      <c r="CX15" s="226"/>
      <c r="CY15" s="140"/>
      <c r="CZ15" s="218"/>
      <c r="DA15" s="226"/>
      <c r="DB15" s="141"/>
      <c r="DC15" s="210"/>
    </row>
    <row r="16" spans="1:107" s="12" customFormat="1" ht="21.95" customHeight="1" x14ac:dyDescent="0.2">
      <c r="A16" s="168"/>
      <c r="B16" s="158"/>
      <c r="C16" s="158"/>
      <c r="D16" s="353" t="s">
        <v>6</v>
      </c>
      <c r="E16" s="169"/>
      <c r="F16" s="169"/>
      <c r="G16" s="158">
        <f t="shared" si="0"/>
        <v>0</v>
      </c>
      <c r="H16" s="354">
        <f t="shared" si="1"/>
        <v>0</v>
      </c>
      <c r="I16" s="157">
        <f t="shared" si="3"/>
        <v>0</v>
      </c>
      <c r="J16" s="157">
        <f t="shared" si="2"/>
        <v>0</v>
      </c>
      <c r="K16" s="157">
        <f t="shared" si="4"/>
        <v>0</v>
      </c>
      <c r="L16" s="158" t="s">
        <v>73</v>
      </c>
      <c r="M16" s="156"/>
      <c r="N16" s="219"/>
      <c r="O16" s="211"/>
      <c r="P16" s="156"/>
      <c r="Q16" s="219"/>
      <c r="R16" s="211"/>
      <c r="S16" s="156"/>
      <c r="T16" s="219"/>
      <c r="U16" s="211"/>
      <c r="V16" s="156"/>
      <c r="W16" s="219"/>
      <c r="X16" s="211"/>
      <c r="Y16" s="156"/>
      <c r="Z16" s="219"/>
      <c r="AA16" s="211"/>
      <c r="AB16" s="156"/>
      <c r="AC16" s="219"/>
      <c r="AD16" s="211"/>
      <c r="AE16" s="156"/>
      <c r="AF16" s="157"/>
      <c r="AG16" s="211"/>
      <c r="AH16" s="156"/>
      <c r="AI16" s="219"/>
      <c r="AJ16" s="211"/>
      <c r="AK16" s="156"/>
      <c r="AL16" s="219"/>
      <c r="AM16" s="211"/>
      <c r="AN16" s="156"/>
      <c r="AO16" s="219"/>
      <c r="AP16" s="211"/>
      <c r="AQ16" s="156"/>
      <c r="AR16" s="219"/>
      <c r="AS16" s="211"/>
      <c r="AT16" s="156"/>
      <c r="AU16" s="219"/>
      <c r="AV16" s="211"/>
      <c r="AW16" s="156"/>
      <c r="AX16" s="219"/>
      <c r="AY16" s="211"/>
      <c r="AZ16" s="156"/>
      <c r="BA16" s="219"/>
      <c r="BB16" s="211"/>
      <c r="BC16" s="156"/>
      <c r="BD16" s="219"/>
      <c r="BE16" s="211"/>
      <c r="BF16" s="156"/>
      <c r="BG16" s="219"/>
      <c r="BH16" s="211"/>
      <c r="BI16" s="156"/>
      <c r="BJ16" s="219"/>
      <c r="BK16" s="211"/>
      <c r="BL16" s="156"/>
      <c r="BM16" s="219"/>
      <c r="BN16" s="211"/>
      <c r="BO16" s="156"/>
      <c r="BP16" s="219"/>
      <c r="BQ16" s="211"/>
      <c r="BR16" s="156"/>
      <c r="BS16" s="219"/>
      <c r="BT16" s="211"/>
      <c r="BU16" s="156"/>
      <c r="BV16" s="219"/>
      <c r="BW16" s="211"/>
      <c r="BX16" s="156"/>
      <c r="BY16" s="219"/>
      <c r="BZ16" s="211"/>
      <c r="CA16" s="156"/>
      <c r="CB16" s="219"/>
      <c r="CC16" s="211"/>
      <c r="CD16" s="156"/>
      <c r="CE16" s="219"/>
      <c r="CF16" s="211"/>
      <c r="CG16" s="156"/>
      <c r="CH16" s="219"/>
      <c r="CI16" s="211"/>
      <c r="CJ16" s="156"/>
      <c r="CK16" s="219"/>
      <c r="CL16" s="211"/>
      <c r="CM16" s="156"/>
      <c r="CN16" s="219"/>
      <c r="CO16" s="211"/>
      <c r="CP16" s="156"/>
      <c r="CQ16" s="219"/>
      <c r="CR16" s="211"/>
      <c r="CS16" s="156"/>
      <c r="CT16" s="219"/>
      <c r="CU16" s="211"/>
      <c r="CV16" s="156"/>
      <c r="CW16" s="219"/>
      <c r="CX16" s="211"/>
      <c r="CY16" s="156"/>
      <c r="CZ16" s="219"/>
      <c r="DA16" s="211"/>
      <c r="DB16" s="157"/>
      <c r="DC16" s="175"/>
    </row>
    <row r="17" spans="1:107" s="4" customFormat="1" ht="21.95" customHeight="1" x14ac:dyDescent="0.2">
      <c r="A17" s="165"/>
      <c r="B17" s="159"/>
      <c r="C17" s="159"/>
      <c r="D17" s="159" t="s">
        <v>6</v>
      </c>
      <c r="E17" s="162"/>
      <c r="F17" s="162"/>
      <c r="G17" s="159">
        <f t="shared" si="0"/>
        <v>0</v>
      </c>
      <c r="H17" s="161">
        <f t="shared" si="1"/>
        <v>0</v>
      </c>
      <c r="I17" s="138">
        <f t="shared" si="3"/>
        <v>0</v>
      </c>
      <c r="J17" s="138">
        <f t="shared" si="2"/>
        <v>0</v>
      </c>
      <c r="K17" s="138">
        <f t="shared" si="4"/>
        <v>0</v>
      </c>
      <c r="L17" s="159" t="s">
        <v>73</v>
      </c>
      <c r="M17" s="163"/>
      <c r="N17" s="216"/>
      <c r="O17" s="206"/>
      <c r="P17" s="163"/>
      <c r="Q17" s="216"/>
      <c r="R17" s="206"/>
      <c r="S17" s="163"/>
      <c r="T17" s="216"/>
      <c r="U17" s="206"/>
      <c r="V17" s="163"/>
      <c r="W17" s="216"/>
      <c r="X17" s="206"/>
      <c r="Y17" s="163"/>
      <c r="Z17" s="216"/>
      <c r="AA17" s="206"/>
      <c r="AB17" s="163"/>
      <c r="AC17" s="216"/>
      <c r="AD17" s="206"/>
      <c r="AE17" s="163"/>
      <c r="AF17" s="162"/>
      <c r="AG17" s="206"/>
      <c r="AH17" s="163"/>
      <c r="AI17" s="216"/>
      <c r="AJ17" s="206"/>
      <c r="AK17" s="163"/>
      <c r="AL17" s="216"/>
      <c r="AM17" s="206"/>
      <c r="AN17" s="163"/>
      <c r="AO17" s="216"/>
      <c r="AP17" s="206"/>
      <c r="AQ17" s="163"/>
      <c r="AR17" s="216"/>
      <c r="AS17" s="206"/>
      <c r="AT17" s="163"/>
      <c r="AU17" s="216"/>
      <c r="AV17" s="206"/>
      <c r="AW17" s="163"/>
      <c r="AX17" s="216"/>
      <c r="AY17" s="207"/>
      <c r="AZ17" s="163"/>
      <c r="BA17" s="216"/>
      <c r="BB17" s="206"/>
      <c r="BC17" s="163"/>
      <c r="BD17" s="216"/>
      <c r="BE17" s="206"/>
      <c r="BF17" s="163"/>
      <c r="BG17" s="216"/>
      <c r="BH17" s="206"/>
      <c r="BI17" s="163"/>
      <c r="BJ17" s="216"/>
      <c r="BK17" s="206"/>
      <c r="BL17" s="163"/>
      <c r="BM17" s="216"/>
      <c r="BN17" s="206"/>
      <c r="BO17" s="163"/>
      <c r="BP17" s="216"/>
      <c r="BQ17" s="206"/>
      <c r="BR17" s="163"/>
      <c r="BS17" s="216"/>
      <c r="BT17" s="206"/>
      <c r="BU17" s="163"/>
      <c r="BV17" s="216"/>
      <c r="BW17" s="206"/>
      <c r="BX17" s="163"/>
      <c r="BY17" s="216"/>
      <c r="BZ17" s="206"/>
      <c r="CA17" s="163"/>
      <c r="CB17" s="216"/>
      <c r="CC17" s="207"/>
      <c r="CD17" s="163"/>
      <c r="CE17" s="216"/>
      <c r="CF17" s="206"/>
      <c r="CG17" s="163"/>
      <c r="CH17" s="216"/>
      <c r="CI17" s="206"/>
      <c r="CJ17" s="163"/>
      <c r="CK17" s="216"/>
      <c r="CL17" s="206"/>
      <c r="CM17" s="163"/>
      <c r="CN17" s="216"/>
      <c r="CO17" s="206"/>
      <c r="CP17" s="163"/>
      <c r="CQ17" s="216"/>
      <c r="CR17" s="206"/>
      <c r="CS17" s="163"/>
      <c r="CT17" s="216"/>
      <c r="CU17" s="206"/>
      <c r="CV17" s="163"/>
      <c r="CW17" s="216"/>
      <c r="CX17" s="206"/>
      <c r="CY17" s="163"/>
      <c r="CZ17" s="216"/>
      <c r="DA17" s="206"/>
      <c r="DB17" s="162"/>
      <c r="DC17" s="176"/>
    </row>
    <row r="18" spans="1:107" s="12" customFormat="1" ht="21.95" customHeight="1" thickBot="1" x14ac:dyDescent="0.25">
      <c r="A18" s="167"/>
      <c r="B18" s="160"/>
      <c r="C18" s="160"/>
      <c r="D18" s="160" t="s">
        <v>6</v>
      </c>
      <c r="E18" s="171"/>
      <c r="F18" s="171"/>
      <c r="G18" s="160">
        <f t="shared" si="0"/>
        <v>0</v>
      </c>
      <c r="H18" s="164">
        <f t="shared" si="1"/>
        <v>0</v>
      </c>
      <c r="I18" s="141">
        <f t="shared" si="3"/>
        <v>0</v>
      </c>
      <c r="J18" s="141">
        <f t="shared" si="2"/>
        <v>0</v>
      </c>
      <c r="K18" s="141">
        <f t="shared" si="4"/>
        <v>0</v>
      </c>
      <c r="L18" s="160" t="s">
        <v>73</v>
      </c>
      <c r="M18" s="140"/>
      <c r="N18" s="218"/>
      <c r="O18" s="226"/>
      <c r="P18" s="140"/>
      <c r="Q18" s="218"/>
      <c r="R18" s="296"/>
      <c r="S18" s="140"/>
      <c r="T18" s="218"/>
      <c r="U18" s="296"/>
      <c r="V18" s="140"/>
      <c r="W18" s="218"/>
      <c r="X18" s="226"/>
      <c r="Y18" s="140"/>
      <c r="Z18" s="218"/>
      <c r="AA18" s="296"/>
      <c r="AB18" s="140"/>
      <c r="AC18" s="218"/>
      <c r="AD18" s="296"/>
      <c r="AE18" s="140"/>
      <c r="AF18" s="141"/>
      <c r="AG18" s="226"/>
      <c r="AH18" s="140"/>
      <c r="AI18" s="218"/>
      <c r="AJ18" s="226"/>
      <c r="AK18" s="140"/>
      <c r="AL18" s="218"/>
      <c r="AM18" s="226"/>
      <c r="AN18" s="140"/>
      <c r="AO18" s="218"/>
      <c r="AP18" s="226"/>
      <c r="AQ18" s="140"/>
      <c r="AR18" s="218"/>
      <c r="AS18" s="226"/>
      <c r="AT18" s="140"/>
      <c r="AU18" s="218"/>
      <c r="AV18" s="226"/>
      <c r="AW18" s="140"/>
      <c r="AX18" s="218"/>
      <c r="AY18" s="296"/>
      <c r="AZ18" s="140"/>
      <c r="BA18" s="218"/>
      <c r="BB18" s="226"/>
      <c r="BC18" s="140"/>
      <c r="BD18" s="218"/>
      <c r="BE18" s="226"/>
      <c r="BF18" s="140"/>
      <c r="BG18" s="218"/>
      <c r="BH18" s="226"/>
      <c r="BI18" s="140"/>
      <c r="BJ18" s="218"/>
      <c r="BK18" s="226"/>
      <c r="BL18" s="140"/>
      <c r="BM18" s="218"/>
      <c r="BN18" s="226"/>
      <c r="BO18" s="140"/>
      <c r="BP18" s="218"/>
      <c r="BQ18" s="226"/>
      <c r="BR18" s="140"/>
      <c r="BS18" s="218"/>
      <c r="BT18" s="226"/>
      <c r="BU18" s="140"/>
      <c r="BV18" s="218"/>
      <c r="BW18" s="296"/>
      <c r="BX18" s="140"/>
      <c r="BY18" s="218"/>
      <c r="BZ18" s="226"/>
      <c r="CA18" s="140"/>
      <c r="CB18" s="218"/>
      <c r="CC18" s="226"/>
      <c r="CD18" s="140"/>
      <c r="CE18" s="218"/>
      <c r="CF18" s="226"/>
      <c r="CG18" s="140"/>
      <c r="CH18" s="218"/>
      <c r="CI18" s="226"/>
      <c r="CJ18" s="140"/>
      <c r="CK18" s="218"/>
      <c r="CL18" s="226"/>
      <c r="CM18" s="140"/>
      <c r="CN18" s="218"/>
      <c r="CO18" s="226"/>
      <c r="CP18" s="140"/>
      <c r="CQ18" s="218"/>
      <c r="CR18" s="226"/>
      <c r="CS18" s="140"/>
      <c r="CT18" s="218"/>
      <c r="CU18" s="226"/>
      <c r="CV18" s="140"/>
      <c r="CW18" s="218"/>
      <c r="CX18" s="226"/>
      <c r="CY18" s="140"/>
      <c r="CZ18" s="218"/>
      <c r="DA18" s="226"/>
      <c r="DB18" s="141"/>
      <c r="DC18" s="210"/>
    </row>
    <row r="19" spans="1:107" s="12" customFormat="1" ht="21.95" customHeight="1" x14ac:dyDescent="0.2">
      <c r="A19" s="168"/>
      <c r="B19" s="158"/>
      <c r="C19" s="158"/>
      <c r="D19" s="353" t="s">
        <v>6</v>
      </c>
      <c r="E19" s="169"/>
      <c r="F19" s="169"/>
      <c r="G19" s="158">
        <f t="shared" si="0"/>
        <v>0</v>
      </c>
      <c r="H19" s="354">
        <f t="shared" si="1"/>
        <v>0</v>
      </c>
      <c r="I19" s="157">
        <f t="shared" si="3"/>
        <v>0</v>
      </c>
      <c r="J19" s="157">
        <f t="shared" si="2"/>
        <v>0</v>
      </c>
      <c r="K19" s="157">
        <f t="shared" si="4"/>
        <v>0</v>
      </c>
      <c r="L19" s="158" t="s">
        <v>74</v>
      </c>
      <c r="M19" s="156"/>
      <c r="N19" s="219"/>
      <c r="O19" s="211"/>
      <c r="P19" s="156"/>
      <c r="Q19" s="219"/>
      <c r="R19" s="211"/>
      <c r="S19" s="156"/>
      <c r="T19" s="219"/>
      <c r="U19" s="211"/>
      <c r="V19" s="156"/>
      <c r="W19" s="219"/>
      <c r="X19" s="211"/>
      <c r="Y19" s="156"/>
      <c r="Z19" s="219"/>
      <c r="AA19" s="211"/>
      <c r="AB19" s="156"/>
      <c r="AC19" s="219"/>
      <c r="AD19" s="211"/>
      <c r="AE19" s="156"/>
      <c r="AF19" s="157"/>
      <c r="AG19" s="211"/>
      <c r="AH19" s="156"/>
      <c r="AI19" s="219"/>
      <c r="AJ19" s="211"/>
      <c r="AK19" s="156"/>
      <c r="AL19" s="219"/>
      <c r="AM19" s="211"/>
      <c r="AN19" s="156"/>
      <c r="AO19" s="219"/>
      <c r="AP19" s="211"/>
      <c r="AQ19" s="156"/>
      <c r="AR19" s="219"/>
      <c r="AS19" s="211"/>
      <c r="AT19" s="156"/>
      <c r="AU19" s="219"/>
      <c r="AV19" s="211"/>
      <c r="AW19" s="156"/>
      <c r="AX19" s="219"/>
      <c r="AY19" s="211"/>
      <c r="AZ19" s="156"/>
      <c r="BA19" s="219"/>
      <c r="BB19" s="211"/>
      <c r="BC19" s="156"/>
      <c r="BD19" s="219"/>
      <c r="BE19" s="211"/>
      <c r="BF19" s="156"/>
      <c r="BG19" s="219"/>
      <c r="BH19" s="211"/>
      <c r="BI19" s="156"/>
      <c r="BJ19" s="219"/>
      <c r="BK19" s="211"/>
      <c r="BL19" s="156"/>
      <c r="BM19" s="219"/>
      <c r="BN19" s="211"/>
      <c r="BO19" s="156"/>
      <c r="BP19" s="219"/>
      <c r="BQ19" s="211"/>
      <c r="BR19" s="156"/>
      <c r="BS19" s="219"/>
      <c r="BT19" s="211"/>
      <c r="BU19" s="156"/>
      <c r="BV19" s="219"/>
      <c r="BW19" s="211"/>
      <c r="BX19" s="156"/>
      <c r="BY19" s="219"/>
      <c r="BZ19" s="211"/>
      <c r="CA19" s="156"/>
      <c r="CB19" s="219"/>
      <c r="CC19" s="211"/>
      <c r="CD19" s="156"/>
      <c r="CE19" s="219"/>
      <c r="CF19" s="211"/>
      <c r="CG19" s="156"/>
      <c r="CH19" s="219"/>
      <c r="CI19" s="211"/>
      <c r="CJ19" s="156"/>
      <c r="CK19" s="219"/>
      <c r="CL19" s="211"/>
      <c r="CM19" s="156"/>
      <c r="CN19" s="219"/>
      <c r="CO19" s="211"/>
      <c r="CP19" s="156"/>
      <c r="CQ19" s="219"/>
      <c r="CR19" s="211"/>
      <c r="CS19" s="156"/>
      <c r="CT19" s="219"/>
      <c r="CU19" s="211"/>
      <c r="CV19" s="156"/>
      <c r="CW19" s="219"/>
      <c r="CX19" s="211"/>
      <c r="CY19" s="156"/>
      <c r="CZ19" s="219"/>
      <c r="DA19" s="211"/>
      <c r="DB19" s="157"/>
      <c r="DC19" s="175"/>
    </row>
    <row r="20" spans="1:107" s="12" customFormat="1" ht="21.95" customHeight="1" x14ac:dyDescent="0.2">
      <c r="A20" s="165"/>
      <c r="B20" s="159"/>
      <c r="C20" s="159"/>
      <c r="D20" s="159" t="s">
        <v>6</v>
      </c>
      <c r="E20" s="162"/>
      <c r="F20" s="162"/>
      <c r="G20" s="159">
        <f t="shared" si="0"/>
        <v>0</v>
      </c>
      <c r="H20" s="161">
        <f t="shared" si="1"/>
        <v>0</v>
      </c>
      <c r="I20" s="138">
        <f t="shared" si="3"/>
        <v>0</v>
      </c>
      <c r="J20" s="138">
        <f t="shared" si="2"/>
        <v>0</v>
      </c>
      <c r="K20" s="138">
        <f t="shared" si="4"/>
        <v>0</v>
      </c>
      <c r="L20" s="159" t="s">
        <v>74</v>
      </c>
      <c r="M20" s="139"/>
      <c r="N20" s="217"/>
      <c r="O20" s="207"/>
      <c r="P20" s="139"/>
      <c r="Q20" s="217"/>
      <c r="R20" s="207"/>
      <c r="S20" s="139"/>
      <c r="T20" s="217"/>
      <c r="U20" s="207"/>
      <c r="V20" s="139"/>
      <c r="W20" s="217"/>
      <c r="X20" s="207"/>
      <c r="Y20" s="139"/>
      <c r="Z20" s="217"/>
      <c r="AA20" s="207"/>
      <c r="AB20" s="139"/>
      <c r="AC20" s="217"/>
      <c r="AD20" s="207"/>
      <c r="AE20" s="139"/>
      <c r="AF20" s="138"/>
      <c r="AG20" s="207"/>
      <c r="AH20" s="139"/>
      <c r="AI20" s="217"/>
      <c r="AJ20" s="207"/>
      <c r="AK20" s="139"/>
      <c r="AL20" s="217"/>
      <c r="AM20" s="207"/>
      <c r="AN20" s="139"/>
      <c r="AO20" s="217"/>
      <c r="AP20" s="207"/>
      <c r="AQ20" s="139"/>
      <c r="AR20" s="217"/>
      <c r="AS20" s="207"/>
      <c r="AT20" s="139"/>
      <c r="AU20" s="217"/>
      <c r="AV20" s="207"/>
      <c r="AW20" s="139"/>
      <c r="AX20" s="217"/>
      <c r="AY20" s="207"/>
      <c r="AZ20" s="139"/>
      <c r="BA20" s="217"/>
      <c r="BB20" s="207"/>
      <c r="BC20" s="139"/>
      <c r="BD20" s="217"/>
      <c r="BE20" s="207"/>
      <c r="BF20" s="139"/>
      <c r="BG20" s="217"/>
      <c r="BH20" s="207"/>
      <c r="BI20" s="139"/>
      <c r="BJ20" s="217"/>
      <c r="BK20" s="207"/>
      <c r="BL20" s="139"/>
      <c r="BM20" s="217"/>
      <c r="BN20" s="207"/>
      <c r="BO20" s="139"/>
      <c r="BP20" s="217"/>
      <c r="BQ20" s="207"/>
      <c r="BR20" s="139"/>
      <c r="BS20" s="217"/>
      <c r="BT20" s="207"/>
      <c r="BU20" s="139"/>
      <c r="BV20" s="217"/>
      <c r="BW20" s="207"/>
      <c r="BX20" s="139"/>
      <c r="BY20" s="217"/>
      <c r="BZ20" s="207"/>
      <c r="CA20" s="139"/>
      <c r="CB20" s="217"/>
      <c r="CC20" s="207"/>
      <c r="CD20" s="139"/>
      <c r="CE20" s="217"/>
      <c r="CF20" s="207"/>
      <c r="CG20" s="139"/>
      <c r="CH20" s="217"/>
      <c r="CI20" s="207"/>
      <c r="CJ20" s="139"/>
      <c r="CK20" s="217"/>
      <c r="CL20" s="207"/>
      <c r="CM20" s="139"/>
      <c r="CN20" s="217"/>
      <c r="CO20" s="207"/>
      <c r="CP20" s="139"/>
      <c r="CQ20" s="217"/>
      <c r="CR20" s="206"/>
      <c r="CS20" s="139"/>
      <c r="CT20" s="217"/>
      <c r="CU20" s="207"/>
      <c r="CV20" s="139"/>
      <c r="CW20" s="217"/>
      <c r="CX20" s="207"/>
      <c r="CY20" s="139"/>
      <c r="CZ20" s="217"/>
      <c r="DA20" s="207"/>
      <c r="DB20" s="138"/>
      <c r="DC20" s="176"/>
    </row>
    <row r="21" spans="1:107" s="12" customFormat="1" ht="21.95" customHeight="1" thickBot="1" x14ac:dyDescent="0.25">
      <c r="A21" s="167"/>
      <c r="B21" s="160"/>
      <c r="C21" s="160"/>
      <c r="D21" s="160" t="s">
        <v>6</v>
      </c>
      <c r="E21" s="171"/>
      <c r="F21" s="171"/>
      <c r="G21" s="160">
        <f t="shared" si="0"/>
        <v>0</v>
      </c>
      <c r="H21" s="164">
        <f t="shared" si="1"/>
        <v>0</v>
      </c>
      <c r="I21" s="141">
        <f t="shared" si="3"/>
        <v>0</v>
      </c>
      <c r="J21" s="141">
        <f t="shared" si="2"/>
        <v>0</v>
      </c>
      <c r="K21" s="141">
        <f t="shared" si="4"/>
        <v>0</v>
      </c>
      <c r="L21" s="160" t="s">
        <v>74</v>
      </c>
      <c r="M21" s="140"/>
      <c r="N21" s="218"/>
      <c r="O21" s="226"/>
      <c r="P21" s="140"/>
      <c r="Q21" s="218"/>
      <c r="R21" s="296"/>
      <c r="S21" s="140"/>
      <c r="T21" s="218"/>
      <c r="U21" s="296"/>
      <c r="V21" s="140"/>
      <c r="W21" s="218"/>
      <c r="X21" s="226"/>
      <c r="Y21" s="140"/>
      <c r="Z21" s="218"/>
      <c r="AA21" s="296"/>
      <c r="AB21" s="140"/>
      <c r="AC21" s="218"/>
      <c r="AD21" s="296"/>
      <c r="AE21" s="140"/>
      <c r="AF21" s="141"/>
      <c r="AG21" s="226"/>
      <c r="AH21" s="140"/>
      <c r="AI21" s="218"/>
      <c r="AJ21" s="226"/>
      <c r="AK21" s="140"/>
      <c r="AL21" s="218"/>
      <c r="AM21" s="226"/>
      <c r="AN21" s="140"/>
      <c r="AO21" s="218"/>
      <c r="AP21" s="226"/>
      <c r="AQ21" s="140"/>
      <c r="AR21" s="218"/>
      <c r="AS21" s="226"/>
      <c r="AT21" s="140"/>
      <c r="AU21" s="218"/>
      <c r="AV21" s="226"/>
      <c r="AW21" s="140"/>
      <c r="AX21" s="218"/>
      <c r="AY21" s="296"/>
      <c r="AZ21" s="140"/>
      <c r="BA21" s="218"/>
      <c r="BB21" s="226"/>
      <c r="BC21" s="140"/>
      <c r="BD21" s="218"/>
      <c r="BE21" s="226"/>
      <c r="BF21" s="140"/>
      <c r="BG21" s="218"/>
      <c r="BH21" s="226"/>
      <c r="BI21" s="140"/>
      <c r="BJ21" s="218"/>
      <c r="BK21" s="226"/>
      <c r="BL21" s="140"/>
      <c r="BM21" s="218"/>
      <c r="BN21" s="226"/>
      <c r="BO21" s="140"/>
      <c r="BP21" s="218"/>
      <c r="BQ21" s="226"/>
      <c r="BR21" s="140"/>
      <c r="BS21" s="218"/>
      <c r="BT21" s="226"/>
      <c r="BU21" s="140"/>
      <c r="BV21" s="218"/>
      <c r="BW21" s="296"/>
      <c r="BX21" s="140"/>
      <c r="BY21" s="218"/>
      <c r="BZ21" s="226"/>
      <c r="CA21" s="140"/>
      <c r="CB21" s="218"/>
      <c r="CC21" s="226"/>
      <c r="CD21" s="140"/>
      <c r="CE21" s="218"/>
      <c r="CF21" s="226"/>
      <c r="CG21" s="140"/>
      <c r="CH21" s="218"/>
      <c r="CI21" s="226"/>
      <c r="CJ21" s="140"/>
      <c r="CK21" s="218"/>
      <c r="CL21" s="226"/>
      <c r="CM21" s="140"/>
      <c r="CN21" s="218"/>
      <c r="CO21" s="226"/>
      <c r="CP21" s="140"/>
      <c r="CQ21" s="218"/>
      <c r="CR21" s="226"/>
      <c r="CS21" s="140"/>
      <c r="CT21" s="218"/>
      <c r="CU21" s="226"/>
      <c r="CV21" s="140"/>
      <c r="CW21" s="218"/>
      <c r="CX21" s="226"/>
      <c r="CY21" s="140"/>
      <c r="CZ21" s="218"/>
      <c r="DA21" s="226"/>
      <c r="DB21" s="141"/>
      <c r="DC21" s="210"/>
    </row>
    <row r="22" spans="1:107" s="12" customFormat="1" ht="21.95" customHeight="1" x14ac:dyDescent="0.2">
      <c r="A22" s="168"/>
      <c r="B22" s="158"/>
      <c r="C22" s="158"/>
      <c r="D22" s="353" t="s">
        <v>6</v>
      </c>
      <c r="E22" s="169"/>
      <c r="F22" s="169"/>
      <c r="G22" s="158">
        <f t="shared" si="0"/>
        <v>0</v>
      </c>
      <c r="H22" s="354">
        <f t="shared" si="1"/>
        <v>0</v>
      </c>
      <c r="I22" s="157">
        <f t="shared" si="3"/>
        <v>0</v>
      </c>
      <c r="J22" s="157">
        <f t="shared" si="2"/>
        <v>0</v>
      </c>
      <c r="K22" s="157">
        <f t="shared" si="4"/>
        <v>0</v>
      </c>
      <c r="L22" s="158" t="s">
        <v>75</v>
      </c>
      <c r="M22" s="156"/>
      <c r="N22" s="219"/>
      <c r="O22" s="211"/>
      <c r="P22" s="156"/>
      <c r="Q22" s="219"/>
      <c r="R22" s="211"/>
      <c r="S22" s="156"/>
      <c r="T22" s="219"/>
      <c r="U22" s="211"/>
      <c r="V22" s="156"/>
      <c r="W22" s="219"/>
      <c r="X22" s="211"/>
      <c r="Y22" s="156"/>
      <c r="Z22" s="219"/>
      <c r="AA22" s="211"/>
      <c r="AB22" s="156"/>
      <c r="AC22" s="219"/>
      <c r="AD22" s="211"/>
      <c r="AE22" s="156"/>
      <c r="AF22" s="157"/>
      <c r="AG22" s="211"/>
      <c r="AH22" s="156"/>
      <c r="AI22" s="219"/>
      <c r="AJ22" s="211"/>
      <c r="AK22" s="156"/>
      <c r="AL22" s="219"/>
      <c r="AM22" s="211"/>
      <c r="AN22" s="156"/>
      <c r="AO22" s="219"/>
      <c r="AP22" s="211"/>
      <c r="AQ22" s="156"/>
      <c r="AR22" s="219"/>
      <c r="AS22" s="211"/>
      <c r="AT22" s="156"/>
      <c r="AU22" s="219"/>
      <c r="AV22" s="211"/>
      <c r="AW22" s="156"/>
      <c r="AX22" s="219"/>
      <c r="AY22" s="211"/>
      <c r="AZ22" s="156"/>
      <c r="BA22" s="219"/>
      <c r="BB22" s="211"/>
      <c r="BC22" s="156"/>
      <c r="BD22" s="219"/>
      <c r="BE22" s="211"/>
      <c r="BF22" s="156"/>
      <c r="BG22" s="219"/>
      <c r="BH22" s="211"/>
      <c r="BI22" s="156"/>
      <c r="BJ22" s="219"/>
      <c r="BK22" s="211"/>
      <c r="BL22" s="156"/>
      <c r="BM22" s="219"/>
      <c r="BN22" s="211"/>
      <c r="BO22" s="156"/>
      <c r="BP22" s="219"/>
      <c r="BQ22" s="211"/>
      <c r="BR22" s="156"/>
      <c r="BS22" s="219"/>
      <c r="BT22" s="211"/>
      <c r="BU22" s="156"/>
      <c r="BV22" s="219"/>
      <c r="BW22" s="211"/>
      <c r="BX22" s="156"/>
      <c r="BY22" s="219"/>
      <c r="BZ22" s="211"/>
      <c r="CA22" s="156"/>
      <c r="CB22" s="219"/>
      <c r="CC22" s="211"/>
      <c r="CD22" s="156"/>
      <c r="CE22" s="219"/>
      <c r="CF22" s="211"/>
      <c r="CG22" s="156"/>
      <c r="CH22" s="219"/>
      <c r="CI22" s="211"/>
      <c r="CJ22" s="156"/>
      <c r="CK22" s="219"/>
      <c r="CL22" s="211"/>
      <c r="CM22" s="156"/>
      <c r="CN22" s="219"/>
      <c r="CO22" s="211"/>
      <c r="CP22" s="156"/>
      <c r="CQ22" s="219"/>
      <c r="CR22" s="211"/>
      <c r="CS22" s="156"/>
      <c r="CT22" s="219"/>
      <c r="CU22" s="211"/>
      <c r="CV22" s="156"/>
      <c r="CW22" s="219"/>
      <c r="CX22" s="211"/>
      <c r="CY22" s="156"/>
      <c r="CZ22" s="219"/>
      <c r="DA22" s="211"/>
      <c r="DB22" s="157"/>
      <c r="DC22" s="175"/>
    </row>
    <row r="23" spans="1:107" s="12" customFormat="1" ht="21.95" customHeight="1" x14ac:dyDescent="0.2">
      <c r="A23" s="165"/>
      <c r="B23" s="159"/>
      <c r="C23" s="159"/>
      <c r="D23" s="159" t="s">
        <v>6</v>
      </c>
      <c r="E23" s="162"/>
      <c r="F23" s="162"/>
      <c r="G23" s="159">
        <f t="shared" si="0"/>
        <v>0</v>
      </c>
      <c r="H23" s="161">
        <f t="shared" si="1"/>
        <v>0</v>
      </c>
      <c r="I23" s="138">
        <f>COUNTA(N23,Q23,T23,W23,Z23,AC23,AF23,AI23,AL23,AO23,AR23,AU23,AX23,BA23,BD23,BG23,BJ23,BM23,BP23,BS23,BV23,BY23,CB23,CE23,CH23,CK23,CN23,CQ23,CT23,CW23,CZ23)</f>
        <v>0</v>
      </c>
      <c r="J23" s="138">
        <f t="shared" si="2"/>
        <v>0</v>
      </c>
      <c r="K23" s="138">
        <f t="shared" si="4"/>
        <v>0</v>
      </c>
      <c r="L23" s="159" t="s">
        <v>75</v>
      </c>
      <c r="M23" s="139"/>
      <c r="N23" s="217"/>
      <c r="O23" s="207"/>
      <c r="P23" s="139"/>
      <c r="Q23" s="217"/>
      <c r="R23" s="207"/>
      <c r="S23" s="139"/>
      <c r="T23" s="217"/>
      <c r="U23" s="207"/>
      <c r="V23" s="139"/>
      <c r="W23" s="217"/>
      <c r="X23" s="207"/>
      <c r="Y23" s="139"/>
      <c r="Z23" s="217"/>
      <c r="AA23" s="207"/>
      <c r="AB23" s="139"/>
      <c r="AC23" s="217"/>
      <c r="AD23" s="207"/>
      <c r="AE23" s="139"/>
      <c r="AF23" s="138"/>
      <c r="AG23" s="207"/>
      <c r="AH23" s="139"/>
      <c r="AI23" s="217"/>
      <c r="AJ23" s="207"/>
      <c r="AK23" s="139"/>
      <c r="AL23" s="217"/>
      <c r="AM23" s="207"/>
      <c r="AN23" s="139"/>
      <c r="AO23" s="217"/>
      <c r="AP23" s="207"/>
      <c r="AQ23" s="139"/>
      <c r="AR23" s="217"/>
      <c r="AS23" s="207"/>
      <c r="AT23" s="139"/>
      <c r="AU23" s="217"/>
      <c r="AV23" s="207"/>
      <c r="AW23" s="139"/>
      <c r="AX23" s="217"/>
      <c r="AY23" s="207"/>
      <c r="AZ23" s="139"/>
      <c r="BA23" s="217"/>
      <c r="BB23" s="207"/>
      <c r="BC23" s="139"/>
      <c r="BD23" s="217"/>
      <c r="BE23" s="207"/>
      <c r="BF23" s="139"/>
      <c r="BG23" s="217"/>
      <c r="BH23" s="207"/>
      <c r="BI23" s="139"/>
      <c r="BJ23" s="217"/>
      <c r="BK23" s="207"/>
      <c r="BL23" s="139"/>
      <c r="BM23" s="217"/>
      <c r="BN23" s="207"/>
      <c r="BO23" s="139"/>
      <c r="BP23" s="217"/>
      <c r="BQ23" s="207"/>
      <c r="BR23" s="139"/>
      <c r="BS23" s="217"/>
      <c r="BT23" s="207"/>
      <c r="BU23" s="139"/>
      <c r="BV23" s="217"/>
      <c r="BW23" s="207"/>
      <c r="BX23" s="139"/>
      <c r="BY23" s="217"/>
      <c r="BZ23" s="207"/>
      <c r="CA23" s="139"/>
      <c r="CB23" s="217"/>
      <c r="CC23" s="207"/>
      <c r="CD23" s="139"/>
      <c r="CE23" s="217"/>
      <c r="CF23" s="207"/>
      <c r="CG23" s="139"/>
      <c r="CH23" s="217"/>
      <c r="CI23" s="207"/>
      <c r="CJ23" s="139"/>
      <c r="CK23" s="217"/>
      <c r="CL23" s="207"/>
      <c r="CM23" s="139"/>
      <c r="CN23" s="217"/>
      <c r="CO23" s="207"/>
      <c r="CP23" s="139"/>
      <c r="CQ23" s="217"/>
      <c r="CR23" s="206"/>
      <c r="CS23" s="139"/>
      <c r="CT23" s="217"/>
      <c r="CU23" s="207"/>
      <c r="CV23" s="139"/>
      <c r="CW23" s="217"/>
      <c r="CX23" s="207"/>
      <c r="CY23" s="139"/>
      <c r="CZ23" s="217"/>
      <c r="DA23" s="207"/>
      <c r="DB23" s="138"/>
      <c r="DC23" s="176"/>
    </row>
    <row r="24" spans="1:107" s="12" customFormat="1" ht="21.95" customHeight="1" thickBot="1" x14ac:dyDescent="0.25">
      <c r="A24" s="167"/>
      <c r="B24" s="160"/>
      <c r="C24" s="160"/>
      <c r="D24" s="160" t="s">
        <v>6</v>
      </c>
      <c r="E24" s="171"/>
      <c r="F24" s="171"/>
      <c r="G24" s="160">
        <f t="shared" si="0"/>
        <v>0</v>
      </c>
      <c r="H24" s="164">
        <f t="shared" si="1"/>
        <v>0</v>
      </c>
      <c r="I24" s="141">
        <f>COUNTA(N24,Q24,T24,W24,Z24,AC24,AF24,AI24,AL24,AO24,AR24,AU24,AX24,BA24,BD24,BG24,BJ24,BM24,BP24,BS24,BV24,BY24,CB24,CE24,CH24,CK24,CN24,CQ24,CT24,CW24,CZ24)</f>
        <v>0</v>
      </c>
      <c r="J24" s="141">
        <f t="shared" si="2"/>
        <v>0</v>
      </c>
      <c r="K24" s="141">
        <f t="shared" si="4"/>
        <v>0</v>
      </c>
      <c r="L24" s="160" t="s">
        <v>75</v>
      </c>
      <c r="M24" s="140"/>
      <c r="N24" s="218"/>
      <c r="O24" s="226"/>
      <c r="P24" s="140"/>
      <c r="Q24" s="218"/>
      <c r="R24" s="296"/>
      <c r="S24" s="140"/>
      <c r="T24" s="218"/>
      <c r="U24" s="296"/>
      <c r="V24" s="140"/>
      <c r="W24" s="218"/>
      <c r="X24" s="226"/>
      <c r="Y24" s="140"/>
      <c r="Z24" s="218"/>
      <c r="AA24" s="296"/>
      <c r="AB24" s="140"/>
      <c r="AC24" s="218"/>
      <c r="AD24" s="296"/>
      <c r="AE24" s="140"/>
      <c r="AF24" s="141"/>
      <c r="AG24" s="226"/>
      <c r="AH24" s="140"/>
      <c r="AI24" s="218"/>
      <c r="AJ24" s="226"/>
      <c r="AK24" s="140"/>
      <c r="AL24" s="218"/>
      <c r="AM24" s="226"/>
      <c r="AN24" s="140"/>
      <c r="AO24" s="218"/>
      <c r="AP24" s="226"/>
      <c r="AQ24" s="140"/>
      <c r="AR24" s="218"/>
      <c r="AS24" s="226"/>
      <c r="AT24" s="140"/>
      <c r="AU24" s="218"/>
      <c r="AV24" s="226"/>
      <c r="AW24" s="140"/>
      <c r="AX24" s="218"/>
      <c r="AY24" s="296"/>
      <c r="AZ24" s="140"/>
      <c r="BA24" s="218"/>
      <c r="BB24" s="226"/>
      <c r="BC24" s="140"/>
      <c r="BD24" s="218"/>
      <c r="BE24" s="226"/>
      <c r="BF24" s="140"/>
      <c r="BG24" s="218"/>
      <c r="BH24" s="226"/>
      <c r="BI24" s="140"/>
      <c r="BJ24" s="218"/>
      <c r="BK24" s="226"/>
      <c r="BL24" s="140"/>
      <c r="BM24" s="218"/>
      <c r="BN24" s="226"/>
      <c r="BO24" s="140"/>
      <c r="BP24" s="218"/>
      <c r="BQ24" s="226"/>
      <c r="BR24" s="140"/>
      <c r="BS24" s="218"/>
      <c r="BT24" s="226"/>
      <c r="BU24" s="140"/>
      <c r="BV24" s="218"/>
      <c r="BW24" s="296"/>
      <c r="BX24" s="140"/>
      <c r="BY24" s="218"/>
      <c r="BZ24" s="226"/>
      <c r="CA24" s="140"/>
      <c r="CB24" s="218"/>
      <c r="CC24" s="226"/>
      <c r="CD24" s="140"/>
      <c r="CE24" s="218"/>
      <c r="CF24" s="226"/>
      <c r="CG24" s="140"/>
      <c r="CH24" s="218"/>
      <c r="CI24" s="226"/>
      <c r="CJ24" s="140"/>
      <c r="CK24" s="218"/>
      <c r="CL24" s="226"/>
      <c r="CM24" s="140"/>
      <c r="CN24" s="218"/>
      <c r="CO24" s="226"/>
      <c r="CP24" s="140"/>
      <c r="CQ24" s="218"/>
      <c r="CR24" s="226"/>
      <c r="CS24" s="140"/>
      <c r="CT24" s="218"/>
      <c r="CU24" s="226"/>
      <c r="CV24" s="140"/>
      <c r="CW24" s="218"/>
      <c r="CX24" s="226"/>
      <c r="CY24" s="140"/>
      <c r="CZ24" s="218"/>
      <c r="DA24" s="226"/>
      <c r="DB24" s="141"/>
      <c r="DC24" s="210"/>
    </row>
    <row r="25" spans="1:107" s="12" customFormat="1" ht="21.95" customHeight="1" x14ac:dyDescent="0.2">
      <c r="A25" s="168"/>
      <c r="B25" s="158"/>
      <c r="C25" s="158"/>
      <c r="D25" s="353" t="s">
        <v>6</v>
      </c>
      <c r="E25" s="169"/>
      <c r="F25" s="169"/>
      <c r="G25" s="158">
        <f t="shared" si="0"/>
        <v>0</v>
      </c>
      <c r="H25" s="354">
        <f t="shared" ref="H25:H33" si="5">SUM(M25+P25+S25+V25+Y25+AB25+AE25+AH25+AK25+AN25+AQ25+AT25+AW25+AZ25+BC25+BF25+BI25+BL25+BO25+BR25+BU25+BX25+CA25+CD25+CG25+CJ25+CM25+CP25+CS25+CV25+CY25)</f>
        <v>0</v>
      </c>
      <c r="I25" s="157">
        <f>COUNTA(N25,Q25,T25,W25,Z25,AC25,AF25,AI25,AL25,AO25,AR25,AU25,AX25,BA25,BD25,BG25,BJ25,BM25,BP25,BS25,BV25,BY25,CB25,CE25,CH25,CK25,CN25,CQ25,CT25,CW25,CZ25)</f>
        <v>0</v>
      </c>
      <c r="J25" s="157">
        <f t="shared" ref="J25:J33" si="6">COUNTIF(M25:DC25,"POSTO S. RITA")</f>
        <v>0</v>
      </c>
      <c r="K25" s="157">
        <f t="shared" si="4"/>
        <v>0</v>
      </c>
      <c r="L25" s="158" t="s">
        <v>76</v>
      </c>
      <c r="M25" s="156"/>
      <c r="N25" s="219"/>
      <c r="O25" s="211"/>
      <c r="P25" s="156"/>
      <c r="Q25" s="219"/>
      <c r="R25" s="211"/>
      <c r="S25" s="156"/>
      <c r="T25" s="219"/>
      <c r="U25" s="211"/>
      <c r="V25" s="156"/>
      <c r="W25" s="219"/>
      <c r="X25" s="211"/>
      <c r="Y25" s="156"/>
      <c r="Z25" s="219"/>
      <c r="AA25" s="211"/>
      <c r="AB25" s="156"/>
      <c r="AC25" s="219"/>
      <c r="AD25" s="211"/>
      <c r="AE25" s="156"/>
      <c r="AF25" s="157"/>
      <c r="AG25" s="211"/>
      <c r="AH25" s="156"/>
      <c r="AI25" s="219"/>
      <c r="AJ25" s="211"/>
      <c r="AK25" s="156"/>
      <c r="AL25" s="219"/>
      <c r="AM25" s="211"/>
      <c r="AN25" s="156"/>
      <c r="AO25" s="219"/>
      <c r="AP25" s="211"/>
      <c r="AQ25" s="156"/>
      <c r="AR25" s="219"/>
      <c r="AS25" s="211"/>
      <c r="AT25" s="156"/>
      <c r="AU25" s="219"/>
      <c r="AV25" s="211"/>
      <c r="AW25" s="156"/>
      <c r="AX25" s="219"/>
      <c r="AY25" s="211"/>
      <c r="AZ25" s="156"/>
      <c r="BA25" s="219"/>
      <c r="BB25" s="211"/>
      <c r="BC25" s="156"/>
      <c r="BD25" s="219"/>
      <c r="BE25" s="211"/>
      <c r="BF25" s="156"/>
      <c r="BG25" s="219"/>
      <c r="BH25" s="211"/>
      <c r="BI25" s="156"/>
      <c r="BJ25" s="219"/>
      <c r="BK25" s="211"/>
      <c r="BL25" s="156"/>
      <c r="BM25" s="219"/>
      <c r="BN25" s="211"/>
      <c r="BO25" s="156"/>
      <c r="BP25" s="219"/>
      <c r="BQ25" s="211"/>
      <c r="BR25" s="156"/>
      <c r="BS25" s="219"/>
      <c r="BT25" s="211"/>
      <c r="BU25" s="156"/>
      <c r="BV25" s="219"/>
      <c r="BW25" s="211"/>
      <c r="BX25" s="156"/>
      <c r="BY25" s="219"/>
      <c r="BZ25" s="211"/>
      <c r="CA25" s="156"/>
      <c r="CB25" s="219"/>
      <c r="CC25" s="211"/>
      <c r="CD25" s="156"/>
      <c r="CE25" s="219"/>
      <c r="CF25" s="211"/>
      <c r="CG25" s="156"/>
      <c r="CH25" s="219"/>
      <c r="CI25" s="211"/>
      <c r="CJ25" s="156"/>
      <c r="CK25" s="219"/>
      <c r="CL25" s="211"/>
      <c r="CM25" s="156"/>
      <c r="CN25" s="219"/>
      <c r="CO25" s="211"/>
      <c r="CP25" s="156"/>
      <c r="CQ25" s="219"/>
      <c r="CR25" s="211"/>
      <c r="CS25" s="156"/>
      <c r="CT25" s="219"/>
      <c r="CU25" s="211"/>
      <c r="CV25" s="156"/>
      <c r="CW25" s="219"/>
      <c r="CX25" s="211"/>
      <c r="CY25" s="156"/>
      <c r="CZ25" s="219"/>
      <c r="DA25" s="211"/>
      <c r="DB25" s="157"/>
      <c r="DC25" s="175"/>
    </row>
    <row r="26" spans="1:107" s="12" customFormat="1" ht="21.95" customHeight="1" x14ac:dyDescent="0.2">
      <c r="A26" s="165"/>
      <c r="B26" s="159"/>
      <c r="C26" s="159"/>
      <c r="D26" s="159" t="s">
        <v>6</v>
      </c>
      <c r="E26" s="162"/>
      <c r="F26" s="162"/>
      <c r="G26" s="159">
        <f t="shared" ref="G26:G33" si="7">F26-E26</f>
        <v>0</v>
      </c>
      <c r="H26" s="161">
        <f t="shared" si="5"/>
        <v>0</v>
      </c>
      <c r="I26" s="138">
        <f t="shared" ref="I26:I31" si="8">COUNTA(N26,Q26,T26,W26,Z26,AC26,AF26,AI26,AL26,AO26,AR26,AU26,AX26,BA26,BD26,BG26,BJ26,BM26,BP26,BS26,BV26,BY26,CB26,CE26,CH26,CK26,CN26,CQ26,CT26,CW26,CZ26)</f>
        <v>0</v>
      </c>
      <c r="J26" s="138">
        <f t="shared" si="6"/>
        <v>0</v>
      </c>
      <c r="K26" s="138">
        <f t="shared" ref="K26:K33" si="9">COUNTIF(N26:DD26,"POSTO VIP")</f>
        <v>0</v>
      </c>
      <c r="L26" s="159" t="s">
        <v>76</v>
      </c>
      <c r="M26" s="139"/>
      <c r="N26" s="217"/>
      <c r="O26" s="207"/>
      <c r="P26" s="139"/>
      <c r="Q26" s="217"/>
      <c r="R26" s="207"/>
      <c r="S26" s="139"/>
      <c r="T26" s="217"/>
      <c r="U26" s="207"/>
      <c r="V26" s="139"/>
      <c r="W26" s="217"/>
      <c r="X26" s="207"/>
      <c r="Y26" s="139"/>
      <c r="Z26" s="217"/>
      <c r="AA26" s="207"/>
      <c r="AB26" s="139"/>
      <c r="AC26" s="217"/>
      <c r="AD26" s="207"/>
      <c r="AE26" s="139"/>
      <c r="AF26" s="138"/>
      <c r="AG26" s="207"/>
      <c r="AH26" s="139"/>
      <c r="AI26" s="217"/>
      <c r="AJ26" s="207"/>
      <c r="AK26" s="139"/>
      <c r="AL26" s="217"/>
      <c r="AM26" s="207"/>
      <c r="AN26" s="139"/>
      <c r="AO26" s="217"/>
      <c r="AP26" s="207"/>
      <c r="AQ26" s="139"/>
      <c r="AR26" s="217"/>
      <c r="AS26" s="207"/>
      <c r="AT26" s="139"/>
      <c r="AU26" s="217"/>
      <c r="AV26" s="207"/>
      <c r="AW26" s="139"/>
      <c r="AX26" s="217"/>
      <c r="AY26" s="207"/>
      <c r="AZ26" s="139"/>
      <c r="BA26" s="217"/>
      <c r="BB26" s="207"/>
      <c r="BC26" s="139"/>
      <c r="BD26" s="217"/>
      <c r="BE26" s="207"/>
      <c r="BF26" s="139"/>
      <c r="BG26" s="217"/>
      <c r="BH26" s="207"/>
      <c r="BI26" s="139"/>
      <c r="BJ26" s="217"/>
      <c r="BK26" s="207"/>
      <c r="BL26" s="139"/>
      <c r="BM26" s="217"/>
      <c r="BN26" s="207"/>
      <c r="BO26" s="139"/>
      <c r="BP26" s="217"/>
      <c r="BQ26" s="207"/>
      <c r="BR26" s="139"/>
      <c r="BS26" s="217"/>
      <c r="BT26" s="207"/>
      <c r="BU26" s="139"/>
      <c r="BV26" s="217"/>
      <c r="BW26" s="207"/>
      <c r="BX26" s="139"/>
      <c r="BY26" s="217"/>
      <c r="BZ26" s="207"/>
      <c r="CA26" s="139"/>
      <c r="CB26" s="217"/>
      <c r="CC26" s="207"/>
      <c r="CD26" s="139"/>
      <c r="CE26" s="217"/>
      <c r="CF26" s="207"/>
      <c r="CG26" s="139"/>
      <c r="CH26" s="217"/>
      <c r="CI26" s="207"/>
      <c r="CJ26" s="139"/>
      <c r="CK26" s="217"/>
      <c r="CL26" s="207"/>
      <c r="CM26" s="139"/>
      <c r="CN26" s="217"/>
      <c r="CO26" s="207"/>
      <c r="CP26" s="139"/>
      <c r="CQ26" s="217"/>
      <c r="CR26" s="206"/>
      <c r="CS26" s="139"/>
      <c r="CT26" s="217"/>
      <c r="CU26" s="207"/>
      <c r="CV26" s="139"/>
      <c r="CW26" s="217"/>
      <c r="CX26" s="207"/>
      <c r="CY26" s="139"/>
      <c r="CZ26" s="217"/>
      <c r="DA26" s="207"/>
      <c r="DB26" s="138"/>
      <c r="DC26" s="176"/>
    </row>
    <row r="27" spans="1:107" s="12" customFormat="1" ht="21.95" customHeight="1" thickBot="1" x14ac:dyDescent="0.25">
      <c r="A27" s="167"/>
      <c r="B27" s="160"/>
      <c r="C27" s="160"/>
      <c r="D27" s="160" t="s">
        <v>6</v>
      </c>
      <c r="E27" s="171"/>
      <c r="F27" s="171"/>
      <c r="G27" s="160">
        <f t="shared" si="7"/>
        <v>0</v>
      </c>
      <c r="H27" s="164">
        <f t="shared" si="5"/>
        <v>0</v>
      </c>
      <c r="I27" s="141">
        <f t="shared" si="8"/>
        <v>0</v>
      </c>
      <c r="J27" s="141">
        <f t="shared" si="6"/>
        <v>0</v>
      </c>
      <c r="K27" s="141">
        <f t="shared" si="9"/>
        <v>0</v>
      </c>
      <c r="L27" s="160" t="s">
        <v>76</v>
      </c>
      <c r="M27" s="140"/>
      <c r="N27" s="218"/>
      <c r="O27" s="226"/>
      <c r="P27" s="140"/>
      <c r="Q27" s="218"/>
      <c r="R27" s="296"/>
      <c r="S27" s="140"/>
      <c r="T27" s="218"/>
      <c r="U27" s="296"/>
      <c r="V27" s="140"/>
      <c r="W27" s="218"/>
      <c r="X27" s="226"/>
      <c r="Y27" s="140"/>
      <c r="Z27" s="218"/>
      <c r="AA27" s="296"/>
      <c r="AB27" s="140"/>
      <c r="AC27" s="218"/>
      <c r="AD27" s="296"/>
      <c r="AE27" s="140"/>
      <c r="AF27" s="141"/>
      <c r="AG27" s="226"/>
      <c r="AH27" s="140"/>
      <c r="AI27" s="218"/>
      <c r="AJ27" s="226"/>
      <c r="AK27" s="140"/>
      <c r="AL27" s="218"/>
      <c r="AM27" s="226"/>
      <c r="AN27" s="140"/>
      <c r="AO27" s="218"/>
      <c r="AP27" s="226"/>
      <c r="AQ27" s="140"/>
      <c r="AR27" s="218"/>
      <c r="AS27" s="226"/>
      <c r="AT27" s="140"/>
      <c r="AU27" s="218"/>
      <c r="AV27" s="226"/>
      <c r="AW27" s="140"/>
      <c r="AX27" s="218"/>
      <c r="AY27" s="296"/>
      <c r="AZ27" s="140"/>
      <c r="BA27" s="218"/>
      <c r="BB27" s="226"/>
      <c r="BC27" s="140"/>
      <c r="BD27" s="218"/>
      <c r="BE27" s="226"/>
      <c r="BF27" s="140"/>
      <c r="BG27" s="218"/>
      <c r="BH27" s="226"/>
      <c r="BI27" s="140"/>
      <c r="BJ27" s="218"/>
      <c r="BK27" s="226"/>
      <c r="BL27" s="140"/>
      <c r="BM27" s="218"/>
      <c r="BN27" s="226"/>
      <c r="BO27" s="140"/>
      <c r="BP27" s="218"/>
      <c r="BQ27" s="226"/>
      <c r="BR27" s="140"/>
      <c r="BS27" s="218"/>
      <c r="BT27" s="226"/>
      <c r="BU27" s="140"/>
      <c r="BV27" s="218"/>
      <c r="BW27" s="296"/>
      <c r="BX27" s="140"/>
      <c r="BY27" s="218"/>
      <c r="BZ27" s="226"/>
      <c r="CA27" s="140"/>
      <c r="CB27" s="218"/>
      <c r="CC27" s="226"/>
      <c r="CD27" s="140"/>
      <c r="CE27" s="218"/>
      <c r="CF27" s="226"/>
      <c r="CG27" s="140"/>
      <c r="CH27" s="218"/>
      <c r="CI27" s="226"/>
      <c r="CJ27" s="140"/>
      <c r="CK27" s="218"/>
      <c r="CL27" s="226"/>
      <c r="CM27" s="140"/>
      <c r="CN27" s="218"/>
      <c r="CO27" s="226"/>
      <c r="CP27" s="140"/>
      <c r="CQ27" s="218"/>
      <c r="CR27" s="226"/>
      <c r="CS27" s="140"/>
      <c r="CT27" s="218"/>
      <c r="CU27" s="226"/>
      <c r="CV27" s="140"/>
      <c r="CW27" s="218"/>
      <c r="CX27" s="226"/>
      <c r="CY27" s="140"/>
      <c r="CZ27" s="218"/>
      <c r="DA27" s="226"/>
      <c r="DB27" s="141"/>
      <c r="DC27" s="210"/>
    </row>
    <row r="28" spans="1:107" s="12" customFormat="1" ht="21.95" customHeight="1" x14ac:dyDescent="0.2">
      <c r="A28" s="168"/>
      <c r="B28" s="158"/>
      <c r="C28" s="158"/>
      <c r="D28" s="353" t="s">
        <v>6</v>
      </c>
      <c r="E28" s="169"/>
      <c r="F28" s="169"/>
      <c r="G28" s="158">
        <f t="shared" si="7"/>
        <v>0</v>
      </c>
      <c r="H28" s="354">
        <f t="shared" si="5"/>
        <v>0</v>
      </c>
      <c r="I28" s="157">
        <f t="shared" si="8"/>
        <v>0</v>
      </c>
      <c r="J28" s="157">
        <f t="shared" si="6"/>
        <v>0</v>
      </c>
      <c r="K28" s="157">
        <f t="shared" si="9"/>
        <v>0</v>
      </c>
      <c r="L28" s="158" t="s">
        <v>85</v>
      </c>
      <c r="M28" s="156"/>
      <c r="N28" s="219"/>
      <c r="O28" s="211"/>
      <c r="P28" s="156"/>
      <c r="Q28" s="219"/>
      <c r="R28" s="211"/>
      <c r="S28" s="156"/>
      <c r="T28" s="219"/>
      <c r="U28" s="211"/>
      <c r="V28" s="156"/>
      <c r="W28" s="219"/>
      <c r="X28" s="211"/>
      <c r="Y28" s="156"/>
      <c r="Z28" s="219"/>
      <c r="AA28" s="211"/>
      <c r="AB28" s="156"/>
      <c r="AC28" s="219"/>
      <c r="AD28" s="211"/>
      <c r="AE28" s="156"/>
      <c r="AF28" s="157"/>
      <c r="AG28" s="211"/>
      <c r="AH28" s="156"/>
      <c r="AI28" s="219"/>
      <c r="AJ28" s="211"/>
      <c r="AK28" s="156"/>
      <c r="AL28" s="219"/>
      <c r="AM28" s="211"/>
      <c r="AN28" s="156"/>
      <c r="AO28" s="219"/>
      <c r="AP28" s="211"/>
      <c r="AQ28" s="156"/>
      <c r="AR28" s="219"/>
      <c r="AS28" s="211"/>
      <c r="AT28" s="156"/>
      <c r="AU28" s="219"/>
      <c r="AV28" s="211"/>
      <c r="AW28" s="156"/>
      <c r="AX28" s="219"/>
      <c r="AY28" s="211"/>
      <c r="AZ28" s="156"/>
      <c r="BA28" s="219"/>
      <c r="BB28" s="211"/>
      <c r="BC28" s="156"/>
      <c r="BD28" s="219"/>
      <c r="BE28" s="211"/>
      <c r="BF28" s="156"/>
      <c r="BG28" s="219"/>
      <c r="BH28" s="211"/>
      <c r="BI28" s="156"/>
      <c r="BJ28" s="219"/>
      <c r="BK28" s="211"/>
      <c r="BL28" s="156"/>
      <c r="BM28" s="219"/>
      <c r="BN28" s="211"/>
      <c r="BO28" s="156"/>
      <c r="BP28" s="219"/>
      <c r="BQ28" s="211"/>
      <c r="BR28" s="156"/>
      <c r="BS28" s="219"/>
      <c r="BT28" s="211"/>
      <c r="BU28" s="156"/>
      <c r="BV28" s="219"/>
      <c r="BW28" s="211"/>
      <c r="BX28" s="156"/>
      <c r="BY28" s="219"/>
      <c r="BZ28" s="211"/>
      <c r="CA28" s="156"/>
      <c r="CB28" s="219"/>
      <c r="CC28" s="211"/>
      <c r="CD28" s="156"/>
      <c r="CE28" s="219"/>
      <c r="CF28" s="211"/>
      <c r="CG28" s="156"/>
      <c r="CH28" s="219"/>
      <c r="CI28" s="211"/>
      <c r="CJ28" s="156"/>
      <c r="CK28" s="219"/>
      <c r="CL28" s="211"/>
      <c r="CM28" s="156"/>
      <c r="CN28" s="219"/>
      <c r="CO28" s="211"/>
      <c r="CP28" s="156"/>
      <c r="CQ28" s="219"/>
      <c r="CR28" s="211"/>
      <c r="CS28" s="156"/>
      <c r="CT28" s="219"/>
      <c r="CU28" s="211"/>
      <c r="CV28" s="156"/>
      <c r="CW28" s="219"/>
      <c r="CX28" s="211"/>
      <c r="CY28" s="156"/>
      <c r="CZ28" s="219"/>
      <c r="DA28" s="211"/>
      <c r="DB28" s="157"/>
      <c r="DC28" s="175"/>
    </row>
    <row r="29" spans="1:107" s="12" customFormat="1" ht="21.95" customHeight="1" x14ac:dyDescent="0.2">
      <c r="A29" s="165"/>
      <c r="B29" s="159"/>
      <c r="C29" s="159"/>
      <c r="D29" s="159" t="s">
        <v>6</v>
      </c>
      <c r="E29" s="162"/>
      <c r="F29" s="162"/>
      <c r="G29" s="159">
        <f t="shared" si="7"/>
        <v>0</v>
      </c>
      <c r="H29" s="161">
        <f t="shared" si="5"/>
        <v>0</v>
      </c>
      <c r="I29" s="138">
        <f t="shared" si="8"/>
        <v>0</v>
      </c>
      <c r="J29" s="138">
        <f t="shared" si="6"/>
        <v>0</v>
      </c>
      <c r="K29" s="138">
        <f t="shared" si="9"/>
        <v>0</v>
      </c>
      <c r="L29" s="159" t="s">
        <v>85</v>
      </c>
      <c r="M29" s="139"/>
      <c r="N29" s="217"/>
      <c r="O29" s="207"/>
      <c r="P29" s="139"/>
      <c r="Q29" s="217"/>
      <c r="R29" s="207"/>
      <c r="S29" s="139"/>
      <c r="T29" s="217"/>
      <c r="U29" s="207"/>
      <c r="V29" s="139"/>
      <c r="W29" s="217"/>
      <c r="X29" s="207"/>
      <c r="Y29" s="139"/>
      <c r="Z29" s="217"/>
      <c r="AA29" s="207"/>
      <c r="AB29" s="139"/>
      <c r="AC29" s="217"/>
      <c r="AD29" s="207"/>
      <c r="AE29" s="139"/>
      <c r="AF29" s="138"/>
      <c r="AG29" s="207"/>
      <c r="AH29" s="139"/>
      <c r="AI29" s="217"/>
      <c r="AJ29" s="207"/>
      <c r="AK29" s="139"/>
      <c r="AL29" s="217"/>
      <c r="AM29" s="207"/>
      <c r="AN29" s="139"/>
      <c r="AO29" s="217"/>
      <c r="AP29" s="207"/>
      <c r="AQ29" s="139"/>
      <c r="AR29" s="217"/>
      <c r="AS29" s="207"/>
      <c r="AT29" s="139"/>
      <c r="AU29" s="217"/>
      <c r="AV29" s="207"/>
      <c r="AW29" s="139"/>
      <c r="AX29" s="217"/>
      <c r="AY29" s="207"/>
      <c r="AZ29" s="139"/>
      <c r="BA29" s="217"/>
      <c r="BB29" s="207"/>
      <c r="BC29" s="139"/>
      <c r="BD29" s="217"/>
      <c r="BE29" s="207"/>
      <c r="BF29" s="139"/>
      <c r="BG29" s="217"/>
      <c r="BH29" s="207"/>
      <c r="BI29" s="139"/>
      <c r="BJ29" s="217"/>
      <c r="BK29" s="207"/>
      <c r="BL29" s="139"/>
      <c r="BM29" s="217"/>
      <c r="BN29" s="207"/>
      <c r="BO29" s="139"/>
      <c r="BP29" s="217"/>
      <c r="BQ29" s="207"/>
      <c r="BR29" s="139"/>
      <c r="BS29" s="217"/>
      <c r="BT29" s="207"/>
      <c r="BU29" s="139"/>
      <c r="BV29" s="217"/>
      <c r="BW29" s="207"/>
      <c r="BX29" s="139"/>
      <c r="BY29" s="217"/>
      <c r="BZ29" s="207"/>
      <c r="CA29" s="139"/>
      <c r="CB29" s="217"/>
      <c r="CC29" s="207"/>
      <c r="CD29" s="139"/>
      <c r="CE29" s="217"/>
      <c r="CF29" s="207"/>
      <c r="CG29" s="139"/>
      <c r="CH29" s="217"/>
      <c r="CI29" s="207"/>
      <c r="CJ29" s="139"/>
      <c r="CK29" s="217"/>
      <c r="CL29" s="207"/>
      <c r="CM29" s="139"/>
      <c r="CN29" s="217"/>
      <c r="CO29" s="207"/>
      <c r="CP29" s="139"/>
      <c r="CQ29" s="217"/>
      <c r="CR29" s="206"/>
      <c r="CS29" s="139"/>
      <c r="CT29" s="217"/>
      <c r="CU29" s="207"/>
      <c r="CV29" s="139"/>
      <c r="CW29" s="217"/>
      <c r="CX29" s="207"/>
      <c r="CY29" s="139"/>
      <c r="CZ29" s="217"/>
      <c r="DA29" s="207"/>
      <c r="DB29" s="138"/>
      <c r="DC29" s="176"/>
    </row>
    <row r="30" spans="1:107" s="12" customFormat="1" ht="21.95" customHeight="1" thickBot="1" x14ac:dyDescent="0.25">
      <c r="A30" s="167"/>
      <c r="B30" s="160"/>
      <c r="C30" s="160"/>
      <c r="D30" s="160" t="s">
        <v>6</v>
      </c>
      <c r="E30" s="171"/>
      <c r="F30" s="171"/>
      <c r="G30" s="160">
        <f t="shared" si="7"/>
        <v>0</v>
      </c>
      <c r="H30" s="164">
        <f t="shared" si="5"/>
        <v>0</v>
      </c>
      <c r="I30" s="141">
        <f t="shared" si="8"/>
        <v>0</v>
      </c>
      <c r="J30" s="141">
        <f t="shared" si="6"/>
        <v>0</v>
      </c>
      <c r="K30" s="141">
        <f t="shared" si="9"/>
        <v>0</v>
      </c>
      <c r="L30" s="160" t="s">
        <v>85</v>
      </c>
      <c r="M30" s="140"/>
      <c r="N30" s="218"/>
      <c r="O30" s="226"/>
      <c r="P30" s="140"/>
      <c r="Q30" s="218"/>
      <c r="R30" s="296"/>
      <c r="S30" s="140"/>
      <c r="T30" s="218"/>
      <c r="U30" s="296"/>
      <c r="V30" s="140"/>
      <c r="W30" s="218"/>
      <c r="X30" s="226"/>
      <c r="Y30" s="140"/>
      <c r="Z30" s="218"/>
      <c r="AA30" s="296"/>
      <c r="AB30" s="140"/>
      <c r="AC30" s="218"/>
      <c r="AD30" s="296"/>
      <c r="AE30" s="140"/>
      <c r="AF30" s="141"/>
      <c r="AG30" s="226"/>
      <c r="AH30" s="140"/>
      <c r="AI30" s="218"/>
      <c r="AJ30" s="226"/>
      <c r="AK30" s="140"/>
      <c r="AL30" s="218"/>
      <c r="AM30" s="226"/>
      <c r="AN30" s="140"/>
      <c r="AO30" s="218"/>
      <c r="AP30" s="226"/>
      <c r="AQ30" s="140"/>
      <c r="AR30" s="218"/>
      <c r="AS30" s="226"/>
      <c r="AT30" s="140"/>
      <c r="AU30" s="218"/>
      <c r="AV30" s="226"/>
      <c r="AW30" s="140"/>
      <c r="AX30" s="218"/>
      <c r="AY30" s="296"/>
      <c r="AZ30" s="140"/>
      <c r="BA30" s="218"/>
      <c r="BB30" s="226"/>
      <c r="BC30" s="140"/>
      <c r="BD30" s="218"/>
      <c r="BE30" s="226"/>
      <c r="BF30" s="140"/>
      <c r="BG30" s="218"/>
      <c r="BH30" s="226"/>
      <c r="BI30" s="140"/>
      <c r="BJ30" s="218"/>
      <c r="BK30" s="226"/>
      <c r="BL30" s="140"/>
      <c r="BM30" s="218"/>
      <c r="BN30" s="226"/>
      <c r="BO30" s="140"/>
      <c r="BP30" s="218"/>
      <c r="BQ30" s="226"/>
      <c r="BR30" s="140"/>
      <c r="BS30" s="218"/>
      <c r="BT30" s="226"/>
      <c r="BU30" s="140"/>
      <c r="BV30" s="218"/>
      <c r="BW30" s="296"/>
      <c r="BX30" s="140"/>
      <c r="BY30" s="218"/>
      <c r="BZ30" s="226"/>
      <c r="CA30" s="140"/>
      <c r="CB30" s="218"/>
      <c r="CC30" s="226"/>
      <c r="CD30" s="140"/>
      <c r="CE30" s="218"/>
      <c r="CF30" s="226"/>
      <c r="CG30" s="140"/>
      <c r="CH30" s="218"/>
      <c r="CI30" s="226"/>
      <c r="CJ30" s="140"/>
      <c r="CK30" s="218"/>
      <c r="CL30" s="226"/>
      <c r="CM30" s="140"/>
      <c r="CN30" s="218"/>
      <c r="CO30" s="226"/>
      <c r="CP30" s="140"/>
      <c r="CQ30" s="218"/>
      <c r="CR30" s="226"/>
      <c r="CS30" s="140"/>
      <c r="CT30" s="218"/>
      <c r="CU30" s="226"/>
      <c r="CV30" s="140"/>
      <c r="CW30" s="218"/>
      <c r="CX30" s="226"/>
      <c r="CY30" s="140"/>
      <c r="CZ30" s="218"/>
      <c r="DA30" s="226"/>
      <c r="DB30" s="141"/>
      <c r="DC30" s="210"/>
    </row>
    <row r="31" spans="1:107" s="12" customFormat="1" ht="21.95" customHeight="1" x14ac:dyDescent="0.2">
      <c r="A31" s="168"/>
      <c r="B31" s="158"/>
      <c r="C31" s="158"/>
      <c r="D31" s="353" t="s">
        <v>6</v>
      </c>
      <c r="E31" s="169"/>
      <c r="F31" s="169"/>
      <c r="G31" s="158">
        <f t="shared" si="7"/>
        <v>0</v>
      </c>
      <c r="H31" s="354">
        <f t="shared" si="5"/>
        <v>0</v>
      </c>
      <c r="I31" s="157">
        <f t="shared" si="8"/>
        <v>0</v>
      </c>
      <c r="J31" s="157">
        <f t="shared" si="6"/>
        <v>0</v>
      </c>
      <c r="K31" s="157">
        <f t="shared" si="9"/>
        <v>0</v>
      </c>
      <c r="L31" s="158" t="s">
        <v>77</v>
      </c>
      <c r="M31" s="156"/>
      <c r="N31" s="219"/>
      <c r="O31" s="211"/>
      <c r="P31" s="156"/>
      <c r="Q31" s="219"/>
      <c r="R31" s="211"/>
      <c r="S31" s="156"/>
      <c r="T31" s="219"/>
      <c r="U31" s="211"/>
      <c r="V31" s="156"/>
      <c r="W31" s="219"/>
      <c r="X31" s="211"/>
      <c r="Y31" s="156"/>
      <c r="Z31" s="219"/>
      <c r="AA31" s="211"/>
      <c r="AB31" s="156"/>
      <c r="AC31" s="219"/>
      <c r="AD31" s="211"/>
      <c r="AE31" s="156"/>
      <c r="AF31" s="157"/>
      <c r="AG31" s="211"/>
      <c r="AH31" s="156"/>
      <c r="AI31" s="219"/>
      <c r="AJ31" s="211"/>
      <c r="AK31" s="156"/>
      <c r="AL31" s="219"/>
      <c r="AM31" s="211"/>
      <c r="AN31" s="156"/>
      <c r="AO31" s="219"/>
      <c r="AP31" s="211"/>
      <c r="AQ31" s="156"/>
      <c r="AR31" s="219"/>
      <c r="AS31" s="211"/>
      <c r="AT31" s="156"/>
      <c r="AU31" s="219"/>
      <c r="AV31" s="211"/>
      <c r="AW31" s="156"/>
      <c r="AX31" s="219"/>
      <c r="AY31" s="211"/>
      <c r="AZ31" s="156"/>
      <c r="BA31" s="219"/>
      <c r="BB31" s="211"/>
      <c r="BC31" s="156"/>
      <c r="BD31" s="219"/>
      <c r="BE31" s="211"/>
      <c r="BF31" s="156"/>
      <c r="BG31" s="219"/>
      <c r="BH31" s="211"/>
      <c r="BI31" s="156"/>
      <c r="BJ31" s="219"/>
      <c r="BK31" s="211"/>
      <c r="BL31" s="156"/>
      <c r="BM31" s="219"/>
      <c r="BN31" s="211"/>
      <c r="BO31" s="156"/>
      <c r="BP31" s="219"/>
      <c r="BQ31" s="211"/>
      <c r="BR31" s="156"/>
      <c r="BS31" s="219"/>
      <c r="BT31" s="211"/>
      <c r="BU31" s="156"/>
      <c r="BV31" s="219"/>
      <c r="BW31" s="211"/>
      <c r="BX31" s="156"/>
      <c r="BY31" s="219"/>
      <c r="BZ31" s="211"/>
      <c r="CA31" s="156"/>
      <c r="CB31" s="219"/>
      <c r="CC31" s="211"/>
      <c r="CD31" s="156"/>
      <c r="CE31" s="219"/>
      <c r="CF31" s="211"/>
      <c r="CG31" s="156"/>
      <c r="CH31" s="219"/>
      <c r="CI31" s="211"/>
      <c r="CJ31" s="156"/>
      <c r="CK31" s="219"/>
      <c r="CL31" s="211"/>
      <c r="CM31" s="156"/>
      <c r="CN31" s="219"/>
      <c r="CO31" s="211"/>
      <c r="CP31" s="156"/>
      <c r="CQ31" s="219"/>
      <c r="CR31" s="211"/>
      <c r="CS31" s="156"/>
      <c r="CT31" s="219"/>
      <c r="CU31" s="211"/>
      <c r="CV31" s="156"/>
      <c r="CW31" s="219"/>
      <c r="CX31" s="211"/>
      <c r="CY31" s="156"/>
      <c r="CZ31" s="219"/>
      <c r="DA31" s="211"/>
      <c r="DB31" s="157"/>
      <c r="DC31" s="175"/>
    </row>
    <row r="32" spans="1:107" s="12" customFormat="1" ht="21.95" customHeight="1" x14ac:dyDescent="0.2">
      <c r="A32" s="165"/>
      <c r="B32" s="159"/>
      <c r="C32" s="159"/>
      <c r="D32" s="159" t="s">
        <v>6</v>
      </c>
      <c r="E32" s="162"/>
      <c r="F32" s="162"/>
      <c r="G32" s="159">
        <f t="shared" si="7"/>
        <v>0</v>
      </c>
      <c r="H32" s="161">
        <f t="shared" si="5"/>
        <v>0</v>
      </c>
      <c r="I32" s="138">
        <f t="shared" ref="I32:I33" si="10">COUNTA(N32,Q32,T32,W32,Z32,AC32,AF32,AI32,AL32,AO32,AR32,AU32,AX32,BA32,BD32,BG32,BJ32,BM32,BP32,BS32,BV32,BY32,CB32,CE32,CH32,CK32,CN32,CQ32,CT32,CW32,CZ32)</f>
        <v>0</v>
      </c>
      <c r="J32" s="138">
        <f t="shared" si="6"/>
        <v>0</v>
      </c>
      <c r="K32" s="138">
        <f t="shared" si="9"/>
        <v>0</v>
      </c>
      <c r="L32" s="159" t="s">
        <v>77</v>
      </c>
      <c r="M32" s="139"/>
      <c r="N32" s="217"/>
      <c r="O32" s="207"/>
      <c r="P32" s="139"/>
      <c r="Q32" s="217"/>
      <c r="R32" s="207"/>
      <c r="S32" s="139"/>
      <c r="T32" s="217"/>
      <c r="U32" s="207"/>
      <c r="V32" s="139"/>
      <c r="W32" s="217"/>
      <c r="X32" s="207"/>
      <c r="Y32" s="139"/>
      <c r="Z32" s="217"/>
      <c r="AA32" s="207"/>
      <c r="AB32" s="139"/>
      <c r="AC32" s="217"/>
      <c r="AD32" s="207"/>
      <c r="AE32" s="139"/>
      <c r="AF32" s="138"/>
      <c r="AG32" s="207"/>
      <c r="AH32" s="139"/>
      <c r="AI32" s="217"/>
      <c r="AJ32" s="207"/>
      <c r="AK32" s="139"/>
      <c r="AL32" s="217"/>
      <c r="AM32" s="207"/>
      <c r="AN32" s="139"/>
      <c r="AO32" s="217"/>
      <c r="AP32" s="207"/>
      <c r="AQ32" s="139"/>
      <c r="AR32" s="217"/>
      <c r="AS32" s="207"/>
      <c r="AT32" s="139"/>
      <c r="AU32" s="217"/>
      <c r="AV32" s="207"/>
      <c r="AW32" s="139"/>
      <c r="AX32" s="217"/>
      <c r="AY32" s="207"/>
      <c r="AZ32" s="139"/>
      <c r="BA32" s="217"/>
      <c r="BB32" s="207"/>
      <c r="BC32" s="139"/>
      <c r="BD32" s="217"/>
      <c r="BE32" s="207"/>
      <c r="BF32" s="139"/>
      <c r="BG32" s="217"/>
      <c r="BH32" s="207"/>
      <c r="BI32" s="139"/>
      <c r="BJ32" s="217"/>
      <c r="BK32" s="207"/>
      <c r="BL32" s="139"/>
      <c r="BM32" s="217"/>
      <c r="BN32" s="207"/>
      <c r="BO32" s="139"/>
      <c r="BP32" s="217"/>
      <c r="BQ32" s="207"/>
      <c r="BR32" s="139"/>
      <c r="BS32" s="217"/>
      <c r="BT32" s="207"/>
      <c r="BU32" s="139"/>
      <c r="BV32" s="217"/>
      <c r="BW32" s="207"/>
      <c r="BX32" s="139"/>
      <c r="BY32" s="217"/>
      <c r="BZ32" s="207"/>
      <c r="CA32" s="139"/>
      <c r="CB32" s="217"/>
      <c r="CC32" s="207"/>
      <c r="CD32" s="139"/>
      <c r="CE32" s="217"/>
      <c r="CF32" s="207"/>
      <c r="CG32" s="139"/>
      <c r="CH32" s="217"/>
      <c r="CI32" s="207"/>
      <c r="CJ32" s="139"/>
      <c r="CK32" s="217"/>
      <c r="CL32" s="207"/>
      <c r="CM32" s="139"/>
      <c r="CN32" s="217"/>
      <c r="CO32" s="207"/>
      <c r="CP32" s="139"/>
      <c r="CQ32" s="217"/>
      <c r="CR32" s="206"/>
      <c r="CS32" s="139"/>
      <c r="CT32" s="217"/>
      <c r="CU32" s="207"/>
      <c r="CV32" s="139"/>
      <c r="CW32" s="217"/>
      <c r="CX32" s="207"/>
      <c r="CY32" s="139"/>
      <c r="CZ32" s="217"/>
      <c r="DA32" s="207"/>
      <c r="DB32" s="138"/>
      <c r="DC32" s="176"/>
    </row>
    <row r="33" spans="1:107" s="12" customFormat="1" ht="21.95" customHeight="1" thickBot="1" x14ac:dyDescent="0.25">
      <c r="A33" s="167"/>
      <c r="B33" s="160"/>
      <c r="C33" s="160"/>
      <c r="D33" s="160" t="s">
        <v>6</v>
      </c>
      <c r="E33" s="171"/>
      <c r="F33" s="171"/>
      <c r="G33" s="160">
        <f t="shared" si="7"/>
        <v>0</v>
      </c>
      <c r="H33" s="164">
        <f t="shared" si="5"/>
        <v>0</v>
      </c>
      <c r="I33" s="141">
        <f t="shared" si="10"/>
        <v>0</v>
      </c>
      <c r="J33" s="141">
        <f t="shared" si="6"/>
        <v>0</v>
      </c>
      <c r="K33" s="141">
        <f t="shared" si="9"/>
        <v>0</v>
      </c>
      <c r="L33" s="160" t="s">
        <v>77</v>
      </c>
      <c r="M33" s="140"/>
      <c r="N33" s="218"/>
      <c r="O33" s="226"/>
      <c r="P33" s="140"/>
      <c r="Q33" s="218"/>
      <c r="R33" s="296"/>
      <c r="S33" s="140"/>
      <c r="T33" s="218"/>
      <c r="U33" s="296"/>
      <c r="V33" s="140"/>
      <c r="W33" s="218"/>
      <c r="X33" s="226"/>
      <c r="Y33" s="140"/>
      <c r="Z33" s="218"/>
      <c r="AA33" s="296"/>
      <c r="AB33" s="140"/>
      <c r="AC33" s="218"/>
      <c r="AD33" s="296"/>
      <c r="AE33" s="140"/>
      <c r="AF33" s="141"/>
      <c r="AG33" s="226"/>
      <c r="AH33" s="140"/>
      <c r="AI33" s="218"/>
      <c r="AJ33" s="226"/>
      <c r="AK33" s="140"/>
      <c r="AL33" s="218"/>
      <c r="AM33" s="226"/>
      <c r="AN33" s="140"/>
      <c r="AO33" s="218"/>
      <c r="AP33" s="226"/>
      <c r="AQ33" s="140"/>
      <c r="AR33" s="218"/>
      <c r="AS33" s="226"/>
      <c r="AT33" s="140"/>
      <c r="AU33" s="218"/>
      <c r="AV33" s="226"/>
      <c r="AW33" s="140"/>
      <c r="AX33" s="218"/>
      <c r="AY33" s="296"/>
      <c r="AZ33" s="140"/>
      <c r="BA33" s="218"/>
      <c r="BB33" s="226"/>
      <c r="BC33" s="140"/>
      <c r="BD33" s="218"/>
      <c r="BE33" s="226"/>
      <c r="BF33" s="140"/>
      <c r="BG33" s="218"/>
      <c r="BH33" s="226"/>
      <c r="BI33" s="140"/>
      <c r="BJ33" s="218"/>
      <c r="BK33" s="226"/>
      <c r="BL33" s="140"/>
      <c r="BM33" s="218"/>
      <c r="BN33" s="226"/>
      <c r="BO33" s="140"/>
      <c r="BP33" s="218"/>
      <c r="BQ33" s="226"/>
      <c r="BR33" s="140"/>
      <c r="BS33" s="218"/>
      <c r="BT33" s="226"/>
      <c r="BU33" s="140"/>
      <c r="BV33" s="218"/>
      <c r="BW33" s="296"/>
      <c r="BX33" s="140"/>
      <c r="BY33" s="218"/>
      <c r="BZ33" s="226"/>
      <c r="CA33" s="140"/>
      <c r="CB33" s="218"/>
      <c r="CC33" s="226"/>
      <c r="CD33" s="140"/>
      <c r="CE33" s="218"/>
      <c r="CF33" s="226"/>
      <c r="CG33" s="140"/>
      <c r="CH33" s="218"/>
      <c r="CI33" s="226"/>
      <c r="CJ33" s="140"/>
      <c r="CK33" s="218"/>
      <c r="CL33" s="226"/>
      <c r="CM33" s="140"/>
      <c r="CN33" s="218"/>
      <c r="CO33" s="226"/>
      <c r="CP33" s="140"/>
      <c r="CQ33" s="218"/>
      <c r="CR33" s="226"/>
      <c r="CS33" s="140"/>
      <c r="CT33" s="218"/>
      <c r="CU33" s="226"/>
      <c r="CV33" s="140"/>
      <c r="CW33" s="218"/>
      <c r="CX33" s="226"/>
      <c r="CY33" s="140"/>
      <c r="CZ33" s="218"/>
      <c r="DA33" s="226"/>
      <c r="DB33" s="141"/>
      <c r="DC33" s="210"/>
    </row>
  </sheetData>
  <autoFilter ref="A2:DC33" xr:uid="{00000000-0009-0000-0000-00000E000000}"/>
  <mergeCells count="34">
    <mergeCell ref="AQ1:AS1"/>
    <mergeCell ref="C1:L1"/>
    <mergeCell ref="M1:O1"/>
    <mergeCell ref="P1:R1"/>
    <mergeCell ref="S1:U1"/>
    <mergeCell ref="V1:X1"/>
    <mergeCell ref="Y1:AA1"/>
    <mergeCell ref="AB1:AD1"/>
    <mergeCell ref="AE1:AG1"/>
    <mergeCell ref="AH1:AJ1"/>
    <mergeCell ref="AK1:AM1"/>
    <mergeCell ref="AN1:AP1"/>
    <mergeCell ref="CA1:CC1"/>
    <mergeCell ref="AT1:AV1"/>
    <mergeCell ref="AW1:AY1"/>
    <mergeCell ref="AZ1:BB1"/>
    <mergeCell ref="BC1:BE1"/>
    <mergeCell ref="BF1:BH1"/>
    <mergeCell ref="BI1:BK1"/>
    <mergeCell ref="BL1:BN1"/>
    <mergeCell ref="BO1:BQ1"/>
    <mergeCell ref="BR1:BT1"/>
    <mergeCell ref="BU1:BW1"/>
    <mergeCell ref="BX1:BZ1"/>
    <mergeCell ref="CV1:CX1"/>
    <mergeCell ref="CY1:DA1"/>
    <mergeCell ref="DB1:DB2"/>
    <mergeCell ref="DC1:DC2"/>
    <mergeCell ref="CD1:CF1"/>
    <mergeCell ref="CG1:CI1"/>
    <mergeCell ref="CJ1:CL1"/>
    <mergeCell ref="CM1:CO1"/>
    <mergeCell ref="CP1:CR1"/>
    <mergeCell ref="CS1:CU1"/>
  </mergeCells>
  <conditionalFormatting sqref="G2 A3:XFD33">
    <cfRule type="cellIs" dxfId="2" priority="1" operator="equal">
      <formula>0</formula>
    </cfRule>
  </conditionalFormatting>
  <printOptions horizontalCentered="1"/>
  <pageMargins left="0.11811023622047245" right="0.11811023622047245" top="0.59055118110236227" bottom="0.59055118110236227" header="0.31496062992125984" footer="0.31496062992125984"/>
  <pageSetup paperSize="9" scale="65" orientation="landscape" r:id="rId1"/>
  <rowBreaks count="1" manualBreakCount="1">
    <brk id="18" max="10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C7"/>
  <sheetViews>
    <sheetView showGridLines="0" view="pageBreakPreview" zoomScale="70" zoomScaleNormal="70" zoomScaleSheetLayoutView="70" workbookViewId="0">
      <pane xSplit="4" ySplit="2" topLeftCell="E3" activePane="bottomRight" state="frozen"/>
      <selection activeCell="F9" sqref="F9"/>
      <selection pane="topRight" activeCell="F9" sqref="F9"/>
      <selection pane="bottomLeft" activeCell="F9" sqref="F9"/>
      <selection pane="bottomRight" activeCell="D3" sqref="D3:D7"/>
    </sheetView>
  </sheetViews>
  <sheetFormatPr defaultRowHeight="15" x14ac:dyDescent="0.25"/>
  <cols>
    <col min="1" max="1" width="36.5703125" customWidth="1"/>
    <col min="2" max="2" width="13.140625" bestFit="1" customWidth="1"/>
    <col min="3" max="3" width="11.28515625" bestFit="1" customWidth="1"/>
    <col min="4" max="4" width="17.85546875" customWidth="1"/>
    <col min="5" max="6" width="13.140625" customWidth="1"/>
    <col min="7" max="7" width="17.85546875" style="9" customWidth="1"/>
    <col min="8" max="9" width="13.140625" customWidth="1"/>
    <col min="10" max="10" width="11.5703125" customWidth="1"/>
    <col min="11" max="12" width="13.140625" customWidth="1"/>
    <col min="13" max="13" width="13.42578125" style="134" customWidth="1"/>
    <col min="14" max="14" width="11.5703125" style="220" customWidth="1"/>
    <col min="15" max="15" width="17.28515625" customWidth="1"/>
    <col min="16" max="16" width="12.7109375" customWidth="1"/>
    <col min="17" max="17" width="11.5703125" style="220" customWidth="1"/>
    <col min="18" max="18" width="17.85546875" customWidth="1"/>
    <col min="19" max="19" width="11.5703125" style="133" customWidth="1"/>
    <col min="20" max="20" width="11.5703125" style="220" customWidth="1"/>
    <col min="21" max="21" width="17.85546875" customWidth="1"/>
    <col min="22" max="22" width="11.5703125" style="133" customWidth="1"/>
    <col min="23" max="23" width="11.5703125" style="220" customWidth="1"/>
    <col min="24" max="24" width="16" bestFit="1" customWidth="1"/>
    <col min="25" max="25" width="11.85546875" style="133" customWidth="1"/>
    <col min="26" max="26" width="11.5703125" style="220" customWidth="1"/>
    <col min="27" max="27" width="17.85546875" customWidth="1"/>
    <col min="28" max="28" width="11.5703125" style="133" customWidth="1"/>
    <col min="29" max="29" width="11.5703125" style="220" customWidth="1"/>
    <col min="30" max="30" width="17.85546875" customWidth="1"/>
    <col min="31" max="31" width="11.5703125" style="133" customWidth="1"/>
    <col min="32" max="32" width="10.28515625" customWidth="1"/>
    <col min="33" max="33" width="17.85546875" customWidth="1"/>
    <col min="34" max="34" width="11.5703125" style="133" customWidth="1"/>
    <col min="35" max="35" width="11.5703125" style="220" customWidth="1"/>
    <col min="36" max="36" width="17.85546875" customWidth="1"/>
    <col min="37" max="37" width="11.85546875" style="133" customWidth="1"/>
    <col min="38" max="38" width="11.5703125" style="220" customWidth="1"/>
    <col min="39" max="39" width="17.85546875" customWidth="1"/>
    <col min="40" max="40" width="11.5703125" style="133" customWidth="1"/>
    <col min="41" max="41" width="11.5703125" style="220" customWidth="1"/>
    <col min="42" max="42" width="17.85546875" customWidth="1"/>
    <col min="43" max="43" width="11" style="133" customWidth="1"/>
    <col min="44" max="44" width="11.5703125" style="220" customWidth="1"/>
    <col min="45" max="45" width="17.85546875" customWidth="1"/>
    <col min="46" max="46" width="11.85546875" style="133" customWidth="1"/>
    <col min="47" max="47" width="11.5703125" style="220" customWidth="1"/>
    <col min="48" max="48" width="17.85546875" customWidth="1"/>
    <col min="49" max="49" width="11.85546875" style="133" customWidth="1"/>
    <col min="50" max="50" width="11.5703125" style="220" customWidth="1"/>
    <col min="51" max="51" width="17.85546875" customWidth="1"/>
    <col min="52" max="52" width="11.85546875" style="133" customWidth="1"/>
    <col min="53" max="53" width="11.5703125" style="220" customWidth="1"/>
    <col min="54" max="54" width="17.85546875" customWidth="1"/>
    <col min="55" max="55" width="11.85546875" style="133" customWidth="1"/>
    <col min="56" max="56" width="11.5703125" style="220" customWidth="1"/>
    <col min="57" max="57" width="17.85546875" customWidth="1"/>
    <col min="58" max="58" width="11.85546875" style="133" customWidth="1"/>
    <col min="59" max="59" width="11.5703125" style="220" customWidth="1"/>
    <col min="60" max="60" width="17.85546875" customWidth="1"/>
    <col min="61" max="61" width="11.85546875" style="133" customWidth="1"/>
    <col min="62" max="62" width="11.5703125" style="220" customWidth="1"/>
    <col min="63" max="63" width="17.85546875" customWidth="1"/>
    <col min="64" max="64" width="11.85546875" style="133" customWidth="1"/>
    <col min="65" max="65" width="11.5703125" style="220" customWidth="1"/>
    <col min="66" max="66" width="17.85546875" customWidth="1"/>
    <col min="67" max="67" width="11.85546875" style="133" customWidth="1"/>
    <col min="68" max="68" width="11.5703125" customWidth="1"/>
    <col min="69" max="69" width="17.85546875" customWidth="1"/>
    <col min="70" max="70" width="11.85546875" style="133" customWidth="1"/>
    <col min="71" max="71" width="11.5703125" style="220" customWidth="1"/>
    <col min="72" max="72" width="17.85546875" customWidth="1"/>
    <col min="73" max="73" width="11.85546875" style="133" customWidth="1"/>
    <col min="74" max="74" width="11.5703125" style="220" customWidth="1"/>
    <col min="75" max="75" width="17.85546875" customWidth="1"/>
    <col min="76" max="76" width="11.85546875" style="133" customWidth="1"/>
    <col min="77" max="77" width="11.5703125" style="220" customWidth="1"/>
    <col min="78" max="78" width="17.85546875" customWidth="1"/>
    <col min="79" max="79" width="11.85546875" style="133" customWidth="1"/>
    <col min="80" max="80" width="11.5703125" style="220" customWidth="1"/>
    <col min="81" max="81" width="17.85546875" customWidth="1"/>
    <col min="82" max="82" width="11.5703125" style="133" customWidth="1"/>
    <col min="83" max="83" width="11.5703125" style="220" customWidth="1"/>
    <col min="84" max="84" width="17.85546875" customWidth="1"/>
    <col min="85" max="85" width="11.85546875" style="133" customWidth="1"/>
    <col min="86" max="86" width="11.5703125" style="220" customWidth="1"/>
    <col min="87" max="87" width="17.85546875" customWidth="1"/>
    <col min="88" max="88" width="11.85546875" style="133" customWidth="1"/>
    <col min="89" max="89" width="11.5703125" style="220" customWidth="1"/>
    <col min="90" max="90" width="16" customWidth="1"/>
    <col min="91" max="91" width="11.28515625" style="133" customWidth="1"/>
    <col min="92" max="92" width="11.5703125" style="220" customWidth="1"/>
    <col min="93" max="93" width="15.42578125" customWidth="1"/>
    <col min="94" max="94" width="11.85546875" style="133" customWidth="1"/>
    <col min="95" max="95" width="11.5703125" style="220" customWidth="1"/>
    <col min="96" max="96" width="17.85546875" customWidth="1"/>
    <col min="97" max="97" width="11.85546875" style="133" customWidth="1"/>
    <col min="98" max="98" width="11.5703125" style="220" customWidth="1"/>
    <col min="99" max="99" width="17.85546875" customWidth="1"/>
    <col min="100" max="100" width="11.5703125" style="133" customWidth="1"/>
    <col min="101" max="101" width="11.5703125" style="220" customWidth="1"/>
    <col min="102" max="102" width="17.85546875" customWidth="1"/>
    <col min="103" max="103" width="10.5703125" style="133" customWidth="1"/>
    <col min="104" max="104" width="11.5703125" style="220" customWidth="1"/>
    <col min="105" max="105" width="17.85546875" customWidth="1"/>
    <col min="106" max="106" width="32.7109375" customWidth="1"/>
    <col min="107" max="107" width="71.42578125" style="172" customWidth="1"/>
  </cols>
  <sheetData>
    <row r="1" spans="1:107" ht="35.25" customHeight="1" x14ac:dyDescent="0.25">
      <c r="A1" s="238" t="s">
        <v>505</v>
      </c>
      <c r="B1" s="239">
        <v>3</v>
      </c>
      <c r="C1" s="755" t="s">
        <v>998</v>
      </c>
      <c r="D1" s="755"/>
      <c r="E1" s="755"/>
      <c r="F1" s="755"/>
      <c r="G1" s="755"/>
      <c r="H1" s="755"/>
      <c r="I1" s="755"/>
      <c r="J1" s="755"/>
      <c r="K1" s="755"/>
      <c r="L1" s="756"/>
      <c r="M1" s="751" t="s">
        <v>500</v>
      </c>
      <c r="N1" s="752"/>
      <c r="O1" s="752"/>
      <c r="P1" s="752" t="s">
        <v>500</v>
      </c>
      <c r="Q1" s="752"/>
      <c r="R1" s="752"/>
      <c r="S1" s="752" t="s">
        <v>500</v>
      </c>
      <c r="T1" s="752"/>
      <c r="U1" s="752"/>
      <c r="V1" s="752" t="s">
        <v>500</v>
      </c>
      <c r="W1" s="752"/>
      <c r="X1" s="752"/>
      <c r="Y1" s="752" t="s">
        <v>500</v>
      </c>
      <c r="Z1" s="752"/>
      <c r="AA1" s="752"/>
      <c r="AB1" s="752" t="s">
        <v>500</v>
      </c>
      <c r="AC1" s="752"/>
      <c r="AD1" s="752"/>
      <c r="AE1" s="752" t="s">
        <v>500</v>
      </c>
      <c r="AF1" s="752"/>
      <c r="AG1" s="752"/>
      <c r="AH1" s="752" t="s">
        <v>500</v>
      </c>
      <c r="AI1" s="752"/>
      <c r="AJ1" s="752"/>
      <c r="AK1" s="752" t="s">
        <v>500</v>
      </c>
      <c r="AL1" s="752"/>
      <c r="AM1" s="752"/>
      <c r="AN1" s="752" t="s">
        <v>500</v>
      </c>
      <c r="AO1" s="752"/>
      <c r="AP1" s="752"/>
      <c r="AQ1" s="752" t="s">
        <v>500</v>
      </c>
      <c r="AR1" s="752"/>
      <c r="AS1" s="752"/>
      <c r="AT1" s="752" t="s">
        <v>500</v>
      </c>
      <c r="AU1" s="752"/>
      <c r="AV1" s="752"/>
      <c r="AW1" s="752" t="s">
        <v>500</v>
      </c>
      <c r="AX1" s="752"/>
      <c r="AY1" s="752"/>
      <c r="AZ1" s="752" t="s">
        <v>500</v>
      </c>
      <c r="BA1" s="752"/>
      <c r="BB1" s="752"/>
      <c r="BC1" s="752" t="s">
        <v>500</v>
      </c>
      <c r="BD1" s="752"/>
      <c r="BE1" s="752"/>
      <c r="BF1" s="752" t="s">
        <v>500</v>
      </c>
      <c r="BG1" s="752"/>
      <c r="BH1" s="752"/>
      <c r="BI1" s="752" t="s">
        <v>500</v>
      </c>
      <c r="BJ1" s="752"/>
      <c r="BK1" s="752"/>
      <c r="BL1" s="752" t="s">
        <v>500</v>
      </c>
      <c r="BM1" s="752"/>
      <c r="BN1" s="752"/>
      <c r="BO1" s="752" t="s">
        <v>500</v>
      </c>
      <c r="BP1" s="760"/>
      <c r="BQ1" s="752"/>
      <c r="BR1" s="752" t="s">
        <v>500</v>
      </c>
      <c r="BS1" s="752"/>
      <c r="BT1" s="752"/>
      <c r="BU1" s="752" t="s">
        <v>500</v>
      </c>
      <c r="BV1" s="752"/>
      <c r="BW1" s="752"/>
      <c r="BX1" s="752" t="s">
        <v>500</v>
      </c>
      <c r="BY1" s="752"/>
      <c r="BZ1" s="752"/>
      <c r="CA1" s="752" t="s">
        <v>500</v>
      </c>
      <c r="CB1" s="752"/>
      <c r="CC1" s="752"/>
      <c r="CD1" s="752" t="s">
        <v>500</v>
      </c>
      <c r="CE1" s="752"/>
      <c r="CF1" s="752"/>
      <c r="CG1" s="752" t="s">
        <v>500</v>
      </c>
      <c r="CH1" s="752"/>
      <c r="CI1" s="752"/>
      <c r="CJ1" s="752" t="s">
        <v>500</v>
      </c>
      <c r="CK1" s="752"/>
      <c r="CL1" s="752"/>
      <c r="CM1" s="752" t="s">
        <v>500</v>
      </c>
      <c r="CN1" s="752"/>
      <c r="CO1" s="752"/>
      <c r="CP1" s="752" t="s">
        <v>500</v>
      </c>
      <c r="CQ1" s="752"/>
      <c r="CR1" s="752"/>
      <c r="CS1" s="752" t="s">
        <v>500</v>
      </c>
      <c r="CT1" s="752"/>
      <c r="CU1" s="752"/>
      <c r="CV1" s="752" t="s">
        <v>500</v>
      </c>
      <c r="CW1" s="752"/>
      <c r="CX1" s="752"/>
      <c r="CY1" s="752" t="s">
        <v>500</v>
      </c>
      <c r="CZ1" s="752"/>
      <c r="DA1" s="757"/>
      <c r="DB1" s="758" t="s">
        <v>4</v>
      </c>
      <c r="DC1" s="753" t="s">
        <v>87</v>
      </c>
    </row>
    <row r="2" spans="1:107" ht="37.5" customHeight="1" thickBot="1" x14ac:dyDescent="0.3">
      <c r="A2" s="240" t="s">
        <v>67</v>
      </c>
      <c r="B2" s="241" t="s">
        <v>68</v>
      </c>
      <c r="C2" s="346" t="s">
        <v>0</v>
      </c>
      <c r="D2" s="346" t="s">
        <v>24</v>
      </c>
      <c r="E2" s="346" t="s">
        <v>69</v>
      </c>
      <c r="F2" s="346" t="s">
        <v>70</v>
      </c>
      <c r="G2" s="346" t="s">
        <v>71</v>
      </c>
      <c r="H2" s="241" t="s">
        <v>100</v>
      </c>
      <c r="I2" s="241" t="s">
        <v>508</v>
      </c>
      <c r="J2" s="241" t="s">
        <v>517</v>
      </c>
      <c r="K2" s="241" t="s">
        <v>511</v>
      </c>
      <c r="L2" s="242" t="s">
        <v>72</v>
      </c>
      <c r="M2" s="237" t="s">
        <v>468</v>
      </c>
      <c r="N2" s="215" t="s">
        <v>499</v>
      </c>
      <c r="O2" s="136" t="s">
        <v>466</v>
      </c>
      <c r="P2" s="136" t="s">
        <v>469</v>
      </c>
      <c r="Q2" s="215" t="s">
        <v>499</v>
      </c>
      <c r="R2" s="136" t="s">
        <v>466</v>
      </c>
      <c r="S2" s="136" t="s">
        <v>470</v>
      </c>
      <c r="T2" s="215" t="s">
        <v>499</v>
      </c>
      <c r="U2" s="136" t="s">
        <v>466</v>
      </c>
      <c r="V2" s="136" t="s">
        <v>471</v>
      </c>
      <c r="W2" s="215" t="s">
        <v>499</v>
      </c>
      <c r="X2" s="136" t="s">
        <v>466</v>
      </c>
      <c r="Y2" s="136" t="s">
        <v>472</v>
      </c>
      <c r="Z2" s="215" t="s">
        <v>499</v>
      </c>
      <c r="AA2" s="136" t="s">
        <v>466</v>
      </c>
      <c r="AB2" s="136" t="s">
        <v>473</v>
      </c>
      <c r="AC2" s="215" t="s">
        <v>499</v>
      </c>
      <c r="AD2" s="136" t="s">
        <v>466</v>
      </c>
      <c r="AE2" s="136" t="s">
        <v>474</v>
      </c>
      <c r="AF2" s="136" t="s">
        <v>499</v>
      </c>
      <c r="AG2" s="136" t="s">
        <v>466</v>
      </c>
      <c r="AH2" s="136" t="s">
        <v>475</v>
      </c>
      <c r="AI2" s="215" t="s">
        <v>499</v>
      </c>
      <c r="AJ2" s="136" t="s">
        <v>466</v>
      </c>
      <c r="AK2" s="136" t="s">
        <v>476</v>
      </c>
      <c r="AL2" s="215" t="s">
        <v>499</v>
      </c>
      <c r="AM2" s="136" t="s">
        <v>466</v>
      </c>
      <c r="AN2" s="136" t="s">
        <v>477</v>
      </c>
      <c r="AO2" s="215" t="s">
        <v>499</v>
      </c>
      <c r="AP2" s="136" t="s">
        <v>466</v>
      </c>
      <c r="AQ2" s="136" t="s">
        <v>478</v>
      </c>
      <c r="AR2" s="215" t="s">
        <v>499</v>
      </c>
      <c r="AS2" s="136" t="s">
        <v>466</v>
      </c>
      <c r="AT2" s="136" t="s">
        <v>479</v>
      </c>
      <c r="AU2" s="215" t="s">
        <v>499</v>
      </c>
      <c r="AV2" s="136" t="s">
        <v>466</v>
      </c>
      <c r="AW2" s="136" t="s">
        <v>480</v>
      </c>
      <c r="AX2" s="215" t="s">
        <v>499</v>
      </c>
      <c r="AY2" s="136" t="s">
        <v>466</v>
      </c>
      <c r="AZ2" s="136" t="s">
        <v>481</v>
      </c>
      <c r="BA2" s="215" t="s">
        <v>499</v>
      </c>
      <c r="BB2" s="136" t="s">
        <v>466</v>
      </c>
      <c r="BC2" s="136" t="s">
        <v>482</v>
      </c>
      <c r="BD2" s="215" t="s">
        <v>499</v>
      </c>
      <c r="BE2" s="136" t="s">
        <v>466</v>
      </c>
      <c r="BF2" s="136" t="s">
        <v>483</v>
      </c>
      <c r="BG2" s="215" t="s">
        <v>499</v>
      </c>
      <c r="BH2" s="136" t="s">
        <v>466</v>
      </c>
      <c r="BI2" s="136" t="s">
        <v>484</v>
      </c>
      <c r="BJ2" s="215" t="s">
        <v>499</v>
      </c>
      <c r="BK2" s="136" t="s">
        <v>466</v>
      </c>
      <c r="BL2" s="136" t="s">
        <v>485</v>
      </c>
      <c r="BM2" s="215" t="s">
        <v>499</v>
      </c>
      <c r="BN2" s="136" t="s">
        <v>466</v>
      </c>
      <c r="BO2" s="136" t="s">
        <v>486</v>
      </c>
      <c r="BP2" s="252" t="s">
        <v>499</v>
      </c>
      <c r="BQ2" s="136" t="s">
        <v>466</v>
      </c>
      <c r="BR2" s="136" t="s">
        <v>487</v>
      </c>
      <c r="BS2" s="215" t="s">
        <v>499</v>
      </c>
      <c r="BT2" s="136" t="s">
        <v>466</v>
      </c>
      <c r="BU2" s="136" t="s">
        <v>488</v>
      </c>
      <c r="BV2" s="215" t="s">
        <v>499</v>
      </c>
      <c r="BW2" s="136" t="s">
        <v>466</v>
      </c>
      <c r="BX2" s="136" t="s">
        <v>489</v>
      </c>
      <c r="BY2" s="215" t="s">
        <v>499</v>
      </c>
      <c r="BZ2" s="136" t="s">
        <v>466</v>
      </c>
      <c r="CA2" s="136" t="s">
        <v>490</v>
      </c>
      <c r="CB2" s="215" t="s">
        <v>499</v>
      </c>
      <c r="CC2" s="136" t="s">
        <v>466</v>
      </c>
      <c r="CD2" s="136" t="s">
        <v>491</v>
      </c>
      <c r="CE2" s="215" t="s">
        <v>499</v>
      </c>
      <c r="CF2" s="136" t="s">
        <v>466</v>
      </c>
      <c r="CG2" s="136" t="s">
        <v>492</v>
      </c>
      <c r="CH2" s="215" t="s">
        <v>499</v>
      </c>
      <c r="CI2" s="136" t="s">
        <v>466</v>
      </c>
      <c r="CJ2" s="136" t="s">
        <v>493</v>
      </c>
      <c r="CK2" s="215" t="s">
        <v>499</v>
      </c>
      <c r="CL2" s="136" t="s">
        <v>466</v>
      </c>
      <c r="CM2" s="136" t="s">
        <v>494</v>
      </c>
      <c r="CN2" s="215" t="s">
        <v>499</v>
      </c>
      <c r="CO2" s="136" t="s">
        <v>466</v>
      </c>
      <c r="CP2" s="136" t="s">
        <v>495</v>
      </c>
      <c r="CQ2" s="215" t="s">
        <v>499</v>
      </c>
      <c r="CR2" s="136" t="s">
        <v>466</v>
      </c>
      <c r="CS2" s="136" t="s">
        <v>496</v>
      </c>
      <c r="CT2" s="215" t="s">
        <v>499</v>
      </c>
      <c r="CU2" s="136" t="s">
        <v>466</v>
      </c>
      <c r="CV2" s="136" t="s">
        <v>497</v>
      </c>
      <c r="CW2" s="215" t="s">
        <v>499</v>
      </c>
      <c r="CX2" s="136" t="s">
        <v>466</v>
      </c>
      <c r="CY2" s="136" t="s">
        <v>498</v>
      </c>
      <c r="CZ2" s="215" t="s">
        <v>499</v>
      </c>
      <c r="DA2" s="236" t="s">
        <v>466</v>
      </c>
      <c r="DB2" s="774"/>
      <c r="DC2" s="775"/>
    </row>
    <row r="3" spans="1:107" s="12" customFormat="1" ht="32.25" customHeight="1" x14ac:dyDescent="0.2">
      <c r="A3" s="265" t="s">
        <v>982</v>
      </c>
      <c r="B3" s="169" t="s">
        <v>5</v>
      </c>
      <c r="C3" s="162" t="s">
        <v>802</v>
      </c>
      <c r="D3" s="162" t="s">
        <v>503</v>
      </c>
      <c r="E3" s="162">
        <v>17073</v>
      </c>
      <c r="F3" s="162">
        <v>20086</v>
      </c>
      <c r="G3" s="162">
        <f>F3-E3</f>
        <v>3013</v>
      </c>
      <c r="H3" s="245">
        <f>SUM(M3+P3+S3+V3+Y3+AB3+AE3+AH3+AK3+AN3+AQ3+AT3+AW3+AZ3+BC3+BF3+BI3+BL3+BO3+BR3+BU3+BX3+CA3+CD3+CG3+CJ3+CM3+CP3+CS3+CV3+CY3)</f>
        <v>2718.95</v>
      </c>
      <c r="I3" s="157">
        <f>J3+K3</f>
        <v>0</v>
      </c>
      <c r="J3" s="157">
        <f>COUNTIF(M3:DC3,"POSTO S. RITA")</f>
        <v>0</v>
      </c>
      <c r="K3" s="157">
        <f>COUNTIF(N3:DD3,"POSTO VIP")</f>
        <v>0</v>
      </c>
      <c r="L3" s="169" t="s">
        <v>75</v>
      </c>
      <c r="M3" s="266"/>
      <c r="N3" s="267"/>
      <c r="O3" s="268"/>
      <c r="P3" s="266"/>
      <c r="Q3" s="267"/>
      <c r="R3" s="268"/>
      <c r="S3" s="266"/>
      <c r="T3" s="267"/>
      <c r="U3" s="268"/>
      <c r="V3" s="266"/>
      <c r="W3" s="267"/>
      <c r="X3" s="268"/>
      <c r="Y3" s="266"/>
      <c r="Z3" s="267"/>
      <c r="AA3" s="268"/>
      <c r="AB3" s="266"/>
      <c r="AC3" s="267"/>
      <c r="AD3" s="268"/>
      <c r="AE3" s="266"/>
      <c r="AF3" s="268"/>
      <c r="AG3" s="268"/>
      <c r="AH3" s="266"/>
      <c r="AI3" s="267"/>
      <c r="AJ3" s="268"/>
      <c r="AK3" s="266"/>
      <c r="AL3" s="267"/>
      <c r="AM3" s="268"/>
      <c r="AN3" s="266"/>
      <c r="AO3" s="267"/>
      <c r="AP3" s="268"/>
      <c r="AQ3" s="266"/>
      <c r="AR3" s="267"/>
      <c r="AS3" s="268"/>
      <c r="AT3" s="266"/>
      <c r="AU3" s="267"/>
      <c r="AV3" s="268"/>
      <c r="AW3" s="266"/>
      <c r="AX3" s="267"/>
      <c r="AY3" s="268"/>
      <c r="AZ3" s="266">
        <v>100</v>
      </c>
      <c r="BA3" s="269">
        <v>17.036000000000001</v>
      </c>
      <c r="BB3" s="268" t="s">
        <v>866</v>
      </c>
      <c r="BC3" s="266">
        <v>50</v>
      </c>
      <c r="BD3" s="267">
        <v>8.7799999999999994</v>
      </c>
      <c r="BE3" s="268" t="s">
        <v>866</v>
      </c>
      <c r="BF3" s="266">
        <v>460.05</v>
      </c>
      <c r="BG3" s="270">
        <v>73.14</v>
      </c>
      <c r="BH3" s="268" t="s">
        <v>866</v>
      </c>
      <c r="BI3" s="266"/>
      <c r="BJ3" s="267"/>
      <c r="BK3" s="268"/>
      <c r="BL3" s="266">
        <v>444.53</v>
      </c>
      <c r="BM3" s="267">
        <v>70</v>
      </c>
      <c r="BN3" s="268" t="s">
        <v>866</v>
      </c>
      <c r="BO3" s="266">
        <v>377.46</v>
      </c>
      <c r="BP3" s="268">
        <v>60</v>
      </c>
      <c r="BQ3" s="268" t="s">
        <v>866</v>
      </c>
      <c r="BR3" s="266">
        <v>50</v>
      </c>
      <c r="BS3" s="269">
        <v>7.7640000000000002</v>
      </c>
      <c r="BT3" s="268" t="s">
        <v>866</v>
      </c>
      <c r="BU3" s="266">
        <v>480.89</v>
      </c>
      <c r="BV3" s="267">
        <v>77.19</v>
      </c>
      <c r="BW3" s="268" t="s">
        <v>866</v>
      </c>
      <c r="BX3" s="266">
        <v>340</v>
      </c>
      <c r="BY3" s="267">
        <v>49.860999999999997</v>
      </c>
      <c r="BZ3" s="268" t="s">
        <v>866</v>
      </c>
      <c r="CA3" s="295">
        <v>416.02</v>
      </c>
      <c r="CB3" s="270">
        <v>61.3</v>
      </c>
      <c r="CC3" s="268" t="s">
        <v>866</v>
      </c>
      <c r="CD3" s="266"/>
      <c r="CE3" s="267"/>
      <c r="CF3" s="268"/>
      <c r="CG3" s="266"/>
      <c r="CH3" s="267"/>
      <c r="CI3" s="268"/>
      <c r="CJ3" s="266"/>
      <c r="CK3" s="267"/>
      <c r="CL3" s="268"/>
      <c r="CM3" s="266"/>
      <c r="CN3" s="267"/>
      <c r="CO3" s="268"/>
      <c r="CP3" s="266"/>
      <c r="CQ3" s="267"/>
      <c r="CR3" s="268"/>
      <c r="CS3" s="266"/>
      <c r="CT3" s="267"/>
      <c r="CU3" s="268"/>
      <c r="CV3" s="266"/>
      <c r="CW3" s="267"/>
      <c r="CX3" s="268"/>
      <c r="CY3" s="266"/>
      <c r="CZ3" s="267"/>
      <c r="DA3" s="268"/>
      <c r="DB3" s="268"/>
      <c r="DC3" s="271"/>
    </row>
    <row r="4" spans="1:107" s="12" customFormat="1" ht="30" customHeight="1" x14ac:dyDescent="0.2">
      <c r="A4" s="254" t="s">
        <v>805</v>
      </c>
      <c r="B4" s="230" t="s">
        <v>5</v>
      </c>
      <c r="C4" s="221" t="s">
        <v>928</v>
      </c>
      <c r="D4" s="230" t="s">
        <v>503</v>
      </c>
      <c r="E4" s="230">
        <v>29776</v>
      </c>
      <c r="F4" s="230">
        <v>34768</v>
      </c>
      <c r="G4" s="230">
        <f>F4-E4</f>
        <v>4992</v>
      </c>
      <c r="H4" s="221">
        <f>SUM(M4+P4+S4+V4+Y4+AB4+AE4+AH4+AK4+AN4+AQ4+AT4+AW4+AZ4+BC4+BF4+BI4+BL4+BO4+BR4+BU4+BX4+CA4+CD4+CG4+CJ4+CM4+CP4+CS4+CV4+CY4)</f>
        <v>2247.5700000000002</v>
      </c>
      <c r="I4" s="173">
        <f>J4+K4</f>
        <v>0</v>
      </c>
      <c r="J4" s="173">
        <f>COUNTIF(M4:DC4,"POSTO S. RITA")</f>
        <v>0</v>
      </c>
      <c r="K4" s="173">
        <f>COUNTIF(N4:DD4,"POSTO VIP")</f>
        <v>0</v>
      </c>
      <c r="L4" s="230" t="s">
        <v>75</v>
      </c>
      <c r="M4" s="139"/>
      <c r="N4" s="217"/>
      <c r="O4" s="138"/>
      <c r="P4" s="139">
        <v>471.18</v>
      </c>
      <c r="Q4" s="212">
        <v>73.73</v>
      </c>
      <c r="R4" s="138" t="s">
        <v>866</v>
      </c>
      <c r="S4" s="139"/>
      <c r="T4" s="217"/>
      <c r="U4" s="138"/>
      <c r="V4" s="139"/>
      <c r="W4" s="217"/>
      <c r="X4" s="138"/>
      <c r="Y4" s="139"/>
      <c r="Z4" s="217"/>
      <c r="AA4" s="138"/>
      <c r="AB4" s="139">
        <v>324.63</v>
      </c>
      <c r="AC4" s="217">
        <v>50.02</v>
      </c>
      <c r="AD4" s="138" t="s">
        <v>866</v>
      </c>
      <c r="AE4" s="139">
        <v>465.93</v>
      </c>
      <c r="AF4" s="138">
        <v>71.790000000000006</v>
      </c>
      <c r="AG4" s="138" t="s">
        <v>866</v>
      </c>
      <c r="AH4" s="139">
        <v>62.9</v>
      </c>
      <c r="AI4" s="217">
        <v>6.29</v>
      </c>
      <c r="AJ4" s="138" t="s">
        <v>866</v>
      </c>
      <c r="AK4" s="139"/>
      <c r="AL4" s="217"/>
      <c r="AM4" s="138"/>
      <c r="AN4" s="139"/>
      <c r="AO4" s="217"/>
      <c r="AP4" s="138"/>
      <c r="AQ4" s="139"/>
      <c r="AR4" s="217"/>
      <c r="AS4" s="138"/>
      <c r="AT4" s="139"/>
      <c r="AU4" s="217"/>
      <c r="AV4" s="138"/>
      <c r="AW4" s="139"/>
      <c r="AX4" s="217"/>
      <c r="AY4" s="138"/>
      <c r="AZ4" s="139"/>
      <c r="BA4" s="232"/>
      <c r="BB4" s="138"/>
      <c r="BC4" s="139"/>
      <c r="BD4" s="217"/>
      <c r="BE4" s="138"/>
      <c r="BF4" s="139"/>
      <c r="BG4" s="212"/>
      <c r="BH4" s="138"/>
      <c r="BI4" s="139"/>
      <c r="BJ4" s="217"/>
      <c r="BK4" s="138"/>
      <c r="BL4" s="139"/>
      <c r="BM4" s="217"/>
      <c r="BN4" s="138"/>
      <c r="BO4" s="139"/>
      <c r="BP4" s="138"/>
      <c r="BQ4" s="138"/>
      <c r="BR4" s="139"/>
      <c r="BS4" s="232"/>
      <c r="BT4" s="138"/>
      <c r="BU4" s="139"/>
      <c r="BV4" s="217"/>
      <c r="BW4" s="138"/>
      <c r="BX4" s="139"/>
      <c r="BY4" s="217"/>
      <c r="BZ4" s="138"/>
      <c r="CA4" s="272"/>
      <c r="CB4" s="212"/>
      <c r="CC4" s="138"/>
      <c r="CD4" s="139"/>
      <c r="CE4" s="217"/>
      <c r="CF4" s="138"/>
      <c r="CG4" s="139">
        <v>434.68</v>
      </c>
      <c r="CH4" s="217">
        <v>65.900000000000006</v>
      </c>
      <c r="CI4" s="138" t="s">
        <v>866</v>
      </c>
      <c r="CJ4" s="139">
        <v>488.25</v>
      </c>
      <c r="CK4" s="217">
        <v>74.77</v>
      </c>
      <c r="CL4" s="138" t="s">
        <v>866</v>
      </c>
      <c r="CM4" s="139"/>
      <c r="CN4" s="217"/>
      <c r="CO4" s="138"/>
      <c r="CP4" s="139"/>
      <c r="CQ4" s="217"/>
      <c r="CR4" s="138"/>
      <c r="CS4" s="139"/>
      <c r="CT4" s="217"/>
      <c r="CU4" s="138"/>
      <c r="CV4" s="139"/>
      <c r="CW4" s="217"/>
      <c r="CX4" s="138"/>
      <c r="CY4" s="139"/>
      <c r="CZ4" s="217"/>
      <c r="DA4" s="138"/>
      <c r="DB4" s="138"/>
      <c r="DC4" s="176"/>
    </row>
    <row r="5" spans="1:107" s="12" customFormat="1" ht="30" customHeight="1" thickBot="1" x14ac:dyDescent="0.25">
      <c r="A5" s="254" t="s">
        <v>1018</v>
      </c>
      <c r="B5" s="230" t="s">
        <v>5</v>
      </c>
      <c r="C5" s="221" t="s">
        <v>796</v>
      </c>
      <c r="D5" s="230" t="s">
        <v>503</v>
      </c>
      <c r="E5" s="230">
        <v>24097</v>
      </c>
      <c r="F5" s="230">
        <v>33628</v>
      </c>
      <c r="G5" s="230">
        <f>F5-E5</f>
        <v>9531</v>
      </c>
      <c r="H5" s="221">
        <v>8083.65</v>
      </c>
      <c r="I5" s="173" t="s">
        <v>1019</v>
      </c>
      <c r="J5" s="173"/>
      <c r="K5" s="173"/>
      <c r="L5" s="230"/>
      <c r="M5" s="139"/>
      <c r="N5" s="217"/>
      <c r="O5" s="138"/>
      <c r="P5" s="139"/>
      <c r="Q5" s="212"/>
      <c r="R5" s="138"/>
      <c r="S5" s="139"/>
      <c r="T5" s="217"/>
      <c r="U5" s="138"/>
      <c r="V5" s="139"/>
      <c r="W5" s="217"/>
      <c r="X5" s="138"/>
      <c r="Y5" s="139"/>
      <c r="Z5" s="217"/>
      <c r="AA5" s="138"/>
      <c r="AB5" s="139"/>
      <c r="AC5" s="217"/>
      <c r="AD5" s="138"/>
      <c r="AE5" s="139"/>
      <c r="AF5" s="138"/>
      <c r="AG5" s="138"/>
      <c r="AH5" s="139"/>
      <c r="AI5" s="217"/>
      <c r="AJ5" s="138"/>
      <c r="AK5" s="139"/>
      <c r="AL5" s="217"/>
      <c r="AM5" s="138"/>
      <c r="AN5" s="139"/>
      <c r="AO5" s="217"/>
      <c r="AP5" s="138"/>
      <c r="AQ5" s="139"/>
      <c r="AR5" s="217"/>
      <c r="AS5" s="138"/>
      <c r="AT5" s="139"/>
      <c r="AU5" s="217"/>
      <c r="AV5" s="138"/>
      <c r="AW5" s="139"/>
      <c r="AX5" s="217"/>
      <c r="AY5" s="138"/>
      <c r="AZ5" s="139"/>
      <c r="BA5" s="232"/>
      <c r="BB5" s="138"/>
      <c r="BC5" s="139"/>
      <c r="BD5" s="217"/>
      <c r="BE5" s="138"/>
      <c r="BF5" s="139"/>
      <c r="BG5" s="212"/>
      <c r="BH5" s="138"/>
      <c r="BI5" s="139"/>
      <c r="BJ5" s="217"/>
      <c r="BK5" s="138"/>
      <c r="BL5" s="139"/>
      <c r="BM5" s="217"/>
      <c r="BN5" s="138"/>
      <c r="BO5" s="139"/>
      <c r="BP5" s="138"/>
      <c r="BQ5" s="138"/>
      <c r="BR5" s="139"/>
      <c r="BS5" s="232"/>
      <c r="BT5" s="264"/>
      <c r="BU5" s="139"/>
      <c r="BV5" s="217"/>
      <c r="BW5" s="138"/>
      <c r="BX5" s="139"/>
      <c r="BY5" s="217"/>
      <c r="BZ5" s="138"/>
      <c r="CA5" s="272"/>
      <c r="CB5" s="212"/>
      <c r="CC5" s="138"/>
      <c r="CD5" s="139"/>
      <c r="CE5" s="217"/>
      <c r="CF5" s="138"/>
      <c r="CG5" s="139"/>
      <c r="CH5" s="217"/>
      <c r="CI5" s="138"/>
      <c r="CJ5" s="139"/>
      <c r="CK5" s="217"/>
      <c r="CL5" s="138"/>
      <c r="CM5" s="139"/>
      <c r="CN5" s="217"/>
      <c r="CO5" s="138"/>
      <c r="CP5" s="139"/>
      <c r="CQ5" s="217"/>
      <c r="CR5" s="138"/>
      <c r="CS5" s="139"/>
      <c r="CT5" s="217"/>
      <c r="CU5" s="138"/>
      <c r="CV5" s="139"/>
      <c r="CW5" s="217"/>
      <c r="CX5" s="138"/>
      <c r="CY5" s="139"/>
      <c r="CZ5" s="217"/>
      <c r="DA5" s="138"/>
      <c r="DB5" s="138"/>
      <c r="DC5" s="176"/>
    </row>
    <row r="6" spans="1:107" s="12" customFormat="1" ht="32.25" customHeight="1" x14ac:dyDescent="0.2">
      <c r="A6" s="166" t="s">
        <v>1013</v>
      </c>
      <c r="B6" s="162" t="s">
        <v>14</v>
      </c>
      <c r="C6" s="162" t="s">
        <v>753</v>
      </c>
      <c r="D6" s="162" t="s">
        <v>34</v>
      </c>
      <c r="E6" s="230"/>
      <c r="F6" s="162"/>
      <c r="G6" s="162">
        <f>F6-E6</f>
        <v>0</v>
      </c>
      <c r="H6" s="163">
        <f>SUM(M6+P6+S6+V6+Y6+AB6+AE6+AH6+AK6+AN6+AQ6+AT6+AW6+AZ6+BC6+BF6+BI6+BL6+BO6+BR6+BU6+BX6+CA6+CD6+CG6+CJ6+CM6+CP6+CS6+CV6+CY6)</f>
        <v>404.02</v>
      </c>
      <c r="I6" s="173">
        <f>J6+K6</f>
        <v>0</v>
      </c>
      <c r="J6" s="138">
        <f>COUNTIF(M6:DC6,"POSTO S. RITA")</f>
        <v>0</v>
      </c>
      <c r="K6" s="138">
        <f>COUNTIF(N6:DD6,"POSTO VIP")</f>
        <v>0</v>
      </c>
      <c r="L6" s="162"/>
      <c r="M6" s="139"/>
      <c r="N6" s="217"/>
      <c r="O6" s="138"/>
      <c r="P6" s="139"/>
      <c r="Q6" s="212"/>
      <c r="R6" s="138"/>
      <c r="S6" s="139"/>
      <c r="T6" s="212"/>
      <c r="U6" s="138"/>
      <c r="V6" s="139"/>
      <c r="W6" s="217"/>
      <c r="X6" s="138"/>
      <c r="Y6" s="139"/>
      <c r="Z6" s="212"/>
      <c r="AA6" s="138"/>
      <c r="AB6" s="139"/>
      <c r="AC6" s="217"/>
      <c r="AD6" s="138"/>
      <c r="AE6" s="139"/>
      <c r="AF6" s="138"/>
      <c r="AG6" s="138"/>
      <c r="AH6" s="139"/>
      <c r="AI6" s="212"/>
      <c r="AJ6" s="138"/>
      <c r="AK6" s="139"/>
      <c r="AL6" s="212"/>
      <c r="AM6" s="138"/>
      <c r="AN6" s="139"/>
      <c r="AO6" s="212"/>
      <c r="AP6" s="138"/>
      <c r="AQ6" s="139"/>
      <c r="AR6" s="212"/>
      <c r="AS6" s="138"/>
      <c r="AT6" s="139"/>
      <c r="AU6" s="212"/>
      <c r="AV6" s="138"/>
      <c r="AW6" s="139"/>
      <c r="AX6" s="212"/>
      <c r="AY6" s="138"/>
      <c r="AZ6" s="139"/>
      <c r="BA6" s="217"/>
      <c r="BB6" s="138"/>
      <c r="BC6" s="139"/>
      <c r="BD6" s="212"/>
      <c r="BE6" s="138"/>
      <c r="BF6" s="139"/>
      <c r="BG6" s="212"/>
      <c r="BH6" s="138"/>
      <c r="BI6" s="139"/>
      <c r="BJ6" s="217"/>
      <c r="BK6" s="138"/>
      <c r="BL6" s="139"/>
      <c r="BM6" s="232"/>
      <c r="BN6" s="138"/>
      <c r="BO6" s="163"/>
      <c r="BP6" s="162"/>
      <c r="BQ6" s="162"/>
      <c r="BR6" s="163">
        <v>404.02</v>
      </c>
      <c r="BS6" s="216">
        <v>65.165000000000006</v>
      </c>
      <c r="BT6" s="268" t="s">
        <v>866</v>
      </c>
      <c r="BU6" s="163"/>
      <c r="BV6" s="216"/>
      <c r="BW6" s="162"/>
      <c r="BX6" s="163"/>
      <c r="BY6" s="253"/>
      <c r="BZ6" s="162"/>
      <c r="CA6" s="163"/>
      <c r="CB6" s="262"/>
      <c r="CC6" s="162"/>
      <c r="CD6" s="163"/>
      <c r="CE6" s="216"/>
      <c r="CF6" s="162"/>
      <c r="CG6" s="163"/>
      <c r="CH6" s="262"/>
      <c r="CI6" s="162"/>
      <c r="CJ6" s="163"/>
      <c r="CK6" s="262"/>
      <c r="CL6" s="162"/>
      <c r="CM6" s="163"/>
      <c r="CN6" s="216"/>
      <c r="CO6" s="162"/>
      <c r="CP6" s="163"/>
      <c r="CQ6" s="216"/>
      <c r="CR6" s="162"/>
      <c r="CS6" s="163"/>
      <c r="CT6" s="262"/>
      <c r="CU6" s="162"/>
      <c r="CV6" s="163"/>
      <c r="CW6" s="262"/>
      <c r="CX6" s="162"/>
      <c r="CY6" s="163"/>
      <c r="CZ6" s="262"/>
      <c r="DA6" s="162"/>
      <c r="DB6" s="162"/>
      <c r="DC6" s="263"/>
    </row>
    <row r="7" spans="1:107" s="12" customFormat="1" ht="32.25" customHeight="1" x14ac:dyDescent="0.2">
      <c r="A7" s="166" t="s">
        <v>982</v>
      </c>
      <c r="B7" s="162" t="s">
        <v>5</v>
      </c>
      <c r="C7" s="230" t="s">
        <v>802</v>
      </c>
      <c r="D7" s="230" t="s">
        <v>503</v>
      </c>
      <c r="E7" s="230">
        <v>20086</v>
      </c>
      <c r="F7" s="230">
        <v>20113</v>
      </c>
      <c r="G7" s="230">
        <f>F7-E7</f>
        <v>27</v>
      </c>
      <c r="H7" s="221">
        <f>SUM(M7+P7+S7+V7+Y7+AB7+AE7+AH7+AK7+AN7+AQ7+AT7+AW7+AZ7+BC7+BF7+BI7+BL7+BO7+BR7+BU7+BX7+CA7+CD7+CG7+CJ7+CM7+CP7+CS7+CV7+CY7)</f>
        <v>0</v>
      </c>
      <c r="I7" s="173">
        <f>J7+K7</f>
        <v>0</v>
      </c>
      <c r="J7" s="138">
        <f>COUNTIF(M7:DC7,"POSTO S. RITA")</f>
        <v>0</v>
      </c>
      <c r="K7" s="138">
        <f>COUNTIF(N7:DD7,"POSTO VIP")</f>
        <v>0</v>
      </c>
      <c r="L7" s="162"/>
      <c r="M7" s="139"/>
      <c r="N7" s="212"/>
      <c r="O7" s="138"/>
      <c r="P7" s="139"/>
      <c r="Q7" s="212"/>
      <c r="R7" s="138"/>
      <c r="S7" s="139"/>
      <c r="T7" s="212"/>
      <c r="U7" s="138"/>
      <c r="V7" s="139"/>
      <c r="W7" s="212"/>
      <c r="X7" s="138"/>
      <c r="Y7" s="139"/>
      <c r="Z7" s="212"/>
      <c r="AA7" s="138"/>
      <c r="AB7" s="139"/>
      <c r="AC7" s="217"/>
      <c r="AD7" s="138"/>
      <c r="AE7" s="139"/>
      <c r="AF7" s="138"/>
      <c r="AG7" s="138"/>
      <c r="AH7" s="139"/>
      <c r="AI7" s="212"/>
      <c r="AJ7" s="138"/>
      <c r="AK7" s="139"/>
      <c r="AL7" s="217"/>
      <c r="AM7" s="138"/>
      <c r="AN7" s="139"/>
      <c r="AO7" s="217"/>
      <c r="AP7" s="138"/>
      <c r="AQ7" s="139"/>
      <c r="AR7" s="212"/>
      <c r="AS7" s="138"/>
      <c r="AT7" s="139"/>
      <c r="AU7" s="212"/>
      <c r="AV7" s="138"/>
      <c r="AW7" s="139"/>
      <c r="AX7" s="217"/>
      <c r="AY7" s="138"/>
      <c r="AZ7" s="139"/>
      <c r="BA7" s="212"/>
      <c r="BB7" s="138"/>
      <c r="BC7" s="139"/>
      <c r="BD7" s="212"/>
      <c r="BE7" s="138"/>
      <c r="BF7" s="139"/>
      <c r="BG7" s="217"/>
      <c r="BH7" s="138"/>
      <c r="BI7" s="139"/>
      <c r="BJ7" s="217"/>
      <c r="BK7" s="138"/>
      <c r="BL7" s="163"/>
      <c r="BM7" s="216"/>
      <c r="BN7" s="162"/>
      <c r="BO7" s="163"/>
      <c r="BP7" s="262"/>
      <c r="BQ7" s="162"/>
      <c r="BR7" s="163"/>
      <c r="BS7" s="216"/>
      <c r="BT7" s="162"/>
      <c r="BU7" s="163"/>
      <c r="BV7" s="262"/>
      <c r="BW7" s="162"/>
      <c r="BX7" s="163"/>
      <c r="BY7" s="262"/>
      <c r="BZ7" s="162"/>
      <c r="CA7" s="163"/>
      <c r="CB7" s="262"/>
      <c r="CC7" s="162"/>
      <c r="CD7" s="163"/>
      <c r="CE7" s="216"/>
      <c r="CF7" s="162"/>
      <c r="CG7" s="163"/>
      <c r="CH7" s="262"/>
      <c r="CI7" s="162"/>
      <c r="CJ7" s="163"/>
      <c r="CK7" s="262"/>
      <c r="CL7" s="162"/>
      <c r="CM7" s="163"/>
      <c r="CN7" s="262"/>
      <c r="CO7" s="162"/>
      <c r="CP7" s="163"/>
      <c r="CQ7" s="262"/>
      <c r="CR7" s="162"/>
      <c r="CS7" s="163"/>
      <c r="CT7" s="262"/>
      <c r="CU7" s="162"/>
      <c r="CV7" s="163"/>
      <c r="CW7" s="262"/>
      <c r="CX7" s="162"/>
      <c r="CY7" s="163"/>
      <c r="CZ7" s="262"/>
      <c r="DA7" s="162"/>
      <c r="DB7" s="162"/>
      <c r="DC7" s="263"/>
    </row>
  </sheetData>
  <autoFilter ref="A2:DC7" xr:uid="{00000000-0009-0000-0000-00000F000000}"/>
  <mergeCells count="34">
    <mergeCell ref="CV1:CX1"/>
    <mergeCell ref="CY1:DA1"/>
    <mergeCell ref="DB1:DB2"/>
    <mergeCell ref="DC1:DC2"/>
    <mergeCell ref="CD1:CF1"/>
    <mergeCell ref="CG1:CI1"/>
    <mergeCell ref="CJ1:CL1"/>
    <mergeCell ref="CM1:CO1"/>
    <mergeCell ref="CP1:CR1"/>
    <mergeCell ref="CS1:CU1"/>
    <mergeCell ref="CA1:CC1"/>
    <mergeCell ref="AT1:AV1"/>
    <mergeCell ref="AW1:AY1"/>
    <mergeCell ref="AZ1:BB1"/>
    <mergeCell ref="BC1:BE1"/>
    <mergeCell ref="BF1:BH1"/>
    <mergeCell ref="BI1:BK1"/>
    <mergeCell ref="BL1:BN1"/>
    <mergeCell ref="BO1:BQ1"/>
    <mergeCell ref="BR1:BT1"/>
    <mergeCell ref="BU1:BW1"/>
    <mergeCell ref="BX1:BZ1"/>
    <mergeCell ref="AQ1:AS1"/>
    <mergeCell ref="C1:L1"/>
    <mergeCell ref="M1:O1"/>
    <mergeCell ref="P1:R1"/>
    <mergeCell ref="S1:U1"/>
    <mergeCell ref="V1:X1"/>
    <mergeCell ref="Y1:AA1"/>
    <mergeCell ref="AB1:AD1"/>
    <mergeCell ref="AE1:AG1"/>
    <mergeCell ref="AH1:AJ1"/>
    <mergeCell ref="AK1:AM1"/>
    <mergeCell ref="AN1:AP1"/>
  </mergeCells>
  <conditionalFormatting sqref="G2 A3:XFD7">
    <cfRule type="cellIs" dxfId="1" priority="3" operator="equal">
      <formula>0</formula>
    </cfRule>
  </conditionalFormatting>
  <conditionalFormatting sqref="G3:G7">
    <cfRule type="cellIs" dxfId="0" priority="2" operator="greaterThanOrEqual">
      <formula>3001</formula>
    </cfRule>
  </conditionalFormatting>
  <dataValidations count="1">
    <dataValidation type="list" allowBlank="1" showInputMessage="1" showErrorMessage="1" sqref="O3:O7" xr:uid="{00000000-0002-0000-0F00-000000000000}">
      <formula1>"POSTO VIP, POSTO S. RITA"</formula1>
    </dataValidation>
  </dataValidations>
  <printOptions horizontalCentered="1"/>
  <pageMargins left="0.11811023622047245" right="0.11811023622047245" top="0.59055118110236227" bottom="0.59055118110236227" header="0.31496062992125984" footer="0.31496062992125984"/>
  <pageSetup paperSize="9" scale="6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7"/>
  <sheetViews>
    <sheetView workbookViewId="0">
      <pane ySplit="2" topLeftCell="A45" activePane="bottomLeft" state="frozen"/>
      <selection pane="bottomLeft" activeCell="A62" sqref="A62"/>
    </sheetView>
  </sheetViews>
  <sheetFormatPr defaultColWidth="9.140625" defaultRowHeight="15" x14ac:dyDescent="0.25"/>
  <cols>
    <col min="1" max="1" width="21.28515625" style="9" customWidth="1"/>
    <col min="2" max="2" width="26" style="9" bestFit="1" customWidth="1"/>
    <col min="3" max="3" width="15.7109375" style="9" customWidth="1"/>
    <col min="4" max="4" width="14.28515625" style="9" customWidth="1"/>
    <col min="5" max="5" width="20.85546875" style="9" bestFit="1" customWidth="1"/>
    <col min="6" max="6" width="20.85546875" style="9" customWidth="1"/>
    <col min="7" max="7" width="23.42578125" style="455" customWidth="1"/>
    <col min="8" max="8" width="65.7109375" style="9" bestFit="1" customWidth="1"/>
    <col min="9" max="9" width="52.7109375" style="9" bestFit="1" customWidth="1"/>
    <col min="10" max="10" width="14.5703125" style="9" bestFit="1" customWidth="1"/>
    <col min="11" max="16384" width="9.140625" style="9"/>
  </cols>
  <sheetData>
    <row r="1" spans="1:9" ht="40.5" customHeight="1" x14ac:dyDescent="0.45">
      <c r="B1" s="691" t="s">
        <v>911</v>
      </c>
      <c r="C1" s="692"/>
      <c r="D1" s="692"/>
      <c r="E1" s="692"/>
      <c r="F1" s="692"/>
      <c r="G1" s="692"/>
      <c r="H1" s="692"/>
      <c r="I1" s="692"/>
    </row>
    <row r="2" spans="1:9" ht="18.75" x14ac:dyDescent="0.3">
      <c r="A2" s="420" t="s">
        <v>876</v>
      </c>
      <c r="B2" s="420" t="s">
        <v>877</v>
      </c>
      <c r="C2" s="420" t="s">
        <v>878</v>
      </c>
      <c r="D2" s="420" t="s">
        <v>0</v>
      </c>
      <c r="E2" s="420" t="s">
        <v>912</v>
      </c>
      <c r="F2" s="420" t="s">
        <v>1707</v>
      </c>
      <c r="G2" s="439" t="s">
        <v>1029</v>
      </c>
      <c r="H2" s="420" t="s">
        <v>464</v>
      </c>
      <c r="I2" s="420" t="s">
        <v>986</v>
      </c>
    </row>
    <row r="3" spans="1:9" x14ac:dyDescent="0.25">
      <c r="A3" s="548" t="s">
        <v>882</v>
      </c>
      <c r="B3" s="549" t="s">
        <v>1041</v>
      </c>
      <c r="C3" s="549" t="s">
        <v>888</v>
      </c>
      <c r="D3" s="550" t="s">
        <v>1043</v>
      </c>
      <c r="E3" s="551" t="s">
        <v>1000</v>
      </c>
      <c r="F3" s="551"/>
      <c r="G3" s="552"/>
      <c r="H3" s="553"/>
      <c r="I3" s="554"/>
    </row>
    <row r="4" spans="1:9" x14ac:dyDescent="0.25">
      <c r="A4" s="555" t="s">
        <v>405</v>
      </c>
      <c r="B4" s="556" t="s">
        <v>1180</v>
      </c>
      <c r="C4" s="556" t="s">
        <v>14</v>
      </c>
      <c r="D4" s="557"/>
      <c r="E4" s="558" t="s">
        <v>1001</v>
      </c>
      <c r="F4" s="558"/>
      <c r="G4" s="559"/>
      <c r="H4" s="560"/>
      <c r="I4" s="561"/>
    </row>
    <row r="5" spans="1:9" x14ac:dyDescent="0.25">
      <c r="A5" s="555" t="s">
        <v>900</v>
      </c>
      <c r="B5" s="556" t="s">
        <v>1134</v>
      </c>
      <c r="C5" s="556" t="s">
        <v>888</v>
      </c>
      <c r="D5" s="562" t="s">
        <v>310</v>
      </c>
      <c r="E5" s="558" t="s">
        <v>1000</v>
      </c>
      <c r="F5" s="558"/>
      <c r="G5" s="559"/>
      <c r="H5" s="560"/>
      <c r="I5" s="561"/>
    </row>
    <row r="6" spans="1:9" x14ac:dyDescent="0.25">
      <c r="A6" s="555" t="s">
        <v>900</v>
      </c>
      <c r="B6" s="556" t="s">
        <v>139</v>
      </c>
      <c r="C6" s="556" t="s">
        <v>888</v>
      </c>
      <c r="D6" s="562" t="s">
        <v>901</v>
      </c>
      <c r="E6" s="558" t="s">
        <v>1000</v>
      </c>
      <c r="F6" s="558"/>
      <c r="G6" s="559"/>
      <c r="H6" s="560"/>
      <c r="I6" s="563" t="s">
        <v>1133</v>
      </c>
    </row>
    <row r="7" spans="1:9" x14ac:dyDescent="0.25">
      <c r="A7" s="555" t="s">
        <v>937</v>
      </c>
      <c r="B7" s="556" t="s">
        <v>938</v>
      </c>
      <c r="C7" s="556" t="s">
        <v>53</v>
      </c>
      <c r="D7" s="565" t="s">
        <v>444</v>
      </c>
      <c r="E7" s="566"/>
      <c r="F7" s="566"/>
      <c r="G7" s="559"/>
      <c r="H7" s="556"/>
      <c r="I7" s="567" t="s">
        <v>987</v>
      </c>
    </row>
    <row r="8" spans="1:9" x14ac:dyDescent="0.25">
      <c r="A8" s="555" t="s">
        <v>856</v>
      </c>
      <c r="B8" s="556" t="s">
        <v>390</v>
      </c>
      <c r="C8" s="556"/>
      <c r="D8" s="565"/>
      <c r="E8" s="568"/>
      <c r="F8" s="568"/>
      <c r="G8" s="559"/>
      <c r="H8" s="569" t="s">
        <v>1378</v>
      </c>
      <c r="I8" s="567" t="s">
        <v>1102</v>
      </c>
    </row>
    <row r="9" spans="1:9" x14ac:dyDescent="0.25">
      <c r="A9" s="555" t="s">
        <v>856</v>
      </c>
      <c r="B9" s="556" t="s">
        <v>467</v>
      </c>
      <c r="C9" s="556"/>
      <c r="D9" s="565"/>
      <c r="E9" s="570"/>
      <c r="F9" s="570"/>
      <c r="G9" s="571"/>
      <c r="H9" s="572"/>
      <c r="I9" s="567"/>
    </row>
    <row r="10" spans="1:9" x14ac:dyDescent="0.25">
      <c r="A10" s="555" t="s">
        <v>856</v>
      </c>
      <c r="B10" s="556" t="s">
        <v>1331</v>
      </c>
      <c r="C10" s="556"/>
      <c r="D10" s="565"/>
      <c r="E10" s="574"/>
      <c r="F10" s="574"/>
      <c r="G10" s="559"/>
      <c r="H10" s="572" t="s">
        <v>1397</v>
      </c>
      <c r="I10" s="563"/>
    </row>
    <row r="11" spans="1:9" x14ac:dyDescent="0.25">
      <c r="A11" s="575" t="s">
        <v>856</v>
      </c>
      <c r="B11" s="564" t="s">
        <v>504</v>
      </c>
      <c r="C11" s="556" t="s">
        <v>1586</v>
      </c>
      <c r="D11" s="577" t="s">
        <v>1558</v>
      </c>
      <c r="E11" s="570" t="s">
        <v>1587</v>
      </c>
      <c r="F11" s="570"/>
      <c r="G11" s="559"/>
      <c r="H11" s="569" t="s">
        <v>1588</v>
      </c>
      <c r="I11" s="576" t="s">
        <v>1589</v>
      </c>
    </row>
    <row r="12" spans="1:9" x14ac:dyDescent="0.25">
      <c r="A12" s="575" t="s">
        <v>1282</v>
      </c>
      <c r="B12" s="564" t="s">
        <v>1055</v>
      </c>
      <c r="C12" s="556" t="s">
        <v>1724</v>
      </c>
      <c r="D12" s="565" t="s">
        <v>1638</v>
      </c>
      <c r="E12" s="574"/>
      <c r="F12" s="574"/>
      <c r="G12" s="559"/>
      <c r="H12" s="572"/>
      <c r="I12" s="576"/>
    </row>
    <row r="13" spans="1:9" x14ac:dyDescent="0.25">
      <c r="A13" s="575" t="s">
        <v>1283</v>
      </c>
      <c r="B13" s="564" t="s">
        <v>1340</v>
      </c>
      <c r="C13" s="556"/>
      <c r="D13" s="565"/>
      <c r="E13" s="573"/>
      <c r="F13" s="573"/>
      <c r="G13" s="559"/>
      <c r="H13" s="572"/>
      <c r="I13" s="576"/>
    </row>
    <row r="14" spans="1:9" x14ac:dyDescent="0.25">
      <c r="A14" s="575" t="s">
        <v>1283</v>
      </c>
      <c r="B14" s="564" t="s">
        <v>306</v>
      </c>
      <c r="C14" s="556"/>
      <c r="D14" s="565"/>
      <c r="E14" s="573"/>
      <c r="F14" s="573"/>
      <c r="G14" s="559"/>
      <c r="H14" s="572"/>
      <c r="I14" s="576"/>
    </row>
    <row r="15" spans="1:9" x14ac:dyDescent="0.25">
      <c r="A15" s="575" t="s">
        <v>1283</v>
      </c>
      <c r="B15" s="564" t="s">
        <v>1216</v>
      </c>
      <c r="C15" s="556"/>
      <c r="D15" s="565"/>
      <c r="E15" s="573"/>
      <c r="F15" s="573"/>
      <c r="G15" s="559"/>
      <c r="H15" s="572"/>
      <c r="I15" s="576"/>
    </row>
    <row r="16" spans="1:9" x14ac:dyDescent="0.25">
      <c r="A16" s="575" t="s">
        <v>1283</v>
      </c>
      <c r="B16" s="564" t="s">
        <v>1259</v>
      </c>
      <c r="C16" s="564"/>
      <c r="D16" s="577"/>
      <c r="E16" s="573"/>
      <c r="F16" s="573"/>
      <c r="G16" s="559"/>
      <c r="H16" s="572"/>
      <c r="I16" s="576"/>
    </row>
    <row r="17" spans="1:9" x14ac:dyDescent="0.25">
      <c r="A17" s="575" t="s">
        <v>1283</v>
      </c>
      <c r="B17" s="564" t="s">
        <v>1330</v>
      </c>
      <c r="C17" s="556"/>
      <c r="D17" s="565"/>
      <c r="E17" s="573"/>
      <c r="F17" s="573"/>
      <c r="G17" s="559"/>
      <c r="H17" s="572"/>
      <c r="I17" s="576"/>
    </row>
    <row r="18" spans="1:9" x14ac:dyDescent="0.25">
      <c r="A18" s="575" t="s">
        <v>1283</v>
      </c>
      <c r="B18" s="564" t="s">
        <v>1291</v>
      </c>
      <c r="C18" s="556"/>
      <c r="D18" s="565"/>
      <c r="E18" s="573"/>
      <c r="F18" s="573"/>
      <c r="G18" s="559"/>
      <c r="H18" s="572"/>
      <c r="I18" s="576"/>
    </row>
    <row r="19" spans="1:9" x14ac:dyDescent="0.25">
      <c r="A19" s="575" t="s">
        <v>1283</v>
      </c>
      <c r="B19" s="564" t="s">
        <v>835</v>
      </c>
      <c r="C19" s="556"/>
      <c r="D19" s="565"/>
      <c r="E19" s="573"/>
      <c r="F19" s="573"/>
      <c r="G19" s="559"/>
      <c r="H19" s="572"/>
      <c r="I19" s="576"/>
    </row>
    <row r="20" spans="1:9" x14ac:dyDescent="0.25">
      <c r="A20" s="575" t="s">
        <v>1283</v>
      </c>
      <c r="B20" s="564" t="s">
        <v>1284</v>
      </c>
      <c r="C20" s="564"/>
      <c r="D20" s="577"/>
      <c r="E20" s="573"/>
      <c r="F20" s="573"/>
      <c r="G20" s="559"/>
      <c r="H20" s="572"/>
      <c r="I20" s="576"/>
    </row>
    <row r="21" spans="1:9" x14ac:dyDescent="0.25">
      <c r="A21" s="575" t="s">
        <v>1152</v>
      </c>
      <c r="B21" s="564" t="s">
        <v>1153</v>
      </c>
      <c r="C21" s="564"/>
      <c r="D21" s="565"/>
      <c r="E21" s="578"/>
      <c r="F21" s="578"/>
      <c r="G21" s="559"/>
      <c r="H21" s="572"/>
      <c r="I21" s="576"/>
    </row>
    <row r="22" spans="1:9" x14ac:dyDescent="0.25">
      <c r="A22" s="575" t="s">
        <v>1152</v>
      </c>
      <c r="B22" s="564" t="s">
        <v>1157</v>
      </c>
      <c r="C22" s="564"/>
      <c r="D22" s="577"/>
      <c r="E22" s="578"/>
      <c r="F22" s="578"/>
      <c r="G22" s="559"/>
      <c r="H22" s="572"/>
      <c r="I22" s="567" t="s">
        <v>1206</v>
      </c>
    </row>
    <row r="23" spans="1:9" x14ac:dyDescent="0.25">
      <c r="A23" s="575" t="s">
        <v>1152</v>
      </c>
      <c r="B23" s="564" t="s">
        <v>1350</v>
      </c>
      <c r="C23" s="564"/>
      <c r="D23" s="577"/>
      <c r="E23" s="578"/>
      <c r="F23" s="578"/>
      <c r="G23" s="559"/>
      <c r="H23" s="572"/>
      <c r="I23" s="576"/>
    </row>
    <row r="24" spans="1:9" x14ac:dyDescent="0.25">
      <c r="A24" s="575" t="s">
        <v>1152</v>
      </c>
      <c r="B24" s="564" t="s">
        <v>563</v>
      </c>
      <c r="C24" s="564"/>
      <c r="D24" s="577"/>
      <c r="E24" s="578"/>
      <c r="F24" s="578"/>
      <c r="G24" s="559"/>
      <c r="H24" s="572"/>
      <c r="I24" s="576"/>
    </row>
    <row r="25" spans="1:9" x14ac:dyDescent="0.25">
      <c r="A25" s="575" t="s">
        <v>1152</v>
      </c>
      <c r="B25" s="564" t="s">
        <v>1287</v>
      </c>
      <c r="C25" s="564"/>
      <c r="D25" s="577"/>
      <c r="E25" s="578"/>
      <c r="F25" s="578"/>
      <c r="G25" s="559"/>
      <c r="H25" s="572"/>
      <c r="I25" s="576"/>
    </row>
    <row r="26" spans="1:9" x14ac:dyDescent="0.25">
      <c r="A26" s="575" t="s">
        <v>1152</v>
      </c>
      <c r="B26" s="564" t="s">
        <v>1450</v>
      </c>
      <c r="C26" s="564"/>
      <c r="D26" s="577"/>
      <c r="E26" s="578"/>
      <c r="F26" s="578"/>
      <c r="G26" s="559"/>
      <c r="H26" s="572"/>
      <c r="I26" s="576"/>
    </row>
    <row r="27" spans="1:9" x14ac:dyDescent="0.25">
      <c r="A27" s="575" t="s">
        <v>1152</v>
      </c>
      <c r="B27" s="564" t="s">
        <v>106</v>
      </c>
      <c r="C27" s="564"/>
      <c r="D27" s="577"/>
      <c r="E27" s="578"/>
      <c r="F27" s="578"/>
      <c r="G27" s="559"/>
      <c r="H27" s="572"/>
      <c r="I27" s="576"/>
    </row>
    <row r="28" spans="1:9" x14ac:dyDescent="0.25">
      <c r="A28" s="575" t="s">
        <v>1152</v>
      </c>
      <c r="B28" s="564" t="s">
        <v>1289</v>
      </c>
      <c r="C28" s="564"/>
      <c r="D28" s="577"/>
      <c r="E28" s="578"/>
      <c r="F28" s="578"/>
      <c r="G28" s="559"/>
      <c r="H28" s="572"/>
      <c r="I28" s="576"/>
    </row>
    <row r="29" spans="1:9" x14ac:dyDescent="0.25">
      <c r="A29" s="575" t="s">
        <v>1152</v>
      </c>
      <c r="B29" s="564" t="s">
        <v>1293</v>
      </c>
      <c r="C29" s="564"/>
      <c r="D29" s="577"/>
      <c r="E29" s="578"/>
      <c r="F29" s="578"/>
      <c r="G29" s="559"/>
      <c r="H29" s="572"/>
      <c r="I29" s="576"/>
    </row>
    <row r="30" spans="1:9" x14ac:dyDescent="0.25">
      <c r="A30" s="575" t="s">
        <v>1152</v>
      </c>
      <c r="B30" s="564" t="s">
        <v>894</v>
      </c>
      <c r="C30" s="564"/>
      <c r="D30" s="577"/>
      <c r="E30" s="578"/>
      <c r="F30" s="578"/>
      <c r="G30" s="559"/>
      <c r="H30" s="572"/>
      <c r="I30" s="576"/>
    </row>
    <row r="31" spans="1:9" x14ac:dyDescent="0.25">
      <c r="A31" s="575" t="s">
        <v>1152</v>
      </c>
      <c r="B31" s="564" t="s">
        <v>1201</v>
      </c>
      <c r="C31" s="564"/>
      <c r="D31" s="577"/>
      <c r="E31" s="578"/>
      <c r="F31" s="578"/>
      <c r="G31" s="559"/>
      <c r="H31" s="572"/>
      <c r="I31" s="576"/>
    </row>
    <row r="32" spans="1:9" x14ac:dyDescent="0.25">
      <c r="A32" s="575" t="s">
        <v>1152</v>
      </c>
      <c r="B32" s="564" t="s">
        <v>1368</v>
      </c>
      <c r="C32" s="564"/>
      <c r="D32" s="577"/>
      <c r="E32" s="578"/>
      <c r="F32" s="578"/>
      <c r="G32" s="559"/>
      <c r="H32" s="572"/>
      <c r="I32" s="576"/>
    </row>
    <row r="33" spans="1:9" x14ac:dyDescent="0.25">
      <c r="A33" s="575" t="s">
        <v>1273</v>
      </c>
      <c r="B33" s="564" t="s">
        <v>1270</v>
      </c>
      <c r="C33" s="564"/>
      <c r="D33" s="577"/>
      <c r="E33" s="578"/>
      <c r="F33" s="578"/>
      <c r="G33" s="559"/>
      <c r="H33" s="572"/>
      <c r="I33" s="576"/>
    </row>
    <row r="34" spans="1:9" x14ac:dyDescent="0.25">
      <c r="A34" s="575" t="s">
        <v>1273</v>
      </c>
      <c r="B34" s="564" t="s">
        <v>1286</v>
      </c>
      <c r="C34" s="564"/>
      <c r="D34" s="577"/>
      <c r="E34" s="578"/>
      <c r="F34" s="578"/>
      <c r="G34" s="559"/>
      <c r="H34" s="572"/>
      <c r="I34" s="576"/>
    </row>
    <row r="35" spans="1:9" x14ac:dyDescent="0.25">
      <c r="A35" s="575" t="s">
        <v>1273</v>
      </c>
      <c r="B35" s="564" t="s">
        <v>501</v>
      </c>
      <c r="C35" s="564"/>
      <c r="D35" s="577"/>
      <c r="E35" s="578"/>
      <c r="F35" s="578"/>
      <c r="G35" s="559"/>
      <c r="H35" s="572"/>
      <c r="I35" s="576"/>
    </row>
    <row r="36" spans="1:9" x14ac:dyDescent="0.25">
      <c r="A36" s="575" t="s">
        <v>1273</v>
      </c>
      <c r="B36" s="564" t="s">
        <v>1414</v>
      </c>
      <c r="C36" s="564"/>
      <c r="D36" s="577"/>
      <c r="E36" s="578"/>
      <c r="F36" s="578"/>
      <c r="G36" s="559"/>
      <c r="H36" s="572"/>
      <c r="I36" s="576"/>
    </row>
    <row r="37" spans="1:9" x14ac:dyDescent="0.25">
      <c r="A37" s="575" t="s">
        <v>1152</v>
      </c>
      <c r="B37" s="564" t="s">
        <v>1395</v>
      </c>
      <c r="C37" s="564"/>
      <c r="D37" s="577"/>
      <c r="E37" s="578"/>
      <c r="F37" s="578"/>
      <c r="G37" s="559"/>
      <c r="H37" s="572"/>
      <c r="I37" s="576"/>
    </row>
    <row r="38" spans="1:9" x14ac:dyDescent="0.25">
      <c r="A38" s="575" t="s">
        <v>1152</v>
      </c>
      <c r="B38" s="564" t="s">
        <v>1415</v>
      </c>
      <c r="C38" s="564"/>
      <c r="D38" s="577"/>
      <c r="E38" s="578"/>
      <c r="F38" s="578"/>
      <c r="G38" s="559"/>
      <c r="H38" s="572"/>
      <c r="I38" s="576"/>
    </row>
    <row r="39" spans="1:9" x14ac:dyDescent="0.25">
      <c r="A39" s="575" t="s">
        <v>1273</v>
      </c>
      <c r="B39" s="564" t="s">
        <v>1361</v>
      </c>
      <c r="C39" s="564"/>
      <c r="D39" s="577"/>
      <c r="E39" s="578"/>
      <c r="F39" s="578"/>
      <c r="G39" s="559"/>
      <c r="H39" s="572"/>
      <c r="I39" s="576"/>
    </row>
    <row r="40" spans="1:9" x14ac:dyDescent="0.25">
      <c r="A40" s="575" t="s">
        <v>1236</v>
      </c>
      <c r="B40" s="564" t="s">
        <v>1242</v>
      </c>
      <c r="C40" s="564"/>
      <c r="D40" s="565"/>
      <c r="E40" s="578"/>
      <c r="F40" s="578"/>
      <c r="G40" s="559"/>
      <c r="H40" s="572"/>
      <c r="I40" s="576"/>
    </row>
    <row r="41" spans="1:9" x14ac:dyDescent="0.25">
      <c r="A41" s="575" t="s">
        <v>1236</v>
      </c>
      <c r="B41" s="564" t="s">
        <v>211</v>
      </c>
      <c r="C41" s="564"/>
      <c r="D41" s="577"/>
      <c r="E41" s="578"/>
      <c r="F41" s="578"/>
      <c r="G41" s="559"/>
      <c r="H41" s="572"/>
      <c r="I41" s="576"/>
    </row>
    <row r="42" spans="1:9" x14ac:dyDescent="0.25">
      <c r="A42" s="575" t="s">
        <v>1236</v>
      </c>
      <c r="B42" s="564" t="s">
        <v>1243</v>
      </c>
      <c r="C42" s="564"/>
      <c r="D42" s="565"/>
      <c r="E42" s="578"/>
      <c r="F42" s="578"/>
      <c r="G42" s="559"/>
      <c r="H42" s="572"/>
      <c r="I42" s="576"/>
    </row>
    <row r="43" spans="1:9" x14ac:dyDescent="0.25">
      <c r="A43" s="575" t="s">
        <v>1509</v>
      </c>
      <c r="B43" s="564" t="s">
        <v>1377</v>
      </c>
      <c r="C43" s="564"/>
      <c r="D43" s="577"/>
      <c r="E43" s="578"/>
      <c r="F43" s="578"/>
      <c r="G43" s="559"/>
      <c r="H43" s="556"/>
      <c r="I43" s="567"/>
    </row>
    <row r="44" spans="1:9" x14ac:dyDescent="0.25">
      <c r="A44" s="575" t="s">
        <v>1509</v>
      </c>
      <c r="B44" s="564" t="s">
        <v>300</v>
      </c>
      <c r="C44" s="564"/>
      <c r="D44" s="577"/>
      <c r="E44" s="578" t="s">
        <v>1531</v>
      </c>
      <c r="F44" s="578"/>
      <c r="G44" s="559"/>
      <c r="H44" s="556"/>
      <c r="I44" s="567"/>
    </row>
    <row r="45" spans="1:9" x14ac:dyDescent="0.25">
      <c r="A45" s="575" t="s">
        <v>1509</v>
      </c>
      <c r="B45" s="564" t="s">
        <v>1388</v>
      </c>
      <c r="C45" s="564"/>
      <c r="D45" s="577"/>
      <c r="E45" s="578" t="s">
        <v>1531</v>
      </c>
      <c r="F45" s="578"/>
      <c r="G45" s="559"/>
      <c r="H45" s="556"/>
      <c r="I45" s="567"/>
    </row>
    <row r="46" spans="1:9" x14ac:dyDescent="0.25">
      <c r="A46" s="575" t="s">
        <v>1509</v>
      </c>
      <c r="B46" s="564" t="s">
        <v>1520</v>
      </c>
      <c r="C46" s="564"/>
      <c r="D46" s="577"/>
      <c r="E46" s="578" t="s">
        <v>1532</v>
      </c>
      <c r="F46" s="578"/>
      <c r="G46" s="559"/>
      <c r="H46" s="556"/>
      <c r="I46" s="567"/>
    </row>
    <row r="47" spans="1:9" x14ac:dyDescent="0.25">
      <c r="A47" s="575" t="s">
        <v>1509</v>
      </c>
      <c r="B47" s="564" t="s">
        <v>1521</v>
      </c>
      <c r="C47" s="564"/>
      <c r="D47" s="577"/>
      <c r="E47" s="578" t="s">
        <v>1532</v>
      </c>
      <c r="F47" s="578"/>
      <c r="G47" s="559"/>
      <c r="H47" s="556"/>
      <c r="I47" s="567"/>
    </row>
    <row r="48" spans="1:9" x14ac:dyDescent="0.25">
      <c r="A48" s="575" t="s">
        <v>1509</v>
      </c>
      <c r="B48" s="564" t="s">
        <v>1522</v>
      </c>
      <c r="C48" s="564"/>
      <c r="D48" s="577"/>
      <c r="E48" s="578" t="s">
        <v>1526</v>
      </c>
      <c r="F48" s="578"/>
      <c r="G48" s="559"/>
      <c r="H48" s="556"/>
      <c r="I48" s="567"/>
    </row>
    <row r="49" spans="1:9" x14ac:dyDescent="0.25">
      <c r="A49" s="575" t="s">
        <v>1509</v>
      </c>
      <c r="B49" s="564" t="s">
        <v>1487</v>
      </c>
      <c r="C49" s="564"/>
      <c r="D49" s="577"/>
      <c r="E49" s="578"/>
      <c r="F49" s="578"/>
      <c r="G49" s="559"/>
      <c r="H49" s="556"/>
      <c r="I49" s="567"/>
    </row>
    <row r="50" spans="1:9" x14ac:dyDescent="0.25">
      <c r="A50" s="575" t="s">
        <v>1509</v>
      </c>
      <c r="B50" s="564" t="s">
        <v>1523</v>
      </c>
      <c r="C50" s="564"/>
      <c r="D50" s="577"/>
      <c r="E50" s="578"/>
      <c r="F50" s="578"/>
      <c r="G50" s="559"/>
      <c r="H50" s="556"/>
      <c r="I50" s="567"/>
    </row>
    <row r="51" spans="1:9" x14ac:dyDescent="0.25">
      <c r="A51" s="575" t="s">
        <v>1509</v>
      </c>
      <c r="B51" s="564" t="s">
        <v>1524</v>
      </c>
      <c r="C51" s="564"/>
      <c r="D51" s="577"/>
      <c r="E51" s="578"/>
      <c r="F51" s="578"/>
      <c r="G51" s="559"/>
      <c r="H51" s="556"/>
      <c r="I51" s="567"/>
    </row>
    <row r="52" spans="1:9" x14ac:dyDescent="0.25">
      <c r="A52" s="575" t="s">
        <v>1509</v>
      </c>
      <c r="B52" s="564" t="s">
        <v>231</v>
      </c>
      <c r="C52" s="564"/>
      <c r="D52" s="577"/>
      <c r="E52" s="578" t="s">
        <v>1531</v>
      </c>
      <c r="F52" s="578"/>
      <c r="G52" s="559"/>
      <c r="H52" s="556"/>
      <c r="I52" s="567"/>
    </row>
    <row r="53" spans="1:9" x14ac:dyDescent="0.25">
      <c r="A53" s="575" t="s">
        <v>1510</v>
      </c>
      <c r="B53" s="564" t="s">
        <v>1515</v>
      </c>
      <c r="C53" s="564"/>
      <c r="D53" s="577"/>
      <c r="E53" s="578" t="s">
        <v>1530</v>
      </c>
      <c r="F53" s="578"/>
      <c r="G53" s="559"/>
      <c r="H53" s="556"/>
      <c r="I53" s="567"/>
    </row>
    <row r="54" spans="1:9" x14ac:dyDescent="0.25">
      <c r="A54" s="575" t="s">
        <v>1510</v>
      </c>
      <c r="B54" s="564" t="s">
        <v>1516</v>
      </c>
      <c r="C54" s="564"/>
      <c r="D54" s="577"/>
      <c r="E54" s="578" t="s">
        <v>1525</v>
      </c>
      <c r="F54" s="578"/>
      <c r="G54" s="559"/>
      <c r="H54" s="556"/>
      <c r="I54" s="567"/>
    </row>
    <row r="55" spans="1:9" x14ac:dyDescent="0.25">
      <c r="A55" s="575" t="s">
        <v>1510</v>
      </c>
      <c r="B55" s="564" t="s">
        <v>1517</v>
      </c>
      <c r="C55" s="564"/>
      <c r="D55" s="577"/>
      <c r="E55" s="578" t="s">
        <v>1527</v>
      </c>
      <c r="F55" s="578"/>
      <c r="G55" s="559"/>
      <c r="H55" s="556"/>
      <c r="I55" s="567"/>
    </row>
    <row r="56" spans="1:9" x14ac:dyDescent="0.25">
      <c r="A56" s="575" t="s">
        <v>1510</v>
      </c>
      <c r="B56" s="564" t="s">
        <v>1511</v>
      </c>
      <c r="C56" s="564"/>
      <c r="D56" s="577"/>
      <c r="E56" s="578" t="s">
        <v>1525</v>
      </c>
      <c r="F56" s="578"/>
      <c r="G56" s="559"/>
      <c r="H56" s="556"/>
      <c r="I56" s="567"/>
    </row>
    <row r="57" spans="1:9" x14ac:dyDescent="0.25">
      <c r="A57" s="575" t="s">
        <v>1510</v>
      </c>
      <c r="B57" s="564" t="s">
        <v>1518</v>
      </c>
      <c r="C57" s="564"/>
      <c r="D57" s="577" t="s">
        <v>1224</v>
      </c>
      <c r="E57" s="578" t="s">
        <v>1526</v>
      </c>
      <c r="F57" s="578" t="s">
        <v>1708</v>
      </c>
      <c r="G57" s="559"/>
      <c r="H57" s="556"/>
      <c r="I57" s="567"/>
    </row>
    <row r="58" spans="1:9" x14ac:dyDescent="0.25">
      <c r="A58" s="575" t="s">
        <v>1510</v>
      </c>
      <c r="B58" s="564" t="s">
        <v>1519</v>
      </c>
      <c r="C58" s="564"/>
      <c r="D58" s="577"/>
      <c r="E58" s="578" t="s">
        <v>1525</v>
      </c>
      <c r="F58" s="578"/>
      <c r="G58" s="559"/>
      <c r="H58" s="556"/>
      <c r="I58" s="567"/>
    </row>
    <row r="59" spans="1:9" x14ac:dyDescent="0.25">
      <c r="A59" s="575" t="s">
        <v>1510</v>
      </c>
      <c r="B59" s="564" t="s">
        <v>1513</v>
      </c>
      <c r="C59" s="564"/>
      <c r="D59" s="577"/>
      <c r="E59" s="578" t="s">
        <v>1528</v>
      </c>
      <c r="F59" s="578"/>
      <c r="G59" s="559"/>
      <c r="H59" s="556"/>
      <c r="I59" s="567"/>
    </row>
    <row r="60" spans="1:9" x14ac:dyDescent="0.25">
      <c r="A60" s="575" t="s">
        <v>1510</v>
      </c>
      <c r="B60" s="564" t="s">
        <v>1512</v>
      </c>
      <c r="C60" s="564"/>
      <c r="D60" s="577"/>
      <c r="E60" s="578" t="s">
        <v>1528</v>
      </c>
      <c r="F60" s="578"/>
      <c r="G60" s="559"/>
      <c r="H60" s="556"/>
      <c r="I60" s="567"/>
    </row>
    <row r="61" spans="1:9" x14ac:dyDescent="0.25">
      <c r="A61" s="579" t="s">
        <v>1510</v>
      </c>
      <c r="B61" s="580" t="s">
        <v>1514</v>
      </c>
      <c r="C61" s="580"/>
      <c r="D61" s="581"/>
      <c r="E61" s="582" t="s">
        <v>1529</v>
      </c>
      <c r="F61" s="582"/>
      <c r="G61" s="583"/>
      <c r="H61" s="584"/>
      <c r="I61" s="585"/>
    </row>
    <row r="62" spans="1:9" x14ac:dyDescent="0.25">
      <c r="A62" s="579"/>
      <c r="B62" s="580"/>
      <c r="C62" s="580"/>
      <c r="D62" s="581"/>
      <c r="E62" s="582"/>
      <c r="F62" s="582"/>
      <c r="G62" s="583"/>
      <c r="H62" s="584"/>
      <c r="I62" s="585"/>
    </row>
    <row r="63" spans="1:9" x14ac:dyDescent="0.25">
      <c r="A63" s="579"/>
      <c r="B63" s="580"/>
      <c r="C63" s="580"/>
      <c r="D63" s="581"/>
      <c r="E63" s="582"/>
      <c r="F63" s="582"/>
      <c r="G63" s="583"/>
      <c r="H63" s="584"/>
      <c r="I63" s="585"/>
    </row>
    <row r="64" spans="1:9" x14ac:dyDescent="0.25">
      <c r="A64" s="579"/>
      <c r="B64" s="580"/>
      <c r="C64" s="580"/>
      <c r="D64" s="581"/>
      <c r="E64" s="582"/>
      <c r="F64" s="582"/>
      <c r="G64" s="583"/>
      <c r="H64" s="584"/>
      <c r="I64" s="585"/>
    </row>
    <row r="65" spans="1:9" x14ac:dyDescent="0.25">
      <c r="A65" s="579"/>
      <c r="B65" s="580"/>
      <c r="C65" s="580"/>
      <c r="D65" s="581"/>
      <c r="E65" s="582"/>
      <c r="F65" s="582"/>
      <c r="G65" s="583"/>
      <c r="H65" s="584"/>
      <c r="I65" s="585"/>
    </row>
    <row r="66" spans="1:9" x14ac:dyDescent="0.25">
      <c r="A66" s="579"/>
      <c r="B66" s="580"/>
      <c r="C66" s="580"/>
      <c r="D66" s="581"/>
      <c r="E66" s="582"/>
      <c r="F66" s="582"/>
      <c r="G66" s="583"/>
      <c r="H66" s="584"/>
      <c r="I66" s="585"/>
    </row>
    <row r="67" spans="1:9" x14ac:dyDescent="0.25">
      <c r="A67" s="579"/>
      <c r="B67" s="580"/>
      <c r="C67" s="580"/>
      <c r="D67" s="581"/>
      <c r="E67" s="582"/>
      <c r="F67" s="582"/>
      <c r="G67" s="583"/>
      <c r="H67" s="584"/>
      <c r="I67" s="585"/>
    </row>
    <row r="68" spans="1:9" x14ac:dyDescent="0.25">
      <c r="A68" s="579"/>
      <c r="B68" s="580"/>
      <c r="C68" s="580"/>
      <c r="D68" s="581"/>
      <c r="E68" s="582"/>
      <c r="F68" s="582"/>
      <c r="G68" s="583"/>
      <c r="H68" s="584"/>
      <c r="I68" s="585"/>
    </row>
    <row r="69" spans="1:9" x14ac:dyDescent="0.25">
      <c r="A69" s="579"/>
      <c r="B69" s="580"/>
      <c r="C69" s="580"/>
      <c r="D69" s="581"/>
      <c r="E69" s="582"/>
      <c r="F69" s="582"/>
      <c r="G69" s="583"/>
      <c r="H69" s="584"/>
      <c r="I69" s="585"/>
    </row>
    <row r="70" spans="1:9" x14ac:dyDescent="0.25">
      <c r="A70" s="579"/>
      <c r="B70" s="580"/>
      <c r="C70" s="580"/>
      <c r="D70" s="581"/>
      <c r="E70" s="582"/>
      <c r="F70" s="582"/>
      <c r="G70" s="583"/>
      <c r="H70" s="584"/>
      <c r="I70" s="585"/>
    </row>
    <row r="71" spans="1:9" x14ac:dyDescent="0.25">
      <c r="A71" s="579"/>
      <c r="B71" s="580"/>
      <c r="C71" s="580"/>
      <c r="D71" s="581"/>
      <c r="E71" s="582"/>
      <c r="F71" s="582"/>
      <c r="G71" s="583"/>
      <c r="H71" s="584"/>
      <c r="I71" s="585"/>
    </row>
    <row r="72" spans="1:9" x14ac:dyDescent="0.25">
      <c r="A72" s="579"/>
      <c r="B72" s="580"/>
      <c r="C72" s="580"/>
      <c r="D72" s="581"/>
      <c r="E72" s="582"/>
      <c r="F72" s="582"/>
      <c r="G72" s="583"/>
      <c r="H72" s="584"/>
      <c r="I72" s="585"/>
    </row>
    <row r="73" spans="1:9" x14ac:dyDescent="0.25">
      <c r="A73" s="579"/>
      <c r="B73" s="580"/>
      <c r="C73" s="580"/>
      <c r="D73" s="581"/>
      <c r="E73" s="582"/>
      <c r="F73" s="582"/>
      <c r="G73" s="583"/>
      <c r="H73" s="584"/>
      <c r="I73" s="585"/>
    </row>
    <row r="74" spans="1:9" x14ac:dyDescent="0.25">
      <c r="A74" s="579"/>
      <c r="B74" s="580"/>
      <c r="C74" s="580"/>
      <c r="D74" s="581"/>
      <c r="E74" s="582"/>
      <c r="F74" s="582"/>
      <c r="G74" s="583"/>
      <c r="H74" s="584"/>
      <c r="I74" s="585"/>
    </row>
    <row r="75" spans="1:9" x14ac:dyDescent="0.25">
      <c r="A75" s="579"/>
      <c r="B75" s="580"/>
      <c r="C75" s="580"/>
      <c r="D75" s="581"/>
      <c r="E75" s="582"/>
      <c r="F75" s="582"/>
      <c r="G75" s="583"/>
      <c r="H75" s="584"/>
      <c r="I75" s="585"/>
    </row>
    <row r="76" spans="1:9" x14ac:dyDescent="0.25">
      <c r="A76" s="579"/>
      <c r="B76" s="580"/>
      <c r="C76" s="580"/>
      <c r="D76" s="581"/>
      <c r="E76" s="582"/>
      <c r="F76" s="582"/>
      <c r="G76" s="583"/>
      <c r="H76" s="584"/>
      <c r="I76" s="585"/>
    </row>
    <row r="77" spans="1:9" x14ac:dyDescent="0.25">
      <c r="A77" s="579"/>
      <c r="B77" s="580"/>
      <c r="C77" s="580"/>
      <c r="D77" s="581"/>
      <c r="E77" s="582"/>
      <c r="F77" s="582"/>
      <c r="G77" s="583"/>
      <c r="H77" s="584"/>
      <c r="I77" s="585"/>
    </row>
    <row r="78" spans="1:9" x14ac:dyDescent="0.25">
      <c r="A78" s="579"/>
      <c r="B78" s="580"/>
      <c r="C78" s="580"/>
      <c r="D78" s="581"/>
      <c r="E78" s="582"/>
      <c r="F78" s="582"/>
      <c r="G78" s="583"/>
      <c r="H78" s="584"/>
      <c r="I78" s="585"/>
    </row>
    <row r="79" spans="1:9" x14ac:dyDescent="0.25">
      <c r="A79" s="579"/>
      <c r="B79" s="580"/>
      <c r="C79" s="580"/>
      <c r="D79" s="581"/>
      <c r="E79" s="582"/>
      <c r="F79" s="582"/>
      <c r="G79" s="583"/>
      <c r="H79" s="584"/>
      <c r="I79" s="585"/>
    </row>
    <row r="80" spans="1:9" x14ac:dyDescent="0.25">
      <c r="A80" s="579"/>
      <c r="B80" s="580"/>
      <c r="C80" s="580"/>
      <c r="D80" s="581"/>
      <c r="E80" s="582"/>
      <c r="F80" s="582"/>
      <c r="G80" s="583"/>
      <c r="H80" s="584"/>
      <c r="I80" s="585"/>
    </row>
    <row r="81" spans="1:9" x14ac:dyDescent="0.25">
      <c r="A81" s="579"/>
      <c r="B81" s="580"/>
      <c r="C81" s="580"/>
      <c r="D81" s="581"/>
      <c r="E81" s="582"/>
      <c r="F81" s="582"/>
      <c r="G81" s="583"/>
      <c r="H81" s="584"/>
      <c r="I81" s="585"/>
    </row>
    <row r="82" spans="1:9" x14ac:dyDescent="0.25">
      <c r="A82" s="579"/>
      <c r="B82" s="580"/>
      <c r="C82" s="580"/>
      <c r="D82" s="581"/>
      <c r="E82" s="582"/>
      <c r="F82" s="582"/>
      <c r="G82" s="583"/>
      <c r="H82" s="584"/>
      <c r="I82" s="585"/>
    </row>
    <row r="83" spans="1:9" x14ac:dyDescent="0.25">
      <c r="A83" s="579"/>
      <c r="B83" s="580"/>
      <c r="C83" s="580"/>
      <c r="D83" s="581"/>
      <c r="E83" s="582"/>
      <c r="F83" s="582"/>
      <c r="G83" s="583"/>
      <c r="H83" s="584"/>
      <c r="I83" s="585"/>
    </row>
    <row r="84" spans="1:9" x14ac:dyDescent="0.25">
      <c r="A84" s="579"/>
      <c r="B84" s="580"/>
      <c r="C84" s="580"/>
      <c r="D84" s="581"/>
      <c r="E84" s="582"/>
      <c r="F84" s="582"/>
      <c r="G84" s="583"/>
      <c r="H84" s="584"/>
      <c r="I84" s="585"/>
    </row>
    <row r="85" spans="1:9" x14ac:dyDescent="0.25">
      <c r="A85" s="579"/>
      <c r="B85" s="580"/>
      <c r="C85" s="580"/>
      <c r="D85" s="581"/>
      <c r="E85" s="582"/>
      <c r="F85" s="582"/>
      <c r="G85" s="583"/>
      <c r="H85" s="584"/>
      <c r="I85" s="585"/>
    </row>
    <row r="86" spans="1:9" x14ac:dyDescent="0.25">
      <c r="A86" s="690" t="s">
        <v>947</v>
      </c>
      <c r="B86" s="690"/>
      <c r="C86" s="690"/>
      <c r="D86" s="690"/>
      <c r="E86" s="690"/>
      <c r="F86" s="690"/>
      <c r="G86" s="690"/>
      <c r="H86" s="690"/>
    </row>
    <row r="87" spans="1:9" x14ac:dyDescent="0.25">
      <c r="A87" s="690" t="s">
        <v>948</v>
      </c>
      <c r="B87" s="690"/>
      <c r="C87" s="690"/>
      <c r="D87" s="690"/>
      <c r="E87" s="690"/>
      <c r="F87" s="690"/>
      <c r="G87" s="690"/>
      <c r="H87" s="690"/>
    </row>
  </sheetData>
  <autoFilter ref="A2:I43" xr:uid="{00000000-0009-0000-0000-000003000000}"/>
  <mergeCells count="3">
    <mergeCell ref="A86:H86"/>
    <mergeCell ref="A87:H87"/>
    <mergeCell ref="B1:I1"/>
  </mergeCells>
  <phoneticPr fontId="10" type="noConversion"/>
  <pageMargins left="0.511811024" right="0.511811024" top="0.78740157499999996" bottom="0.78740157499999996" header="0.31496062000000002" footer="0.31496062000000002"/>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0FFFF-A19E-4D36-AC7B-D452AA38C254}">
  <dimension ref="A15"/>
  <sheetViews>
    <sheetView workbookViewId="0"/>
  </sheetViews>
  <sheetFormatPr defaultRowHeight="15" x14ac:dyDescent="0.25"/>
  <sheetData>
    <row r="15" ht="14.25" customHeight="1"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18</vt:i4>
      </vt:variant>
      <vt:variant>
        <vt:lpstr>Intervalos Nomeados</vt:lpstr>
      </vt:variant>
      <vt:variant>
        <vt:i4>3</vt:i4>
      </vt:variant>
    </vt:vector>
  </HeadingPairs>
  <TitlesOfParts>
    <vt:vector size="21" baseType="lpstr">
      <vt:lpstr>Locaçao Mensal</vt:lpstr>
      <vt:lpstr>Locação Mensal</vt:lpstr>
      <vt:lpstr>Uso Particular </vt:lpstr>
      <vt:lpstr>Valor Mensal - Faturas</vt:lpstr>
      <vt:lpstr>Obras Diversas - Laboratorio</vt:lpstr>
      <vt:lpstr>Controle Combustivel</vt:lpstr>
      <vt:lpstr>22039_ARINOS</vt:lpstr>
      <vt:lpstr>22007_LDV-V</vt:lpstr>
      <vt:lpstr>23018_IBIMIRIM</vt:lpstr>
      <vt:lpstr>23026_LAGOA_CGN</vt:lpstr>
      <vt:lpstr>22005_MAPEAMENTO</vt:lpstr>
      <vt:lpstr>21029_ENEL GOIANIA</vt:lpstr>
      <vt:lpstr>19018_F.Angra</vt:lpstr>
      <vt:lpstr>20017_DNIT</vt:lpstr>
      <vt:lpstr>0000_ARO</vt:lpstr>
      <vt:lpstr>LABORATÓRIO</vt:lpstr>
      <vt:lpstr>Folga - Uso particular</vt:lpstr>
      <vt:lpstr>Planilha1</vt:lpstr>
      <vt:lpstr>'0000_ARO'!Area_de_impressao</vt:lpstr>
      <vt:lpstr>'22007_LDV-V'!Area_de_impressao</vt:lpstr>
      <vt:lpstr>LABORATÓRIO!Area_de_impressao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Recepçao</dc:creator>
  <cp:lastModifiedBy>Office 6</cp:lastModifiedBy>
  <cp:lastPrinted>2023-11-01T13:41:45Z</cp:lastPrinted>
  <dcterms:created xsi:type="dcterms:W3CDTF">2021-01-26T19:56:22Z</dcterms:created>
  <dcterms:modified xsi:type="dcterms:W3CDTF">2026-06-16T13:36:12Z</dcterms:modified>
</cp:coreProperties>
</file>